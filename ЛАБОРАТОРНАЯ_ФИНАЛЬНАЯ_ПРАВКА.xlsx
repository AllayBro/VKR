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llayBro\Desktop\РЕГРЕССИОННАЯ МОДЕЛЬ\ФИНАЛЬНАЯ ПРАВКА\"/>
    </mc:Choice>
  </mc:AlternateContent>
  <xr:revisionPtr revIDLastSave="0" documentId="13_ncr:1_{4B7EB3A6-DCE8-4249-A6E7-9492A3F3302A}" xr6:coauthVersionLast="47" xr6:coauthVersionMax="47" xr10:uidLastSave="{00000000-0000-0000-0000-000000000000}"/>
  <bookViews>
    <workbookView xWindow="-108" yWindow="-108" windowWidth="23256" windowHeight="12456" tabRatio="757" firstSheet="4" activeTab="5" xr2:uid="{00000000-000D-0000-FFFF-FFFF00000000}"/>
  </bookViews>
  <sheets>
    <sheet name="Данные из программы1" sheetId="1" r:id="rId1"/>
    <sheet name="Данные из EXIF" sheetId="3" r:id="rId2"/>
    <sheet name="Обновленные данные" sheetId="4" r:id="rId3"/>
    <sheet name="Лист1 - значащие данные" sheetId="6" r:id="rId4"/>
    <sheet name="Лист2 - Мультиколлинеарность" sheetId="7" r:id="rId5"/>
    <sheet name="Лист3 - Итог" sheetId="9" r:id="rId6"/>
  </sheets>
  <definedNames>
    <definedName name="_xlnm._FilterDatabase" localSheetId="3" hidden="1">'Лист1 - значащие данные'!$A$1:$L$1</definedName>
    <definedName name="_xlnm._FilterDatabase" localSheetId="4" hidden="1">'Лист2 - Мультиколлинеарность'!$A$1:$H$1</definedName>
    <definedName name="_xlnm._FilterDatabase" localSheetId="5" hidden="1">'Лист3 - Итог'!$A$1:$F$99</definedName>
    <definedName name="_xlnm._FilterDatabase" localSheetId="2" hidden="1">'Обновленные данные'!$A$1:$L$1</definedName>
    <definedName name="ExternalData_1" localSheetId="1" hidden="1">'Данные из EXIF'!$A$1:$FS$1100</definedName>
    <definedName name="ExternalData_1" localSheetId="0" hidden="1">'Данные из программы1'!$A$1:$R$629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97" i="6" l="1"/>
  <c r="K96" i="6"/>
  <c r="K95" i="6"/>
  <c r="K94" i="6"/>
  <c r="K93" i="6"/>
  <c r="K92" i="6"/>
  <c r="K91" i="6"/>
  <c r="K90" i="6"/>
  <c r="K89" i="6"/>
  <c r="K88" i="6"/>
  <c r="K87" i="6"/>
  <c r="K86" i="6"/>
  <c r="K85" i="6"/>
  <c r="K84" i="6"/>
  <c r="K83" i="6"/>
  <c r="K82" i="6"/>
  <c r="K81" i="6"/>
  <c r="K80" i="6"/>
  <c r="K79" i="6"/>
  <c r="K78" i="6"/>
  <c r="K77" i="6"/>
  <c r="K76" i="6"/>
  <c r="K75" i="6"/>
  <c r="K74" i="6"/>
  <c r="K73" i="6"/>
  <c r="K72" i="6"/>
  <c r="K71" i="6"/>
  <c r="K70" i="6"/>
  <c r="K69" i="6"/>
  <c r="K68" i="6"/>
  <c r="K67" i="6"/>
  <c r="K66" i="6"/>
  <c r="K65" i="6"/>
  <c r="K64" i="6"/>
  <c r="K63" i="6"/>
  <c r="K62" i="6"/>
  <c r="K61" i="6"/>
  <c r="K60" i="6"/>
  <c r="K59" i="6"/>
  <c r="K58" i="6"/>
  <c r="K57" i="6"/>
  <c r="K56" i="6"/>
  <c r="K55" i="6"/>
  <c r="K54" i="6"/>
  <c r="K53" i="6"/>
  <c r="K52" i="6"/>
  <c r="K51" i="6"/>
  <c r="K50" i="6"/>
  <c r="K49" i="6"/>
  <c r="K48" i="6"/>
  <c r="K47" i="6"/>
  <c r="K46" i="6"/>
  <c r="K45" i="6"/>
  <c r="K44" i="6"/>
  <c r="K43" i="6"/>
  <c r="K42" i="6"/>
  <c r="K41" i="6"/>
  <c r="K40" i="6"/>
  <c r="K39" i="6"/>
  <c r="K38" i="6"/>
  <c r="K37" i="6"/>
  <c r="K36" i="6"/>
  <c r="K35" i="6"/>
  <c r="K34" i="6"/>
  <c r="K33" i="6"/>
  <c r="K32" i="6"/>
  <c r="K31" i="6"/>
  <c r="K30" i="6"/>
  <c r="K29" i="6"/>
  <c r="K28" i="6"/>
  <c r="K27" i="6"/>
  <c r="K26" i="6"/>
  <c r="K25" i="6"/>
  <c r="K24" i="6"/>
  <c r="K23" i="6"/>
  <c r="K22" i="6"/>
  <c r="K21" i="6"/>
  <c r="K20" i="6"/>
  <c r="K19" i="6"/>
  <c r="K18" i="6"/>
  <c r="K17" i="6"/>
  <c r="K16" i="6"/>
  <c r="K15" i="6"/>
  <c r="K14" i="6"/>
  <c r="K13" i="6"/>
  <c r="K12" i="6"/>
  <c r="K11" i="6"/>
  <c r="K10" i="6"/>
  <c r="K9" i="6"/>
  <c r="K8" i="6"/>
  <c r="K7" i="6"/>
  <c r="K6" i="6"/>
  <c r="K5" i="6"/>
  <c r="K4" i="6"/>
  <c r="K3" i="6"/>
  <c r="K2" i="6"/>
  <c r="AB3" i="9" l="1"/>
  <c r="AB4" i="9"/>
  <c r="AB5" i="9"/>
  <c r="AB6" i="9"/>
  <c r="AB7" i="9"/>
  <c r="AB8" i="9"/>
  <c r="AB9" i="9"/>
  <c r="AB10" i="9"/>
  <c r="AB11" i="9"/>
  <c r="AB12" i="9"/>
  <c r="AB13" i="9"/>
  <c r="AB14" i="9"/>
  <c r="AB15" i="9"/>
  <c r="AB16" i="9"/>
  <c r="AB17" i="9"/>
  <c r="AB18" i="9"/>
  <c r="AB19" i="9"/>
  <c r="AB20" i="9"/>
  <c r="AB21" i="9"/>
  <c r="AB22" i="9"/>
  <c r="AB23" i="9"/>
  <c r="AB24" i="9"/>
  <c r="AB25" i="9"/>
  <c r="AB26" i="9"/>
  <c r="AB27" i="9"/>
  <c r="AB28" i="9"/>
  <c r="AB29" i="9"/>
  <c r="AB30" i="9"/>
  <c r="AB31" i="9"/>
  <c r="AB32" i="9"/>
  <c r="AB33" i="9"/>
  <c r="AB34" i="9"/>
  <c r="AB35" i="9"/>
  <c r="AB36" i="9"/>
  <c r="AB37" i="9"/>
  <c r="AB38" i="9"/>
  <c r="AB39" i="9"/>
  <c r="AB40" i="9"/>
  <c r="AB41" i="9"/>
  <c r="AB42" i="9"/>
  <c r="AB43" i="9"/>
  <c r="AB44" i="9"/>
  <c r="AB45" i="9"/>
  <c r="AB46" i="9"/>
  <c r="AB47" i="9"/>
  <c r="AB48" i="9"/>
  <c r="AB49" i="9"/>
  <c r="AB50" i="9"/>
  <c r="AB51" i="9"/>
  <c r="AB52" i="9"/>
  <c r="AB53" i="9"/>
  <c r="AB54" i="9"/>
  <c r="AB55" i="9"/>
  <c r="AB56" i="9"/>
  <c r="AB57" i="9"/>
  <c r="AB58" i="9"/>
  <c r="AB59" i="9"/>
  <c r="AB60" i="9"/>
  <c r="AB61" i="9"/>
  <c r="AB62" i="9"/>
  <c r="AB63" i="9"/>
  <c r="AB64" i="9"/>
  <c r="AB65" i="9"/>
  <c r="AB66" i="9"/>
  <c r="AB67" i="9"/>
  <c r="AB68" i="9"/>
  <c r="AB69" i="9"/>
  <c r="AB70" i="9"/>
  <c r="AB71" i="9"/>
  <c r="AB72" i="9"/>
  <c r="AB73" i="9"/>
  <c r="AB74" i="9"/>
  <c r="AB75" i="9"/>
  <c r="AB76" i="9"/>
  <c r="AB77" i="9"/>
  <c r="AB78" i="9"/>
  <c r="AB79" i="9"/>
  <c r="AB80" i="9"/>
  <c r="AB81" i="9"/>
  <c r="AB82" i="9"/>
  <c r="AB83" i="9"/>
  <c r="AB84" i="9"/>
  <c r="AB85" i="9"/>
  <c r="AB86" i="9"/>
  <c r="AB87" i="9"/>
  <c r="AB88" i="9"/>
  <c r="AB89" i="9"/>
  <c r="AB90" i="9"/>
  <c r="AB91" i="9"/>
  <c r="AB92" i="9"/>
  <c r="AB93" i="9"/>
  <c r="AB94" i="9"/>
  <c r="AB95" i="9"/>
  <c r="AB96" i="9"/>
  <c r="AB97" i="9"/>
  <c r="AB2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F33" i="9"/>
  <c r="F34" i="9"/>
  <c r="F35" i="9"/>
  <c r="F36" i="9"/>
  <c r="F37" i="9"/>
  <c r="F38" i="9"/>
  <c r="F39" i="9"/>
  <c r="F40" i="9"/>
  <c r="F41" i="9"/>
  <c r="F42" i="9"/>
  <c r="F43" i="9"/>
  <c r="F44" i="9"/>
  <c r="F45" i="9"/>
  <c r="F46" i="9"/>
  <c r="F47" i="9"/>
  <c r="F48" i="9"/>
  <c r="F49" i="9"/>
  <c r="F50" i="9"/>
  <c r="F51" i="9"/>
  <c r="F52" i="9"/>
  <c r="F53" i="9"/>
  <c r="F54" i="9"/>
  <c r="F55" i="9"/>
  <c r="F56" i="9"/>
  <c r="F57" i="9"/>
  <c r="F58" i="9"/>
  <c r="F59" i="9"/>
  <c r="F60" i="9"/>
  <c r="F61" i="9"/>
  <c r="F62" i="9"/>
  <c r="F63" i="9"/>
  <c r="F64" i="9"/>
  <c r="F65" i="9"/>
  <c r="F66" i="9"/>
  <c r="F67" i="9"/>
  <c r="F68" i="9"/>
  <c r="F69" i="9"/>
  <c r="F70" i="9"/>
  <c r="F71" i="9"/>
  <c r="F72" i="9"/>
  <c r="F73" i="9"/>
  <c r="F74" i="9"/>
  <c r="F75" i="9"/>
  <c r="F76" i="9"/>
  <c r="F77" i="9"/>
  <c r="F78" i="9"/>
  <c r="F79" i="9"/>
  <c r="F80" i="9"/>
  <c r="F81" i="9"/>
  <c r="F82" i="9"/>
  <c r="F83" i="9"/>
  <c r="F84" i="9"/>
  <c r="F85" i="9"/>
  <c r="F86" i="9"/>
  <c r="F87" i="9"/>
  <c r="F88" i="9"/>
  <c r="F89" i="9"/>
  <c r="F90" i="9"/>
  <c r="F91" i="9"/>
  <c r="F92" i="9"/>
  <c r="F93" i="9"/>
  <c r="F94" i="9"/>
  <c r="F95" i="9"/>
  <c r="F96" i="9"/>
  <c r="F97" i="9"/>
  <c r="F3" i="9"/>
  <c r="F4" i="9"/>
  <c r="F5" i="9"/>
  <c r="F6" i="9"/>
  <c r="F7" i="9"/>
  <c r="F8" i="9"/>
  <c r="F9" i="9"/>
  <c r="F10" i="9"/>
  <c r="F11" i="9"/>
  <c r="F2" i="9"/>
  <c r="J30" i="9"/>
  <c r="J29" i="9"/>
  <c r="J28" i="9"/>
  <c r="I30" i="9"/>
  <c r="I29" i="9"/>
  <c r="I28" i="9"/>
  <c r="AK8" i="6"/>
  <c r="K2" i="4"/>
  <c r="L2" i="4" s="1"/>
  <c r="K3" i="4"/>
  <c r="K4" i="4"/>
  <c r="L4" i="4" s="1"/>
  <c r="K5" i="4"/>
  <c r="L5" i="4" s="1"/>
  <c r="K6" i="4"/>
  <c r="L6" i="4" s="1"/>
  <c r="K7" i="4"/>
  <c r="K8" i="4"/>
  <c r="L8" i="4" s="1"/>
  <c r="K9" i="4"/>
  <c r="K10" i="4"/>
  <c r="K11" i="4"/>
  <c r="K12" i="4"/>
  <c r="K13" i="4"/>
  <c r="L13" i="4" s="1"/>
  <c r="K14" i="4"/>
  <c r="L14" i="4" s="1"/>
  <c r="K15" i="4"/>
  <c r="L15" i="4" s="1"/>
  <c r="K16" i="4"/>
  <c r="L16" i="4" s="1"/>
  <c r="K17" i="4"/>
  <c r="K18" i="4"/>
  <c r="K19" i="4"/>
  <c r="L19" i="4" s="1"/>
  <c r="K20" i="4"/>
  <c r="L20" i="4" s="1"/>
  <c r="K21" i="4"/>
  <c r="L21" i="4" s="1"/>
  <c r="K22" i="4"/>
  <c r="K23" i="4"/>
  <c r="K24" i="4"/>
  <c r="L24" i="4" s="1"/>
  <c r="K25" i="4"/>
  <c r="K26" i="4"/>
  <c r="K27" i="4"/>
  <c r="L27" i="4" s="1"/>
  <c r="K28" i="4"/>
  <c r="K29" i="4"/>
  <c r="L29" i="4" s="1"/>
  <c r="K30" i="4"/>
  <c r="L30" i="4" s="1"/>
  <c r="K31" i="4"/>
  <c r="L31" i="4" s="1"/>
  <c r="K32" i="4"/>
  <c r="L32" i="4" s="1"/>
  <c r="K33" i="4"/>
  <c r="K34" i="4"/>
  <c r="L34" i="4" s="1"/>
  <c r="K35" i="4"/>
  <c r="L35" i="4" s="1"/>
  <c r="K36" i="4"/>
  <c r="L36" i="4" s="1"/>
  <c r="K37" i="4"/>
  <c r="L37" i="4" s="1"/>
  <c r="K38" i="4"/>
  <c r="L38" i="4" s="1"/>
  <c r="K39" i="4"/>
  <c r="L39" i="4" s="1"/>
  <c r="K40" i="4"/>
  <c r="L40" i="4" s="1"/>
  <c r="K41" i="4"/>
  <c r="K42" i="4"/>
  <c r="K43" i="4"/>
  <c r="L43" i="4" s="1"/>
  <c r="K44" i="4"/>
  <c r="K45" i="4"/>
  <c r="L45" i="4" s="1"/>
  <c r="K46" i="4"/>
  <c r="L46" i="4" s="1"/>
  <c r="K47" i="4"/>
  <c r="K48" i="4"/>
  <c r="K49" i="4"/>
  <c r="K50" i="4"/>
  <c r="L50" i="4" s="1"/>
  <c r="K51" i="4"/>
  <c r="K52" i="4"/>
  <c r="L52" i="4" s="1"/>
  <c r="K53" i="4"/>
  <c r="L53" i="4" s="1"/>
  <c r="K54" i="4"/>
  <c r="L54" i="4" s="1"/>
  <c r="K55" i="4"/>
  <c r="L55" i="4" s="1"/>
  <c r="K56" i="4"/>
  <c r="L56" i="4" s="1"/>
  <c r="K57" i="4"/>
  <c r="K58" i="4"/>
  <c r="K59" i="4"/>
  <c r="L59" i="4" s="1"/>
  <c r="K60" i="4"/>
  <c r="K61" i="4"/>
  <c r="L61" i="4" s="1"/>
  <c r="K62" i="4"/>
  <c r="L62" i="4" s="1"/>
  <c r="K63" i="4"/>
  <c r="L63" i="4" s="1"/>
  <c r="K64" i="4"/>
  <c r="L64" i="4" s="1"/>
  <c r="K65" i="4"/>
  <c r="K66" i="4"/>
  <c r="L66" i="4" s="1"/>
  <c r="K67" i="4"/>
  <c r="L67" i="4" s="1"/>
  <c r="K68" i="4"/>
  <c r="K69" i="4"/>
  <c r="L69" i="4" s="1"/>
  <c r="K70" i="4"/>
  <c r="L70" i="4" s="1"/>
  <c r="K71" i="4"/>
  <c r="K72" i="4"/>
  <c r="L72" i="4" s="1"/>
  <c r="K73" i="4"/>
  <c r="K74" i="4"/>
  <c r="K75" i="4"/>
  <c r="K76" i="4"/>
  <c r="L76" i="4" s="1"/>
  <c r="K77" i="4"/>
  <c r="L77" i="4" s="1"/>
  <c r="K78" i="4"/>
  <c r="L78" i="4" s="1"/>
  <c r="K79" i="4"/>
  <c r="L79" i="4" s="1"/>
  <c r="K80" i="4"/>
  <c r="K81" i="4"/>
  <c r="K82" i="4"/>
  <c r="L82" i="4" s="1"/>
  <c r="K83" i="4"/>
  <c r="L83" i="4" s="1"/>
  <c r="K84" i="4"/>
  <c r="K85" i="4"/>
  <c r="L85" i="4" s="1"/>
  <c r="K86" i="4"/>
  <c r="L86" i="4" s="1"/>
  <c r="K87" i="4"/>
  <c r="K88" i="4"/>
  <c r="L88" i="4" s="1"/>
  <c r="K89" i="4"/>
  <c r="K90" i="4"/>
  <c r="K91" i="4"/>
  <c r="K92" i="4"/>
  <c r="L92" i="4" s="1"/>
  <c r="K93" i="4"/>
  <c r="K94" i="4"/>
  <c r="L94" i="4" s="1"/>
  <c r="K95" i="4"/>
  <c r="L95" i="4" s="1"/>
  <c r="K96" i="4"/>
  <c r="L96" i="4" s="1"/>
  <c r="K97" i="4"/>
  <c r="L7" i="4"/>
  <c r="L11" i="4"/>
  <c r="L23" i="4"/>
  <c r="L48" i="4"/>
  <c r="L51" i="4"/>
  <c r="L71" i="4"/>
  <c r="L75" i="4"/>
  <c r="L80" i="4"/>
  <c r="L87" i="4"/>
  <c r="L91" i="4"/>
  <c r="L93" i="4"/>
  <c r="AB8" i="6"/>
  <c r="AG8" i="6" s="1"/>
  <c r="AB10" i="6"/>
  <c r="AG10" i="6" s="1"/>
  <c r="AB26" i="6"/>
  <c r="AG26" i="6" s="1"/>
  <c r="AB24" i="6"/>
  <c r="AG24" i="6" s="1"/>
  <c r="AB22" i="6"/>
  <c r="AG22" i="6" s="1"/>
  <c r="AB20" i="6"/>
  <c r="AG20" i="6" s="1"/>
  <c r="AB18" i="6"/>
  <c r="AG18" i="6" s="1"/>
  <c r="AB16" i="6"/>
  <c r="AG16" i="6" s="1"/>
  <c r="AB14" i="6"/>
  <c r="AG14" i="6" s="1"/>
  <c r="AB12" i="6"/>
  <c r="AG12" i="6" s="1"/>
  <c r="L97" i="4"/>
  <c r="L90" i="4"/>
  <c r="L89" i="4"/>
  <c r="L84" i="4"/>
  <c r="L81" i="4"/>
  <c r="L74" i="4"/>
  <c r="L73" i="4"/>
  <c r="L68" i="4"/>
  <c r="L65" i="4"/>
  <c r="L60" i="4"/>
  <c r="L58" i="4"/>
  <c r="L57" i="4"/>
  <c r="L49" i="4"/>
  <c r="L47" i="4"/>
  <c r="L44" i="4"/>
  <c r="L42" i="4"/>
  <c r="L41" i="4"/>
  <c r="L33" i="4"/>
  <c r="L28" i="4"/>
  <c r="L26" i="4"/>
  <c r="L25" i="4"/>
  <c r="L22" i="4"/>
  <c r="L18" i="4"/>
  <c r="L17" i="4"/>
  <c r="L12" i="4"/>
  <c r="L10" i="4"/>
  <c r="L9" i="4"/>
  <c r="L3" i="4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81" i="7"/>
  <c r="H69" i="7"/>
  <c r="H70" i="7"/>
  <c r="H71" i="7"/>
  <c r="H72" i="7"/>
  <c r="H73" i="7"/>
  <c r="H74" i="7"/>
  <c r="H75" i="7"/>
  <c r="H76" i="7"/>
  <c r="H77" i="7"/>
  <c r="H78" i="7"/>
  <c r="H79" i="7"/>
  <c r="H80" i="7"/>
  <c r="H68" i="7"/>
  <c r="H56" i="7"/>
  <c r="H57" i="7"/>
  <c r="H58" i="7"/>
  <c r="H59" i="7"/>
  <c r="H60" i="7"/>
  <c r="H61" i="7"/>
  <c r="H62" i="7"/>
  <c r="H63" i="7"/>
  <c r="H64" i="7"/>
  <c r="H65" i="7"/>
  <c r="H66" i="7"/>
  <c r="H67" i="7"/>
  <c r="H55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37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20" i="7"/>
  <c r="H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" i="7"/>
  <c r="L97" i="6" l="1"/>
  <c r="L96" i="6"/>
  <c r="L95" i="6"/>
  <c r="L94" i="6"/>
  <c r="L93" i="6"/>
  <c r="L92" i="6"/>
  <c r="L91" i="6"/>
  <c r="L90" i="6"/>
  <c r="L89" i="6"/>
  <c r="L88" i="6"/>
  <c r="L86" i="6"/>
  <c r="L85" i="6"/>
  <c r="L84" i="6"/>
  <c r="L83" i="6"/>
  <c r="L82" i="6"/>
  <c r="L81" i="6"/>
  <c r="L80" i="6"/>
  <c r="L79" i="6"/>
  <c r="L78" i="6"/>
  <c r="L77" i="6"/>
  <c r="L76" i="6"/>
  <c r="L75" i="6"/>
  <c r="L74" i="6"/>
  <c r="L73" i="6"/>
  <c r="L72" i="6"/>
  <c r="L71" i="6"/>
  <c r="L70" i="6"/>
  <c r="L69" i="6"/>
  <c r="L68" i="6"/>
  <c r="L67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6" i="6"/>
  <c r="L5" i="6"/>
  <c r="L4" i="6"/>
  <c r="L3" i="6"/>
  <c r="L2" i="6"/>
  <c r="L87" i="6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4FF6ABD-586F-47F9-914D-5B8A2F19F786}" keepAlive="1" name="Запрос — merged_exif (1)" description="Соединение с запросом &quot;merged_exif (1)&quot; в книге." type="5" refreshedVersion="7" background="1" saveData="1">
    <dbPr connection="Provider=Microsoft.Mashup.OleDb.1;Data Source=$Workbook$;Location=&quot;merged_exif (1)&quot;;Extended Properties=&quot;&quot;" command="SELECT * FROM [merged_exif (1)]"/>
  </connection>
  <connection id="2" xr16:uid="{6DB09276-27D7-49AA-8A3D-21FE91387D3C}" keepAlive="1" name="Запрос — output_all_detections" description="Соединение с запросом &quot;output_all_detections&quot; в книге." type="5" refreshedVersion="7" background="1" saveData="1">
    <dbPr connection="Provider=Microsoft.Mashup.OleDb.1;Data Source=$Workbook$;Location=output_all_detections;Extended Properties=&quot;&quot;" command="SELECT * FROM [output_all_detections]"/>
  </connection>
</connections>
</file>

<file path=xl/sharedStrings.xml><?xml version="1.0" encoding="utf-8"?>
<sst xmlns="http://schemas.openxmlformats.org/spreadsheetml/2006/main" count="22768" uniqueCount="3852">
  <si>
    <t>IMG_6488.HEIC</t>
  </si>
  <si>
    <t>car</t>
  </si>
  <si>
    <t>15.43</t>
  </si>
  <si>
    <t>12.8</t>
  </si>
  <si>
    <t>1.61</t>
  </si>
  <si>
    <t>8.86</t>
  </si>
  <si>
    <t>0.92</t>
  </si>
  <si>
    <t>131.12</t>
  </si>
  <si>
    <t>0.836</t>
  </si>
  <si>
    <t>13.59</t>
  </si>
  <si>
    <t>12.96</t>
  </si>
  <si>
    <t>1.4</t>
  </si>
  <si>
    <t>10.05</t>
  </si>
  <si>
    <t>0.9</t>
  </si>
  <si>
    <t>0.957</t>
  </si>
  <si>
    <t>21.25</t>
  </si>
  <si>
    <t>14.35</t>
  </si>
  <si>
    <t>1.97</t>
  </si>
  <si>
    <t>6.43</t>
  </si>
  <si>
    <t>0.89</t>
  </si>
  <si>
    <t>0.66</t>
  </si>
  <si>
    <t>18.68</t>
  </si>
  <si>
    <t>14.95</t>
  </si>
  <si>
    <t>1.67</t>
  </si>
  <si>
    <t>7.31</t>
  </si>
  <si>
    <t>0.623</t>
  </si>
  <si>
    <t>6.89</t>
  </si>
  <si>
    <t>16.04</t>
  </si>
  <si>
    <t>0.57</t>
  </si>
  <si>
    <t>19.81</t>
  </si>
  <si>
    <t>0.75</t>
  </si>
  <si>
    <t>0.533</t>
  </si>
  <si>
    <t>17.34</t>
  </si>
  <si>
    <t>14.02</t>
  </si>
  <si>
    <t>1.65</t>
  </si>
  <si>
    <t>7.88</t>
  </si>
  <si>
    <t>0.7</t>
  </si>
  <si>
    <t>0.802</t>
  </si>
  <si>
    <t>IMG_6489.HEIC</t>
  </si>
  <si>
    <t>15.72</t>
  </si>
  <si>
    <t>12.86</t>
  </si>
  <si>
    <t>1.63</t>
  </si>
  <si>
    <t>8.69</t>
  </si>
  <si>
    <t>133.06</t>
  </si>
  <si>
    <t>0.824</t>
  </si>
  <si>
    <t>13.81</t>
  </si>
  <si>
    <t>12.93</t>
  </si>
  <si>
    <t>1.42</t>
  </si>
  <si>
    <t>9.89</t>
  </si>
  <si>
    <t>0.982</t>
  </si>
  <si>
    <t>21.92</t>
  </si>
  <si>
    <t>2.04</t>
  </si>
  <si>
    <t>6.23</t>
  </si>
  <si>
    <t>0.639</t>
  </si>
  <si>
    <t>18.85</t>
  </si>
  <si>
    <t>15.08</t>
  </si>
  <si>
    <t>7.25</t>
  </si>
  <si>
    <t>0.8</t>
  </si>
  <si>
    <t>0.647</t>
  </si>
  <si>
    <t>17.66</t>
  </si>
  <si>
    <t>14.15</t>
  </si>
  <si>
    <t>1.66</t>
  </si>
  <si>
    <t>7.74</t>
  </si>
  <si>
    <t>0.79</t>
  </si>
  <si>
    <t>0.828</t>
  </si>
  <si>
    <t>8.43</t>
  </si>
  <si>
    <t>11.74</t>
  </si>
  <si>
    <t>0.96</t>
  </si>
  <si>
    <t>16.2</t>
  </si>
  <si>
    <t>0.74</t>
  </si>
  <si>
    <t>0.542</t>
  </si>
  <si>
    <t>4.89</t>
  </si>
  <si>
    <t>13.79</t>
  </si>
  <si>
    <t>0.47</t>
  </si>
  <si>
    <t>27.96</t>
  </si>
  <si>
    <t>0.6</t>
  </si>
  <si>
    <t>0.525</t>
  </si>
  <si>
    <t>IMG_6490.HEIC</t>
  </si>
  <si>
    <t>15.9</t>
  </si>
  <si>
    <t>8.59</t>
  </si>
  <si>
    <t>0.91</t>
  </si>
  <si>
    <t>133.43</t>
  </si>
  <si>
    <t>0.821</t>
  </si>
  <si>
    <t>13.84</t>
  </si>
  <si>
    <t>12.76</t>
  </si>
  <si>
    <t>1.45</t>
  </si>
  <si>
    <t>9.87</t>
  </si>
  <si>
    <t>0.953</t>
  </si>
  <si>
    <t>21.3</t>
  </si>
  <si>
    <t>1.98</t>
  </si>
  <si>
    <t>6.41</t>
  </si>
  <si>
    <t>0.642</t>
  </si>
  <si>
    <t>17.61</t>
  </si>
  <si>
    <t>14.91</t>
  </si>
  <si>
    <t>1.57</t>
  </si>
  <si>
    <t>7.76</t>
  </si>
  <si>
    <t>0.64</t>
  </si>
  <si>
    <t>truck</t>
  </si>
  <si>
    <t>10.77</t>
  </si>
  <si>
    <t>0.816</t>
  </si>
  <si>
    <t>7.84</t>
  </si>
  <si>
    <t>11.87</t>
  </si>
  <si>
    <t>0.88</t>
  </si>
  <si>
    <t>17.43</t>
  </si>
  <si>
    <t>0.69</t>
  </si>
  <si>
    <t>0.537</t>
  </si>
  <si>
    <t>5.01</t>
  </si>
  <si>
    <t>14.62</t>
  </si>
  <si>
    <t>0.46</t>
  </si>
  <si>
    <t>27.27</t>
  </si>
  <si>
    <t>0.65</t>
  </si>
  <si>
    <t>0.524</t>
  </si>
  <si>
    <t>17.63</t>
  </si>
  <si>
    <t>1.68</t>
  </si>
  <si>
    <t>7.75</t>
  </si>
  <si>
    <t>0.45</t>
  </si>
  <si>
    <t>IMG_6491.HEIC</t>
  </si>
  <si>
    <t>15.6</t>
  </si>
  <si>
    <t>12.73</t>
  </si>
  <si>
    <t>8.76</t>
  </si>
  <si>
    <t>131.83</t>
  </si>
  <si>
    <t>0.879</t>
  </si>
  <si>
    <t>17.93</t>
  </si>
  <si>
    <t>13.46</t>
  </si>
  <si>
    <t>1.78</t>
  </si>
  <si>
    <t>7.62</t>
  </si>
  <si>
    <t>0.758</t>
  </si>
  <si>
    <t>16.89</t>
  </si>
  <si>
    <t>15.54</t>
  </si>
  <si>
    <t>8.09</t>
  </si>
  <si>
    <t>0.87</t>
  </si>
  <si>
    <t>0.583</t>
  </si>
  <si>
    <t>14.06</t>
  </si>
  <si>
    <t>9.71</t>
  </si>
  <si>
    <t>0.962</t>
  </si>
  <si>
    <t>IMG_6492.HEIC</t>
  </si>
  <si>
    <t>14.21</t>
  </si>
  <si>
    <t>12.5</t>
  </si>
  <si>
    <t>1.52</t>
  </si>
  <si>
    <t>9.61</t>
  </si>
  <si>
    <t>119.8</t>
  </si>
  <si>
    <t>0.86</t>
  </si>
  <si>
    <t>11.11</t>
  </si>
  <si>
    <t>13.49</t>
  </si>
  <si>
    <t>1.1</t>
  </si>
  <si>
    <t>12.29</t>
  </si>
  <si>
    <t>0.555</t>
  </si>
  <si>
    <t>13.44</t>
  </si>
  <si>
    <t>1.41</t>
  </si>
  <si>
    <t>10.16</t>
  </si>
  <si>
    <t>0.952</t>
  </si>
  <si>
    <t>IMG_6493.HEIC</t>
  </si>
  <si>
    <t>13.66</t>
  </si>
  <si>
    <t>1.72</t>
  </si>
  <si>
    <t>120.33</t>
  </si>
  <si>
    <t>0.77</t>
  </si>
  <si>
    <t>14.48</t>
  </si>
  <si>
    <t>12.7</t>
  </si>
  <si>
    <t>9.43</t>
  </si>
  <si>
    <t>0.833</t>
  </si>
  <si>
    <t>18.75</t>
  </si>
  <si>
    <t>15.41</t>
  </si>
  <si>
    <t>1.62</t>
  </si>
  <si>
    <t>7.29</t>
  </si>
  <si>
    <t>0.648</t>
  </si>
  <si>
    <t>13.76</t>
  </si>
  <si>
    <t>1.36</t>
  </si>
  <si>
    <t>9.92</t>
  </si>
  <si>
    <t>0.961</t>
  </si>
  <si>
    <t>3.97</t>
  </si>
  <si>
    <t>11.54</t>
  </si>
  <si>
    <t>34.43</t>
  </si>
  <si>
    <t>0.36</t>
  </si>
  <si>
    <t>0.519</t>
  </si>
  <si>
    <t>IMG_6494.HEIC</t>
  </si>
  <si>
    <t>13.86</t>
  </si>
  <si>
    <t>13.23</t>
  </si>
  <si>
    <t>9.85</t>
  </si>
  <si>
    <t>119.67</t>
  </si>
  <si>
    <t>18.15</t>
  </si>
  <si>
    <t>14.98</t>
  </si>
  <si>
    <t>7.52</t>
  </si>
  <si>
    <t>0.85</t>
  </si>
  <si>
    <t>0.671</t>
  </si>
  <si>
    <t>6.94</t>
  </si>
  <si>
    <t>19.67</t>
  </si>
  <si>
    <t>0.535</t>
  </si>
  <si>
    <t>IMG_6495.HEIC</t>
  </si>
  <si>
    <t>21.23</t>
  </si>
  <si>
    <t>15.11</t>
  </si>
  <si>
    <t>1.87</t>
  </si>
  <si>
    <t>116.82</t>
  </si>
  <si>
    <t>0.615</t>
  </si>
  <si>
    <t>15.85</t>
  </si>
  <si>
    <t>12.04</t>
  </si>
  <si>
    <t>1.76</t>
  </si>
  <si>
    <t>8.62</t>
  </si>
  <si>
    <t>0.81</t>
  </si>
  <si>
    <t>0.72</t>
  </si>
  <si>
    <t>0.955</t>
  </si>
  <si>
    <t>IMG_6500.HEIC</t>
  </si>
  <si>
    <t>118.99</t>
  </si>
  <si>
    <t>15.45</t>
  </si>
  <si>
    <t>12.6</t>
  </si>
  <si>
    <t>1.64</t>
  </si>
  <si>
    <t>8.84</t>
  </si>
  <si>
    <t>0.823</t>
  </si>
  <si>
    <t>13.67</t>
  </si>
  <si>
    <t>13.19</t>
  </si>
  <si>
    <t>1.38</t>
  </si>
  <si>
    <t>10.0</t>
  </si>
  <si>
    <t>0.979</t>
  </si>
  <si>
    <t>20.31</t>
  </si>
  <si>
    <t>15.24</t>
  </si>
  <si>
    <t>6.73</t>
  </si>
  <si>
    <t>0.63</t>
  </si>
  <si>
    <t>IMG_6501.HEIC</t>
  </si>
  <si>
    <t>14.63</t>
  </si>
  <si>
    <t>12.2</t>
  </si>
  <si>
    <t>1.6</t>
  </si>
  <si>
    <t>9.34</t>
  </si>
  <si>
    <t>120.62</t>
  </si>
  <si>
    <t>0.839</t>
  </si>
  <si>
    <t>19.35</t>
  </si>
  <si>
    <t>15.38</t>
  </si>
  <si>
    <t>7.06</t>
  </si>
  <si>
    <t>0.656</t>
  </si>
  <si>
    <t>0.967</t>
  </si>
  <si>
    <t>IMG_6502.HEIC</t>
  </si>
  <si>
    <t>14.86</t>
  </si>
  <si>
    <t>12.57</t>
  </si>
  <si>
    <t>1.58</t>
  </si>
  <si>
    <t>9.2</t>
  </si>
  <si>
    <t>116.12</t>
  </si>
  <si>
    <t>0.853</t>
  </si>
  <si>
    <t>19.3</t>
  </si>
  <si>
    <t>15.34</t>
  </si>
  <si>
    <t>7.08</t>
  </si>
  <si>
    <t>0.67</t>
  </si>
  <si>
    <t>1.32</t>
  </si>
  <si>
    <t>0.94</t>
  </si>
  <si>
    <t>IMG_6503.HEIC</t>
  </si>
  <si>
    <t>13.05</t>
  </si>
  <si>
    <t>13.96</t>
  </si>
  <si>
    <t>1.25</t>
  </si>
  <si>
    <t>10.47</t>
  </si>
  <si>
    <t>0.93</t>
  </si>
  <si>
    <t>118.92</t>
  </si>
  <si>
    <t>0.563</t>
  </si>
  <si>
    <t>15.82</t>
  </si>
  <si>
    <t>8.63</t>
  </si>
  <si>
    <t>19.79</t>
  </si>
  <si>
    <t>12.9</t>
  </si>
  <si>
    <t>2.05</t>
  </si>
  <si>
    <t>6.9</t>
  </si>
  <si>
    <t>0.818</t>
  </si>
  <si>
    <t>13.33</t>
  </si>
  <si>
    <t>0.985</t>
  </si>
  <si>
    <t>20.01</t>
  </si>
  <si>
    <t>15.71</t>
  </si>
  <si>
    <t>1.7</t>
  </si>
  <si>
    <t>6.83</t>
  </si>
  <si>
    <t>0.82</t>
  </si>
  <si>
    <t>0.608</t>
  </si>
  <si>
    <t>IMG_6504.HEIC</t>
  </si>
  <si>
    <t>15.05</t>
  </si>
  <si>
    <t>12.47</t>
  </si>
  <si>
    <t>9.07</t>
  </si>
  <si>
    <t>120.85</t>
  </si>
  <si>
    <t>0.832</t>
  </si>
  <si>
    <t>20.46</t>
  </si>
  <si>
    <t>13.1</t>
  </si>
  <si>
    <t>2.08</t>
  </si>
  <si>
    <t>6.68</t>
  </si>
  <si>
    <t>0.785</t>
  </si>
  <si>
    <t>9.28</t>
  </si>
  <si>
    <t>11.97</t>
  </si>
  <si>
    <t>1.03</t>
  </si>
  <si>
    <t>14.73</t>
  </si>
  <si>
    <t>0.546</t>
  </si>
  <si>
    <t>9.78</t>
  </si>
  <si>
    <t>0.974</t>
  </si>
  <si>
    <t>18.63</t>
  </si>
  <si>
    <t>7.33</t>
  </si>
  <si>
    <t>4.12</t>
  </si>
  <si>
    <t>0.43</t>
  </si>
  <si>
    <t>33.18</t>
  </si>
  <si>
    <t>0.521</t>
  </si>
  <si>
    <t>IMG_6505.HEIC</t>
  </si>
  <si>
    <t>13.0</t>
  </si>
  <si>
    <t>2.1</t>
  </si>
  <si>
    <t>124.2</t>
  </si>
  <si>
    <t>0.764</t>
  </si>
  <si>
    <t>13.36</t>
  </si>
  <si>
    <t>1.37</t>
  </si>
  <si>
    <t>0.95</t>
  </si>
  <si>
    <t>14.14</t>
  </si>
  <si>
    <t>12.37</t>
  </si>
  <si>
    <t>9.66</t>
  </si>
  <si>
    <t>0.843</t>
  </si>
  <si>
    <t>7.42</t>
  </si>
  <si>
    <t>11.41</t>
  </si>
  <si>
    <t>18.42</t>
  </si>
  <si>
    <t>0.536</t>
  </si>
  <si>
    <t>10.42</t>
  </si>
  <si>
    <t>1.77</t>
  </si>
  <si>
    <t>9.91</t>
  </si>
  <si>
    <t>0.633</t>
  </si>
  <si>
    <t>6.32</t>
  </si>
  <si>
    <t>21.6</t>
  </si>
  <si>
    <t>0.531</t>
  </si>
  <si>
    <t>17.83</t>
  </si>
  <si>
    <t>7.66</t>
  </si>
  <si>
    <t>0.78</t>
  </si>
  <si>
    <t>0.673</t>
  </si>
  <si>
    <t>IMG_6506.HEIC</t>
  </si>
  <si>
    <t>19.92</t>
  </si>
  <si>
    <t>12.67</t>
  </si>
  <si>
    <t>6.86</t>
  </si>
  <si>
    <t>123.57</t>
  </si>
  <si>
    <t>0.812</t>
  </si>
  <si>
    <t>20.66</t>
  </si>
  <si>
    <t>1.82</t>
  </si>
  <si>
    <t>6.61</t>
  </si>
  <si>
    <t>0.645</t>
  </si>
  <si>
    <t>13.03</t>
  </si>
  <si>
    <t>0.998</t>
  </si>
  <si>
    <t>1.54</t>
  </si>
  <si>
    <t>0.803</t>
  </si>
  <si>
    <t>6.5</t>
  </si>
  <si>
    <t>21.02</t>
  </si>
  <si>
    <t>0.532</t>
  </si>
  <si>
    <t>20.51</t>
  </si>
  <si>
    <t>15.51</t>
  </si>
  <si>
    <t>6.66</t>
  </si>
  <si>
    <t>0.84</t>
  </si>
  <si>
    <t>0.613</t>
  </si>
  <si>
    <t>IMG_6508.HEIC</t>
  </si>
  <si>
    <t>15.28</t>
  </si>
  <si>
    <t>12.53</t>
  </si>
  <si>
    <t>8.94</t>
  </si>
  <si>
    <t>54.05</t>
  </si>
  <si>
    <t>0.805</t>
  </si>
  <si>
    <t>19.97</t>
  </si>
  <si>
    <t>13.13</t>
  </si>
  <si>
    <t>2.03</t>
  </si>
  <si>
    <t>6.84</t>
  </si>
  <si>
    <t>0.804</t>
  </si>
  <si>
    <t>0.965</t>
  </si>
  <si>
    <t>21.68</t>
  </si>
  <si>
    <t>15.74</t>
  </si>
  <si>
    <t>1.84</t>
  </si>
  <si>
    <t>6.3</t>
  </si>
  <si>
    <t>0.612</t>
  </si>
  <si>
    <t>20.54</t>
  </si>
  <si>
    <t>14.75</t>
  </si>
  <si>
    <t>1.86</t>
  </si>
  <si>
    <t>6.65</t>
  </si>
  <si>
    <t>0.635</t>
  </si>
  <si>
    <t>5.56</t>
  </si>
  <si>
    <t>13.89</t>
  </si>
  <si>
    <t>0.53</t>
  </si>
  <si>
    <t>24.59</t>
  </si>
  <si>
    <t>0.526</t>
  </si>
  <si>
    <t>2.21</t>
  </si>
  <si>
    <t>7.11</t>
  </si>
  <si>
    <t>0.41</t>
  </si>
  <si>
    <t>61.89</t>
  </si>
  <si>
    <t>0.511</t>
  </si>
  <si>
    <t>IMG_6509.HEIC</t>
  </si>
  <si>
    <t>19.02</t>
  </si>
  <si>
    <t>15.67</t>
  </si>
  <si>
    <t>7.18</t>
  </si>
  <si>
    <t>49.93</t>
  </si>
  <si>
    <t>0.595</t>
  </si>
  <si>
    <t>13.72</t>
  </si>
  <si>
    <t>13.82</t>
  </si>
  <si>
    <t>9.96</t>
  </si>
  <si>
    <t>0.97</t>
  </si>
  <si>
    <t>15.33</t>
  </si>
  <si>
    <t>1.59</t>
  </si>
  <si>
    <t>8.91</t>
  </si>
  <si>
    <t>0.776</t>
  </si>
  <si>
    <t>20.16</t>
  </si>
  <si>
    <t>14.42</t>
  </si>
  <si>
    <t>6.77</t>
  </si>
  <si>
    <t>0.83</t>
  </si>
  <si>
    <t>18.77</t>
  </si>
  <si>
    <t>14.38</t>
  </si>
  <si>
    <t>1.74</t>
  </si>
  <si>
    <t>7.28</t>
  </si>
  <si>
    <t>0.73</t>
  </si>
  <si>
    <t>0.669</t>
  </si>
  <si>
    <t>9.33</t>
  </si>
  <si>
    <t>7.71</t>
  </si>
  <si>
    <t>14.65</t>
  </si>
  <si>
    <t>0.51</t>
  </si>
  <si>
    <t>0.547</t>
  </si>
  <si>
    <t>IMG_6510.HEIC</t>
  </si>
  <si>
    <t>47.09</t>
  </si>
  <si>
    <t>0.771</t>
  </si>
  <si>
    <t>1.34</t>
  </si>
  <si>
    <t>0.951</t>
  </si>
  <si>
    <t>15.87</t>
  </si>
  <si>
    <t>0.591</t>
  </si>
  <si>
    <t>19.37</t>
  </si>
  <si>
    <t>13.06</t>
  </si>
  <si>
    <t>7.05</t>
  </si>
  <si>
    <t>18.55</t>
  </si>
  <si>
    <t>1.93</t>
  </si>
  <si>
    <t>7.36</t>
  </si>
  <si>
    <t>0.71</t>
  </si>
  <si>
    <t>0.663</t>
  </si>
  <si>
    <t>9.18</t>
  </si>
  <si>
    <t>12.33</t>
  </si>
  <si>
    <t>0.99</t>
  </si>
  <si>
    <t>14.89</t>
  </si>
  <si>
    <t>IMG_6511.HEIC</t>
  </si>
  <si>
    <t>19.52</t>
  </si>
  <si>
    <t>2.02</t>
  </si>
  <si>
    <t>7.0</t>
  </si>
  <si>
    <t>130.08</t>
  </si>
  <si>
    <t>21.06</t>
  </si>
  <si>
    <t>15.58</t>
  </si>
  <si>
    <t>1.8</t>
  </si>
  <si>
    <t>6.49</t>
  </si>
  <si>
    <t>0.599</t>
  </si>
  <si>
    <t>16.0</t>
  </si>
  <si>
    <t>8.54</t>
  </si>
  <si>
    <t>0.794</t>
  </si>
  <si>
    <t>20.98</t>
  </si>
  <si>
    <t>1.88</t>
  </si>
  <si>
    <t>6.51</t>
  </si>
  <si>
    <t>13.74</t>
  </si>
  <si>
    <t>9.94</t>
  </si>
  <si>
    <t>0.942</t>
  </si>
  <si>
    <t>6.75</t>
  </si>
  <si>
    <t>20.25</t>
  </si>
  <si>
    <t>IMG_6512.HEIC</t>
  </si>
  <si>
    <t>9.47</t>
  </si>
  <si>
    <t>9.72</t>
  </si>
  <si>
    <t>1.3</t>
  </si>
  <si>
    <t>130.1</t>
  </si>
  <si>
    <t>0.543</t>
  </si>
  <si>
    <t>11.9</t>
  </si>
  <si>
    <t>10.58</t>
  </si>
  <si>
    <t>1.5</t>
  </si>
  <si>
    <t>11.48</t>
  </si>
  <si>
    <t>0.741</t>
  </si>
  <si>
    <t>12.03</t>
  </si>
  <si>
    <t>8.96</t>
  </si>
  <si>
    <t>1.79</t>
  </si>
  <si>
    <t>11.36</t>
  </si>
  <si>
    <t>0.846</t>
  </si>
  <si>
    <t>9.1</t>
  </si>
  <si>
    <t>8.27</t>
  </si>
  <si>
    <t>1.47</t>
  </si>
  <si>
    <t>15.01</t>
  </si>
  <si>
    <t>0.933</t>
  </si>
  <si>
    <t>8.13</t>
  </si>
  <si>
    <t>1.49</t>
  </si>
  <si>
    <t>0.865</t>
  </si>
  <si>
    <t>5.9</t>
  </si>
  <si>
    <t>23.14</t>
  </si>
  <si>
    <t>0.527</t>
  </si>
  <si>
    <t>9.46</t>
  </si>
  <si>
    <t>1.94</t>
  </si>
  <si>
    <t>0.609</t>
  </si>
  <si>
    <t>IMG_6513.HEIC</t>
  </si>
  <si>
    <t>12.52</t>
  </si>
  <si>
    <t>9.49</t>
  </si>
  <si>
    <t>10.91</t>
  </si>
  <si>
    <t>120.67</t>
  </si>
  <si>
    <t>0.562</t>
  </si>
  <si>
    <t>11.63</t>
  </si>
  <si>
    <t>10.25</t>
  </si>
  <si>
    <t>1.51</t>
  </si>
  <si>
    <t>0.773</t>
  </si>
  <si>
    <t>9.15</t>
  </si>
  <si>
    <t>8.73</t>
  </si>
  <si>
    <t>14.93</t>
  </si>
  <si>
    <t>0.959</t>
  </si>
  <si>
    <t>8.75</t>
  </si>
  <si>
    <t>8.04</t>
  </si>
  <si>
    <t>0.898</t>
  </si>
  <si>
    <t>3.57</t>
  </si>
  <si>
    <t>3.37</t>
  </si>
  <si>
    <t>38.25</t>
  </si>
  <si>
    <t>0.784</t>
  </si>
  <si>
    <t>IMG_6514.HEIC</t>
  </si>
  <si>
    <t>10.37</t>
  </si>
  <si>
    <t>9.59</t>
  </si>
  <si>
    <t>1.44</t>
  </si>
  <si>
    <t>13.18</t>
  </si>
  <si>
    <t>121.72</t>
  </si>
  <si>
    <t>0.551</t>
  </si>
  <si>
    <t>8.85</t>
  </si>
  <si>
    <t>7.87</t>
  </si>
  <si>
    <t>0.883</t>
  </si>
  <si>
    <t>8.98</t>
  </si>
  <si>
    <t>15.22</t>
  </si>
  <si>
    <t>0.973</t>
  </si>
  <si>
    <t>11.88</t>
  </si>
  <si>
    <t>10.32</t>
  </si>
  <si>
    <t>11.5</t>
  </si>
  <si>
    <t>0.68</t>
  </si>
  <si>
    <t>0.756</t>
  </si>
  <si>
    <t>2.85</t>
  </si>
  <si>
    <t>3.17</t>
  </si>
  <si>
    <t>1.2</t>
  </si>
  <si>
    <t>47.9</t>
  </si>
  <si>
    <t>0.59</t>
  </si>
  <si>
    <t>IMG_6515.HEIC</t>
  </si>
  <si>
    <t>9.56</t>
  </si>
  <si>
    <t>11.08</t>
  </si>
  <si>
    <t>127.1</t>
  </si>
  <si>
    <t>0.558</t>
  </si>
  <si>
    <t>11.76</t>
  </si>
  <si>
    <t>10.48</t>
  </si>
  <si>
    <t>11.62</t>
  </si>
  <si>
    <t>8.66</t>
  </si>
  <si>
    <t>14.85</t>
  </si>
  <si>
    <t>0.943</t>
  </si>
  <si>
    <t>7.94</t>
  </si>
  <si>
    <t>3.03</t>
  </si>
  <si>
    <t>3.11</t>
  </si>
  <si>
    <t>45.15</t>
  </si>
  <si>
    <t>IMG_6516.HEIC</t>
  </si>
  <si>
    <t>8.06</t>
  </si>
  <si>
    <t>1.09</t>
  </si>
  <si>
    <t>16.95</t>
  </si>
  <si>
    <t>120.52</t>
  </si>
  <si>
    <t>0.539</t>
  </si>
  <si>
    <t>12.38</t>
  </si>
  <si>
    <t>10.35</t>
  </si>
  <si>
    <t>11.04</t>
  </si>
  <si>
    <t>0.807</t>
  </si>
  <si>
    <t>11.81</t>
  </si>
  <si>
    <t>10.45</t>
  </si>
  <si>
    <t>11.57</t>
  </si>
  <si>
    <t>0.739</t>
  </si>
  <si>
    <t>8.6</t>
  </si>
  <si>
    <t>0.971</t>
  </si>
  <si>
    <t>9.0</t>
  </si>
  <si>
    <t>8.2</t>
  </si>
  <si>
    <t>1.46</t>
  </si>
  <si>
    <t>15.17</t>
  </si>
  <si>
    <t>0.868</t>
  </si>
  <si>
    <t>IMG_6518.HEIC</t>
  </si>
  <si>
    <t>12.1</t>
  </si>
  <si>
    <t>9.79</t>
  </si>
  <si>
    <t>11.29</t>
  </si>
  <si>
    <t>125.81</t>
  </si>
  <si>
    <t>9.4</t>
  </si>
  <si>
    <t>8.9</t>
  </si>
  <si>
    <t>14.53</t>
  </si>
  <si>
    <t>0.972</t>
  </si>
  <si>
    <t>12.23</t>
  </si>
  <si>
    <t>11.17</t>
  </si>
  <si>
    <t>0.733</t>
  </si>
  <si>
    <t>9.5</t>
  </si>
  <si>
    <t>8.3</t>
  </si>
  <si>
    <t>1.53</t>
  </si>
  <si>
    <t>0.861</t>
  </si>
  <si>
    <t>9.42</t>
  </si>
  <si>
    <t>IMG_6519.HEIC</t>
  </si>
  <si>
    <t>9.52</t>
  </si>
  <si>
    <t>1.33</t>
  </si>
  <si>
    <t>119.39</t>
  </si>
  <si>
    <t>0.631</t>
  </si>
  <si>
    <t>11.86</t>
  </si>
  <si>
    <t>11.52</t>
  </si>
  <si>
    <t>0.768</t>
  </si>
  <si>
    <t>1.43</t>
  </si>
  <si>
    <t>9.08</t>
  </si>
  <si>
    <t>1.39</t>
  </si>
  <si>
    <t>IMG_6520.HEIC</t>
  </si>
  <si>
    <t>13.27</t>
  </si>
  <si>
    <t>9.26</t>
  </si>
  <si>
    <t>1.91</t>
  </si>
  <si>
    <t>10.3</t>
  </si>
  <si>
    <t>123.78</t>
  </si>
  <si>
    <t>0.566</t>
  </si>
  <si>
    <t>11.66</t>
  </si>
  <si>
    <t>11.72</t>
  </si>
  <si>
    <t>11.46</t>
  </si>
  <si>
    <t>10.15</t>
  </si>
  <si>
    <t>11.92</t>
  </si>
  <si>
    <t>11.19</t>
  </si>
  <si>
    <t>12.21</t>
  </si>
  <si>
    <t>IMG_6521.HEIC</t>
  </si>
  <si>
    <t>12.28</t>
  </si>
  <si>
    <t>10.09</t>
  </si>
  <si>
    <t>11.13</t>
  </si>
  <si>
    <t>120.32</t>
  </si>
  <si>
    <t>0.632</t>
  </si>
  <si>
    <t>9.62</t>
  </si>
  <si>
    <t>14.2</t>
  </si>
  <si>
    <t>9.13</t>
  </si>
  <si>
    <t>8.99</t>
  </si>
  <si>
    <t>1.35</t>
  </si>
  <si>
    <t>14.97</t>
  </si>
  <si>
    <t>0.875</t>
  </si>
  <si>
    <t>IMG_6522.HEIC</t>
  </si>
  <si>
    <t>11.98</t>
  </si>
  <si>
    <t>11.4</t>
  </si>
  <si>
    <t>120.71</t>
  </si>
  <si>
    <t>10.54</t>
  </si>
  <si>
    <t>1.48</t>
  </si>
  <si>
    <t>0.552</t>
  </si>
  <si>
    <t>11.31</t>
  </si>
  <si>
    <t>12.08</t>
  </si>
  <si>
    <t>0.896</t>
  </si>
  <si>
    <t>IMG_6524.HEIC</t>
  </si>
  <si>
    <t>12.4</t>
  </si>
  <si>
    <t>11.02</t>
  </si>
  <si>
    <t>119.96</t>
  </si>
  <si>
    <t>0.625</t>
  </si>
  <si>
    <t>1.29</t>
  </si>
  <si>
    <t>0.545</t>
  </si>
  <si>
    <t>9.25</t>
  </si>
  <si>
    <t>14.77</t>
  </si>
  <si>
    <t>4.09</t>
  </si>
  <si>
    <t>33.38</t>
  </si>
  <si>
    <t>0.39</t>
  </si>
  <si>
    <t>IMG_6525.HEIC</t>
  </si>
  <si>
    <t>12.77</t>
  </si>
  <si>
    <t>10.12</t>
  </si>
  <si>
    <t>10.7</t>
  </si>
  <si>
    <t>128.56</t>
  </si>
  <si>
    <t>9.06</t>
  </si>
  <si>
    <t>0.726</t>
  </si>
  <si>
    <t>10.71</t>
  </si>
  <si>
    <t>8.93</t>
  </si>
  <si>
    <t>12.75</t>
  </si>
  <si>
    <t>0.882</t>
  </si>
  <si>
    <t>0.989</t>
  </si>
  <si>
    <t>5.73</t>
  </si>
  <si>
    <t>9.29</t>
  </si>
  <si>
    <t>23.84</t>
  </si>
  <si>
    <t>0.528</t>
  </si>
  <si>
    <t>13.77</t>
  </si>
  <si>
    <t>0.55</t>
  </si>
  <si>
    <t>IMG_6526.HEIC</t>
  </si>
  <si>
    <t>10.19</t>
  </si>
  <si>
    <t>1.95</t>
  </si>
  <si>
    <t>133.1</t>
  </si>
  <si>
    <t>9.45</t>
  </si>
  <si>
    <t>14.46</t>
  </si>
  <si>
    <t>9.95</t>
  </si>
  <si>
    <t>0.616</t>
  </si>
  <si>
    <t>9.03</t>
  </si>
  <si>
    <t>0.554</t>
  </si>
  <si>
    <t>0.908</t>
  </si>
  <si>
    <t>0.3</t>
  </si>
  <si>
    <t>68.85</t>
  </si>
  <si>
    <t>0.42</t>
  </si>
  <si>
    <t>0.502</t>
  </si>
  <si>
    <t>IMG_6527.HEIC</t>
  </si>
  <si>
    <t>10.84</t>
  </si>
  <si>
    <t>130.32</t>
  </si>
  <si>
    <t>0.602</t>
  </si>
  <si>
    <t>0.734</t>
  </si>
  <si>
    <t>10.02</t>
  </si>
  <si>
    <t>10.99</t>
  </si>
  <si>
    <t>8.8</t>
  </si>
  <si>
    <t>12.43</t>
  </si>
  <si>
    <t>6.42</t>
  </si>
  <si>
    <t>9.76</t>
  </si>
  <si>
    <t>21.27</t>
  </si>
  <si>
    <t>9.23</t>
  </si>
  <si>
    <t>14.81</t>
  </si>
  <si>
    <t>0.991</t>
  </si>
  <si>
    <t>21.69</t>
  </si>
  <si>
    <t>IMG_6528.HEIC</t>
  </si>
  <si>
    <t>10.39</t>
  </si>
  <si>
    <t>13.15</t>
  </si>
  <si>
    <t>91.1</t>
  </si>
  <si>
    <t>15.23</t>
  </si>
  <si>
    <t>8.97</t>
  </si>
  <si>
    <t>15.18</t>
  </si>
  <si>
    <t>1.96</t>
  </si>
  <si>
    <t>0.596</t>
  </si>
  <si>
    <t>9.3</t>
  </si>
  <si>
    <t>14.69</t>
  </si>
  <si>
    <t>0.946</t>
  </si>
  <si>
    <t>1.28</t>
  </si>
  <si>
    <t>0.725</t>
  </si>
  <si>
    <t>3.27</t>
  </si>
  <si>
    <t>41.73</t>
  </si>
  <si>
    <t>0.5</t>
  </si>
  <si>
    <t>0.513</t>
  </si>
  <si>
    <t>3.0</t>
  </si>
  <si>
    <t>2.78</t>
  </si>
  <si>
    <t>45.52</t>
  </si>
  <si>
    <t>0.48</t>
  </si>
  <si>
    <t>0.795</t>
  </si>
  <si>
    <t>IMG_6529.HEIC</t>
  </si>
  <si>
    <t>15.0</t>
  </si>
  <si>
    <t>2.0</t>
  </si>
  <si>
    <t>50.1</t>
  </si>
  <si>
    <t>0.754</t>
  </si>
  <si>
    <t>10.57</t>
  </si>
  <si>
    <t>9.39</t>
  </si>
  <si>
    <t>0.553</t>
  </si>
  <si>
    <t>9.27</t>
  </si>
  <si>
    <t>8.7</t>
  </si>
  <si>
    <t>14.05</t>
  </si>
  <si>
    <t>0.858</t>
  </si>
  <si>
    <t>14.24</t>
  </si>
  <si>
    <t>12.3</t>
  </si>
  <si>
    <t>9.6</t>
  </si>
  <si>
    <t>0.735</t>
  </si>
  <si>
    <t>3.45</t>
  </si>
  <si>
    <t>39.63</t>
  </si>
  <si>
    <t>0.518</t>
  </si>
  <si>
    <t>3.15</t>
  </si>
  <si>
    <t>2.84</t>
  </si>
  <si>
    <t>43.37</t>
  </si>
  <si>
    <t>0.808</t>
  </si>
  <si>
    <t>0.32</t>
  </si>
  <si>
    <t>0.37</t>
  </si>
  <si>
    <t>0.678</t>
  </si>
  <si>
    <t>IMG_6530.HEIC</t>
  </si>
  <si>
    <t>43.27</t>
  </si>
  <si>
    <t>9.16</t>
  </si>
  <si>
    <t>9.57</t>
  </si>
  <si>
    <t>14.27</t>
  </si>
  <si>
    <t>0.899</t>
  </si>
  <si>
    <t>0.646</t>
  </si>
  <si>
    <t>14.16</t>
  </si>
  <si>
    <t>10.28</t>
  </si>
  <si>
    <t>9.65</t>
  </si>
  <si>
    <t>0.576</t>
  </si>
  <si>
    <t>11.06</t>
  </si>
  <si>
    <t>12.35</t>
  </si>
  <si>
    <t>0.61</t>
  </si>
  <si>
    <t>IMG_6532.HEIC</t>
  </si>
  <si>
    <t>6.71</t>
  </si>
  <si>
    <t>131.36</t>
  </si>
  <si>
    <t>17.6</t>
  </si>
  <si>
    <t>0.887</t>
  </si>
  <si>
    <t>4.46</t>
  </si>
  <si>
    <t>30.6</t>
  </si>
  <si>
    <t>0.847</t>
  </si>
  <si>
    <t>0.969</t>
  </si>
  <si>
    <t>10.74</t>
  </si>
  <si>
    <t>7.21</t>
  </si>
  <si>
    <t>1.99</t>
  </si>
  <si>
    <t>12.72</t>
  </si>
  <si>
    <t>0.76</t>
  </si>
  <si>
    <t>0.704</t>
  </si>
  <si>
    <t>7.19</t>
  </si>
  <si>
    <t>7.24</t>
  </si>
  <si>
    <t>18.99</t>
  </si>
  <si>
    <t>0.912</t>
  </si>
  <si>
    <t>13.63</t>
  </si>
  <si>
    <t>0.549</t>
  </si>
  <si>
    <t>8.46</t>
  </si>
  <si>
    <t>6.78</t>
  </si>
  <si>
    <t>16.15</t>
  </si>
  <si>
    <t>14.23</t>
  </si>
  <si>
    <t>0.796</t>
  </si>
  <si>
    <t>IMG_6533.HEIC</t>
  </si>
  <si>
    <t>6.08</t>
  </si>
  <si>
    <t>22.48</t>
  </si>
  <si>
    <t>124.19</t>
  </si>
  <si>
    <t>0.688</t>
  </si>
  <si>
    <t>13.39</t>
  </si>
  <si>
    <t>8.56</t>
  </si>
  <si>
    <t>10.2</t>
  </si>
  <si>
    <t>0.588</t>
  </si>
  <si>
    <t>0.751</t>
  </si>
  <si>
    <t>6.55</t>
  </si>
  <si>
    <t>20.55</t>
  </si>
  <si>
    <t>11.01</t>
  </si>
  <si>
    <t>12.41</t>
  </si>
  <si>
    <t>0.556</t>
  </si>
  <si>
    <t>6.85</t>
  </si>
  <si>
    <t>1.27</t>
  </si>
  <si>
    <t>19.96</t>
  </si>
  <si>
    <t>IMG_6534.HEIC</t>
  </si>
  <si>
    <t>6.67</t>
  </si>
  <si>
    <t>6.58</t>
  </si>
  <si>
    <t>20.48</t>
  </si>
  <si>
    <t>0.937</t>
  </si>
  <si>
    <t>5.75</t>
  </si>
  <si>
    <t>8.4</t>
  </si>
  <si>
    <t>23.74</t>
  </si>
  <si>
    <t>0.529</t>
  </si>
  <si>
    <t>11.16</t>
  </si>
  <si>
    <t>2.24</t>
  </si>
  <si>
    <t>12.24</t>
  </si>
  <si>
    <t>0.686</t>
  </si>
  <si>
    <t>6.47</t>
  </si>
  <si>
    <t>21.1</t>
  </si>
  <si>
    <t>IMG_6535.HEIC</t>
  </si>
  <si>
    <t>3.67</t>
  </si>
  <si>
    <t>8.1</t>
  </si>
  <si>
    <t>37.22</t>
  </si>
  <si>
    <t>125.44</t>
  </si>
  <si>
    <t>2.26</t>
  </si>
  <si>
    <t>0.667</t>
  </si>
  <si>
    <t>6.72</t>
  </si>
  <si>
    <t>20.32</t>
  </si>
  <si>
    <t>0.941</t>
  </si>
  <si>
    <t>6.7</t>
  </si>
  <si>
    <t>20.4</t>
  </si>
  <si>
    <t>IMG_6536.HEIC</t>
  </si>
  <si>
    <t>11.61</t>
  </si>
  <si>
    <t>6.88</t>
  </si>
  <si>
    <t>2.25</t>
  </si>
  <si>
    <t>11.77</t>
  </si>
  <si>
    <t>123.85</t>
  </si>
  <si>
    <t>3.99</t>
  </si>
  <si>
    <t>8.23</t>
  </si>
  <si>
    <t>34.21</t>
  </si>
  <si>
    <t>0.52</t>
  </si>
  <si>
    <t>6.87</t>
  </si>
  <si>
    <t>19.88</t>
  </si>
  <si>
    <t>0.939</t>
  </si>
  <si>
    <t>6.28</t>
  </si>
  <si>
    <t>3.9</t>
  </si>
  <si>
    <t>0.984</t>
  </si>
  <si>
    <t>IMG_6537.HEIC</t>
  </si>
  <si>
    <t>125.68</t>
  </si>
  <si>
    <t>0.928</t>
  </si>
  <si>
    <t>10.07</t>
  </si>
  <si>
    <t>13.57</t>
  </si>
  <si>
    <t>0.685</t>
  </si>
  <si>
    <t>6.82</t>
  </si>
  <si>
    <t>20.03</t>
  </si>
  <si>
    <t>4.86</t>
  </si>
  <si>
    <t>4.4</t>
  </si>
  <si>
    <t>28.1</t>
  </si>
  <si>
    <t>IMG_6538.HEIC</t>
  </si>
  <si>
    <t>10.24</t>
  </si>
  <si>
    <t>13.34</t>
  </si>
  <si>
    <t>123.25</t>
  </si>
  <si>
    <t>0.696</t>
  </si>
  <si>
    <t>6.6</t>
  </si>
  <si>
    <t>8.5</t>
  </si>
  <si>
    <t>1.04</t>
  </si>
  <si>
    <t>20.71</t>
  </si>
  <si>
    <t>6.99</t>
  </si>
  <si>
    <t>19.53</t>
  </si>
  <si>
    <t>11.14</t>
  </si>
  <si>
    <t>7.34</t>
  </si>
  <si>
    <t>12.27</t>
  </si>
  <si>
    <t>6.81</t>
  </si>
  <si>
    <t>20.18</t>
  </si>
  <si>
    <t>0.931</t>
  </si>
  <si>
    <t>6.45</t>
  </si>
  <si>
    <t>7.04</t>
  </si>
  <si>
    <t>1.22</t>
  </si>
  <si>
    <t>21.18</t>
  </si>
  <si>
    <t>0.44</t>
  </si>
  <si>
    <t>0.637</t>
  </si>
  <si>
    <t>27.62</t>
  </si>
  <si>
    <t>0.4</t>
  </si>
  <si>
    <t>IMG_6539.HEIC</t>
  </si>
  <si>
    <t>10.29</t>
  </si>
  <si>
    <t>118.42</t>
  </si>
  <si>
    <t>6.8</t>
  </si>
  <si>
    <t>20.1</t>
  </si>
  <si>
    <t>7.97</t>
  </si>
  <si>
    <t>11.43</t>
  </si>
  <si>
    <t>7.37</t>
  </si>
  <si>
    <t>2.07</t>
  </si>
  <si>
    <t>11.95</t>
  </si>
  <si>
    <t>0.607</t>
  </si>
  <si>
    <t>IMG_6540.HEIC</t>
  </si>
  <si>
    <t>11.21</t>
  </si>
  <si>
    <t>6.91</t>
  </si>
  <si>
    <t>2.16</t>
  </si>
  <si>
    <t>12.19</t>
  </si>
  <si>
    <t>123.36</t>
  </si>
  <si>
    <t>0.668</t>
  </si>
  <si>
    <t>1.26</t>
  </si>
  <si>
    <t>IMG_6541.HEIC</t>
  </si>
  <si>
    <t>6.62</t>
  </si>
  <si>
    <t>20.63</t>
  </si>
  <si>
    <t>122.81</t>
  </si>
  <si>
    <t>2.93</t>
  </si>
  <si>
    <t>0.49</t>
  </si>
  <si>
    <t>46.68</t>
  </si>
  <si>
    <t>0.514</t>
  </si>
  <si>
    <t>8.53</t>
  </si>
  <si>
    <t>16.01</t>
  </si>
  <si>
    <t>IMG_6542.HEIC</t>
  </si>
  <si>
    <t>121.53</t>
  </si>
  <si>
    <t>0.691</t>
  </si>
  <si>
    <t>6.1</t>
  </si>
  <si>
    <t>22.39</t>
  </si>
  <si>
    <t>1.31</t>
  </si>
  <si>
    <t>6.92</t>
  </si>
  <si>
    <t>6.98</t>
  </si>
  <si>
    <t>19.74</t>
  </si>
  <si>
    <t>10.44</t>
  </si>
  <si>
    <t>2.2</t>
  </si>
  <si>
    <t>13.08</t>
  </si>
  <si>
    <t>5.68</t>
  </si>
  <si>
    <t>6.12</t>
  </si>
  <si>
    <t>1.24</t>
  </si>
  <si>
    <t>24.05</t>
  </si>
  <si>
    <t>IMG_6543.HEIC</t>
  </si>
  <si>
    <t>16.79</t>
  </si>
  <si>
    <t>122.18</t>
  </si>
  <si>
    <t>0.857</t>
  </si>
  <si>
    <t>6.52</t>
  </si>
  <si>
    <t>20.94</t>
  </si>
  <si>
    <t>0.925</t>
  </si>
  <si>
    <t>7.27</t>
  </si>
  <si>
    <t>18.8</t>
  </si>
  <si>
    <t>5.72</t>
  </si>
  <si>
    <t>1.56</t>
  </si>
  <si>
    <t>0.534</t>
  </si>
  <si>
    <t>IMG_6544.HEIC</t>
  </si>
  <si>
    <t>9.97</t>
  </si>
  <si>
    <t>1.55</t>
  </si>
  <si>
    <t>13.7</t>
  </si>
  <si>
    <t>128.21</t>
  </si>
  <si>
    <t>10.17</t>
  </si>
  <si>
    <t>13.43</t>
  </si>
  <si>
    <t>0.718</t>
  </si>
  <si>
    <t>0.911</t>
  </si>
  <si>
    <t>4.99</t>
  </si>
  <si>
    <t>27.4</t>
  </si>
  <si>
    <t>0.786</t>
  </si>
  <si>
    <t>6.18</t>
  </si>
  <si>
    <t>14.49</t>
  </si>
  <si>
    <t>1.23</t>
  </si>
  <si>
    <t>7.86</t>
  </si>
  <si>
    <t>17.38</t>
  </si>
  <si>
    <t>0.727</t>
  </si>
  <si>
    <t>4.61</t>
  </si>
  <si>
    <t>29.61</t>
  </si>
  <si>
    <t>0.819</t>
  </si>
  <si>
    <t>IMG_6545.HEIC</t>
  </si>
  <si>
    <t>127.5</t>
  </si>
  <si>
    <t>0.651</t>
  </si>
  <si>
    <t>0.968</t>
  </si>
  <si>
    <t>0.929</t>
  </si>
  <si>
    <t>4.71</t>
  </si>
  <si>
    <t>28.99</t>
  </si>
  <si>
    <t>6.22</t>
  </si>
  <si>
    <t>0.895</t>
  </si>
  <si>
    <t>0.564</t>
  </si>
  <si>
    <t>2.13</t>
  </si>
  <si>
    <t>64.05</t>
  </si>
  <si>
    <t>8.88</t>
  </si>
  <si>
    <t>15.39</t>
  </si>
  <si>
    <t>IMG_6546.HEIC</t>
  </si>
  <si>
    <t>12.62</t>
  </si>
  <si>
    <t>8.07</t>
  </si>
  <si>
    <t>2.09</t>
  </si>
  <si>
    <t>10.82</t>
  </si>
  <si>
    <t>133.3</t>
  </si>
  <si>
    <t>0.866</t>
  </si>
  <si>
    <t>0.761</t>
  </si>
  <si>
    <t>2.06</t>
  </si>
  <si>
    <t>13.24</t>
  </si>
  <si>
    <t>19.39</t>
  </si>
  <si>
    <t>12.65</t>
  </si>
  <si>
    <t>2.5</t>
  </si>
  <si>
    <t>10.8</t>
  </si>
  <si>
    <t>0.568</t>
  </si>
  <si>
    <t>7.41</t>
  </si>
  <si>
    <t>7.01</t>
  </si>
  <si>
    <t>17.0</t>
  </si>
  <si>
    <t>6.05</t>
  </si>
  <si>
    <t>22.57</t>
  </si>
  <si>
    <t>1.14</t>
  </si>
  <si>
    <t>2.58</t>
  </si>
  <si>
    <t>3.24</t>
  </si>
  <si>
    <t>1.06</t>
  </si>
  <si>
    <t>52.96</t>
  </si>
  <si>
    <t>0.817</t>
  </si>
  <si>
    <t>IMG_6547.HEIC</t>
  </si>
  <si>
    <t>128.47</t>
  </si>
  <si>
    <t>10.79</t>
  </si>
  <si>
    <t>2.19</t>
  </si>
  <si>
    <t>12.66</t>
  </si>
  <si>
    <t>0.659</t>
  </si>
  <si>
    <t>8.26</t>
  </si>
  <si>
    <t>16.54</t>
  </si>
  <si>
    <t>0.851</t>
  </si>
  <si>
    <t>7.17</t>
  </si>
  <si>
    <t>19.06</t>
  </si>
  <si>
    <t>0.917</t>
  </si>
  <si>
    <t>13.4</t>
  </si>
  <si>
    <t>0.757</t>
  </si>
  <si>
    <t>5.8</t>
  </si>
  <si>
    <t>23.54</t>
  </si>
  <si>
    <t>0.598</t>
  </si>
  <si>
    <t>2.41</t>
  </si>
  <si>
    <t>2.81</t>
  </si>
  <si>
    <t>56.78</t>
  </si>
  <si>
    <t>2.54</t>
  </si>
  <si>
    <t>10.72</t>
  </si>
  <si>
    <t>IMG_6548.HEIC</t>
  </si>
  <si>
    <t>11.83</t>
  </si>
  <si>
    <t>7.8</t>
  </si>
  <si>
    <t>11.55</t>
  </si>
  <si>
    <t>52.63</t>
  </si>
  <si>
    <t>0.707</t>
  </si>
  <si>
    <t>0.611</t>
  </si>
  <si>
    <t>0.892</t>
  </si>
  <si>
    <t>7.81</t>
  </si>
  <si>
    <t>17.49</t>
  </si>
  <si>
    <t>0.914</t>
  </si>
  <si>
    <t>0.993</t>
  </si>
  <si>
    <t>3.62</t>
  </si>
  <si>
    <t>5.62</t>
  </si>
  <si>
    <t>37.73</t>
  </si>
  <si>
    <t>5.53</t>
  </si>
  <si>
    <t>24.7</t>
  </si>
  <si>
    <t>13.87</t>
  </si>
  <si>
    <t>0.814</t>
  </si>
  <si>
    <t>18.73</t>
  </si>
  <si>
    <t>0.614</t>
  </si>
  <si>
    <t>IMG_6549.HEIC</t>
  </si>
  <si>
    <t>2.12</t>
  </si>
  <si>
    <t>52.47</t>
  </si>
  <si>
    <t>6.97</t>
  </si>
  <si>
    <t>19.6</t>
  </si>
  <si>
    <t>9.19</t>
  </si>
  <si>
    <t>0.779</t>
  </si>
  <si>
    <t>0.918</t>
  </si>
  <si>
    <t>2.98</t>
  </si>
  <si>
    <t>45.9</t>
  </si>
  <si>
    <t>5.46</t>
  </si>
  <si>
    <t>25.04</t>
  </si>
  <si>
    <t>0.567</t>
  </si>
  <si>
    <t>17.65</t>
  </si>
  <si>
    <t>12.45</t>
  </si>
  <si>
    <t>3.84</t>
  </si>
  <si>
    <t>4.33</t>
  </si>
  <si>
    <t>10.97</t>
  </si>
  <si>
    <t>0.664</t>
  </si>
  <si>
    <t>9.7</t>
  </si>
  <si>
    <t>14.09</t>
  </si>
  <si>
    <t>IMG_6561.HEIC</t>
  </si>
  <si>
    <t>13.64</t>
  </si>
  <si>
    <t>10.01</t>
  </si>
  <si>
    <t>132.18</t>
  </si>
  <si>
    <t>7.56</t>
  </si>
  <si>
    <t>18.06</t>
  </si>
  <si>
    <t>0.538</t>
  </si>
  <si>
    <t>17.39</t>
  </si>
  <si>
    <t>0.834</t>
  </si>
  <si>
    <t>17.41</t>
  </si>
  <si>
    <t>10.9</t>
  </si>
  <si>
    <t>0.54</t>
  </si>
  <si>
    <t>IMG_6562.HEIC</t>
  </si>
  <si>
    <t>128.13</t>
  </si>
  <si>
    <t>0.956</t>
  </si>
  <si>
    <t>8.95</t>
  </si>
  <si>
    <t>13.29</t>
  </si>
  <si>
    <t>15.26</t>
  </si>
  <si>
    <t>17.29</t>
  </si>
  <si>
    <t>7.9</t>
  </si>
  <si>
    <t>IMG_6563.HEIC</t>
  </si>
  <si>
    <t>130.6</t>
  </si>
  <si>
    <t>18.9</t>
  </si>
  <si>
    <t>13.92</t>
  </si>
  <si>
    <t>1.81</t>
  </si>
  <si>
    <t>7.23</t>
  </si>
  <si>
    <t>17.58</t>
  </si>
  <si>
    <t>14.78</t>
  </si>
  <si>
    <t>7.77</t>
  </si>
  <si>
    <t>0.792</t>
  </si>
  <si>
    <t>IMG_6568.HEIC</t>
  </si>
  <si>
    <t>124.13</t>
  </si>
  <si>
    <t>17.36</t>
  </si>
  <si>
    <t>14.58</t>
  </si>
  <si>
    <t>20.21</t>
  </si>
  <si>
    <t>13.62</t>
  </si>
  <si>
    <t>6.76</t>
  </si>
  <si>
    <t>0.604</t>
  </si>
  <si>
    <t>IMG_6570.HEIC</t>
  </si>
  <si>
    <t>130.44</t>
  </si>
  <si>
    <t>18.65</t>
  </si>
  <si>
    <t>13.99</t>
  </si>
  <si>
    <t>7.32</t>
  </si>
  <si>
    <t>12.83</t>
  </si>
  <si>
    <t>14.88</t>
  </si>
  <si>
    <t>0.791</t>
  </si>
  <si>
    <t>IMG_6571.HEIC</t>
  </si>
  <si>
    <t>123.35</t>
  </si>
  <si>
    <t>0.855</t>
  </si>
  <si>
    <t>14.43</t>
  </si>
  <si>
    <t>0.947</t>
  </si>
  <si>
    <t>19.12</t>
  </si>
  <si>
    <t>15.44</t>
  </si>
  <si>
    <t>7.14</t>
  </si>
  <si>
    <t>0.745</t>
  </si>
  <si>
    <t>18.52</t>
  </si>
  <si>
    <t>IMG_6572.HEIC</t>
  </si>
  <si>
    <t>16.77</t>
  </si>
  <si>
    <t>13.53</t>
  </si>
  <si>
    <t>8.15</t>
  </si>
  <si>
    <t>128.17</t>
  </si>
  <si>
    <t>0.782</t>
  </si>
  <si>
    <t>21.88</t>
  </si>
  <si>
    <t>14.55</t>
  </si>
  <si>
    <t>6.24</t>
  </si>
  <si>
    <t>17.31</t>
  </si>
  <si>
    <t>7.89</t>
  </si>
  <si>
    <t>0.827</t>
  </si>
  <si>
    <t>IMG_6573.HEIC</t>
  </si>
  <si>
    <t>16.64</t>
  </si>
  <si>
    <t>8.21</t>
  </si>
  <si>
    <t>129.83</t>
  </si>
  <si>
    <t>0.963</t>
  </si>
  <si>
    <t>5.28</t>
  </si>
  <si>
    <t>25.86</t>
  </si>
  <si>
    <t>0.62</t>
  </si>
  <si>
    <t>IMG_6574.HEIC</t>
  </si>
  <si>
    <t>21.65</t>
  </si>
  <si>
    <t>6.31</t>
  </si>
  <si>
    <t>127.94</t>
  </si>
  <si>
    <t>0.655</t>
  </si>
  <si>
    <t>8.61</t>
  </si>
  <si>
    <t>0.884</t>
  </si>
  <si>
    <t>13.94</t>
  </si>
  <si>
    <t>9.8</t>
  </si>
  <si>
    <t>IMG_6575.HEIC</t>
  </si>
  <si>
    <t>16.25</t>
  </si>
  <si>
    <t>1.71</t>
  </si>
  <si>
    <t>8.41</t>
  </si>
  <si>
    <t>116.55</t>
  </si>
  <si>
    <t>14.01</t>
  </si>
  <si>
    <t>9.75</t>
  </si>
  <si>
    <t>21.53</t>
  </si>
  <si>
    <t>19.44</t>
  </si>
  <si>
    <t>6.35</t>
  </si>
  <si>
    <t>0.737</t>
  </si>
  <si>
    <t>IMG_6576.HEIC</t>
  </si>
  <si>
    <t>16.17</t>
  </si>
  <si>
    <t>8.45</t>
  </si>
  <si>
    <t>45.88</t>
  </si>
  <si>
    <t>13.26</t>
  </si>
  <si>
    <t>0.643</t>
  </si>
  <si>
    <t>13.91</t>
  </si>
  <si>
    <t>9.82</t>
  </si>
  <si>
    <t>0.954</t>
  </si>
  <si>
    <t>16.29</t>
  </si>
  <si>
    <t>17.13</t>
  </si>
  <si>
    <t>8.38</t>
  </si>
  <si>
    <t>0.581</t>
  </si>
  <si>
    <t>20.73</t>
  </si>
  <si>
    <t>19.05</t>
  </si>
  <si>
    <t>6.59</t>
  </si>
  <si>
    <t>IMG_6577.HEIC</t>
  </si>
  <si>
    <t>16.57</t>
  </si>
  <si>
    <t>1.69</t>
  </si>
  <si>
    <t>8.25</t>
  </si>
  <si>
    <t>77.0</t>
  </si>
  <si>
    <t>9.84</t>
  </si>
  <si>
    <t>21.16</t>
  </si>
  <si>
    <t>6.46</t>
  </si>
  <si>
    <t>18.45</t>
  </si>
  <si>
    <t>0.38</t>
  </si>
  <si>
    <t>IMG_6578.HEIC</t>
  </si>
  <si>
    <t>15.5</t>
  </si>
  <si>
    <t>8.81</t>
  </si>
  <si>
    <t>48.6</t>
  </si>
  <si>
    <t>15.25</t>
  </si>
  <si>
    <t>0.577</t>
  </si>
  <si>
    <t>20.39</t>
  </si>
  <si>
    <t>19.11</t>
  </si>
  <si>
    <t>16.59</t>
  </si>
  <si>
    <t>0.541</t>
  </si>
  <si>
    <t>0.856</t>
  </si>
  <si>
    <t>IMG_6579.HEIC</t>
  </si>
  <si>
    <t>132.03</t>
  </si>
  <si>
    <t>18.98</t>
  </si>
  <si>
    <t>0.746</t>
  </si>
  <si>
    <t>0.544</t>
  </si>
  <si>
    <t>IMG_6588.HEIC</t>
  </si>
  <si>
    <t>135.32</t>
  </si>
  <si>
    <t>0.601</t>
  </si>
  <si>
    <t>11.34</t>
  </si>
  <si>
    <t>0.867</t>
  </si>
  <si>
    <t>14.29</t>
  </si>
  <si>
    <t>0.709</t>
  </si>
  <si>
    <t>15.03</t>
  </si>
  <si>
    <t>9.09</t>
  </si>
  <si>
    <t>0.574</t>
  </si>
  <si>
    <t>7.64</t>
  </si>
  <si>
    <t>0.711</t>
  </si>
  <si>
    <t>IMG_6590.HEIC</t>
  </si>
  <si>
    <t>2.22</t>
  </si>
  <si>
    <t>132.23</t>
  </si>
  <si>
    <t>0.58</t>
  </si>
  <si>
    <t>12.13</t>
  </si>
  <si>
    <t>11.26</t>
  </si>
  <si>
    <t>14.68</t>
  </si>
  <si>
    <t>2.3</t>
  </si>
  <si>
    <t>0.713</t>
  </si>
  <si>
    <t>16.39</t>
  </si>
  <si>
    <t>2.11</t>
  </si>
  <si>
    <t>8.33</t>
  </si>
  <si>
    <t>10.81</t>
  </si>
  <si>
    <t>12.63</t>
  </si>
  <si>
    <t>0.699</t>
  </si>
  <si>
    <t>0.877</t>
  </si>
  <si>
    <t>3.47</t>
  </si>
  <si>
    <t>1.21</t>
  </si>
  <si>
    <t>0.742</t>
  </si>
  <si>
    <t>IMG_6593.HEIC</t>
  </si>
  <si>
    <t>134.51</t>
  </si>
  <si>
    <t>0.778</t>
  </si>
  <si>
    <t>0.694</t>
  </si>
  <si>
    <t>2.36</t>
  </si>
  <si>
    <t>8.72</t>
  </si>
  <si>
    <t>0.624</t>
  </si>
  <si>
    <t>9.67</t>
  </si>
  <si>
    <t>14.12</t>
  </si>
  <si>
    <t>1.73</t>
  </si>
  <si>
    <t>IMG_6594.HEIC</t>
  </si>
  <si>
    <t>10.93</t>
  </si>
  <si>
    <t>126.55</t>
  </si>
  <si>
    <t>0.619</t>
  </si>
  <si>
    <t>0.932</t>
  </si>
  <si>
    <t>2.33</t>
  </si>
  <si>
    <t>0.665</t>
  </si>
  <si>
    <t>0.708</t>
  </si>
  <si>
    <t>11.28</t>
  </si>
  <si>
    <t>11.71</t>
  </si>
  <si>
    <t>12.11</t>
  </si>
  <si>
    <t>IMG_6595.HEIC</t>
  </si>
  <si>
    <t>129.41</t>
  </si>
  <si>
    <t>2.27</t>
  </si>
  <si>
    <t>0.641</t>
  </si>
  <si>
    <t>12.48</t>
  </si>
  <si>
    <t>10.95</t>
  </si>
  <si>
    <t>0.813</t>
  </si>
  <si>
    <t>8.77</t>
  </si>
  <si>
    <t>15.13</t>
  </si>
  <si>
    <t>0.926</t>
  </si>
  <si>
    <t>IMG_6596.HEIC</t>
  </si>
  <si>
    <t>2.01</t>
  </si>
  <si>
    <t>134.18</t>
  </si>
  <si>
    <t>16.49</t>
  </si>
  <si>
    <t>2.31</t>
  </si>
  <si>
    <t>8.28</t>
  </si>
  <si>
    <t>11.68</t>
  </si>
  <si>
    <t>11.69</t>
  </si>
  <si>
    <t>0.854</t>
  </si>
  <si>
    <t>11.51</t>
  </si>
  <si>
    <t>14.31</t>
  </si>
  <si>
    <t>9.55</t>
  </si>
  <si>
    <t>IMG_6597.HEIC</t>
  </si>
  <si>
    <t>132.36</t>
  </si>
  <si>
    <t>0.889</t>
  </si>
  <si>
    <t>13.17</t>
  </si>
  <si>
    <t>0.949</t>
  </si>
  <si>
    <t>2.29</t>
  </si>
  <si>
    <t>0.674</t>
  </si>
  <si>
    <t>2.46</t>
  </si>
  <si>
    <t>55.64</t>
  </si>
  <si>
    <t>11.44</t>
  </si>
  <si>
    <t>IMG_6599.HEIC</t>
  </si>
  <si>
    <t>17.76</t>
  </si>
  <si>
    <t>9.69</t>
  </si>
  <si>
    <t>2.44</t>
  </si>
  <si>
    <t>7.69</t>
  </si>
  <si>
    <t>129.96</t>
  </si>
  <si>
    <t>0.594</t>
  </si>
  <si>
    <t>15.15</t>
  </si>
  <si>
    <t>9.99</t>
  </si>
  <si>
    <t>9.01</t>
  </si>
  <si>
    <t>0.849</t>
  </si>
  <si>
    <t>9.9</t>
  </si>
  <si>
    <t>13.8</t>
  </si>
  <si>
    <t>0.981</t>
  </si>
  <si>
    <t>11.58</t>
  </si>
  <si>
    <t>11.79</t>
  </si>
  <si>
    <t>0.871</t>
  </si>
  <si>
    <t>IMG_6601.HEIC</t>
  </si>
  <si>
    <t>10.14</t>
  </si>
  <si>
    <t>15.48</t>
  </si>
  <si>
    <t>13.47</t>
  </si>
  <si>
    <t>126.56</t>
  </si>
  <si>
    <t>11.53</t>
  </si>
  <si>
    <t>11.85</t>
  </si>
  <si>
    <t>0.844</t>
  </si>
  <si>
    <t>0.585</t>
  </si>
  <si>
    <t>14.11</t>
  </si>
  <si>
    <t>9.68</t>
  </si>
  <si>
    <t>0.703</t>
  </si>
  <si>
    <t>10.88</t>
  </si>
  <si>
    <t>0.909</t>
  </si>
  <si>
    <t>5.98</t>
  </si>
  <si>
    <t>22.85</t>
  </si>
  <si>
    <t>IMG_6602.HEIC</t>
  </si>
  <si>
    <t>12.0</t>
  </si>
  <si>
    <t>11.38</t>
  </si>
  <si>
    <t>131.54</t>
  </si>
  <si>
    <t>0.806</t>
  </si>
  <si>
    <t>0.903</t>
  </si>
  <si>
    <t>12.71</t>
  </si>
  <si>
    <t>0.657</t>
  </si>
  <si>
    <t>IMG_6603.HEIC</t>
  </si>
  <si>
    <t>11.67</t>
  </si>
  <si>
    <t>125.26</t>
  </si>
  <si>
    <t>0.835</t>
  </si>
  <si>
    <t>0.572</t>
  </si>
  <si>
    <t>2.23</t>
  </si>
  <si>
    <t>0.944</t>
  </si>
  <si>
    <t>14.34</t>
  </si>
  <si>
    <t>9.53</t>
  </si>
  <si>
    <t>0.692</t>
  </si>
  <si>
    <t>3.65</t>
  </si>
  <si>
    <t>5.92</t>
  </si>
  <si>
    <t>37.47</t>
  </si>
  <si>
    <t>0.697</t>
  </si>
  <si>
    <t>4.74</t>
  </si>
  <si>
    <t>5.39</t>
  </si>
  <si>
    <t>1.17</t>
  </si>
  <si>
    <t>28.84</t>
  </si>
  <si>
    <t>IMG_6604.HEIC</t>
  </si>
  <si>
    <t>101.13</t>
  </si>
  <si>
    <t>0.582</t>
  </si>
  <si>
    <t>14.61</t>
  </si>
  <si>
    <t>9.35</t>
  </si>
  <si>
    <t>0.864</t>
  </si>
  <si>
    <t>11.47</t>
  </si>
  <si>
    <t>0.863</t>
  </si>
  <si>
    <t>0.719</t>
  </si>
  <si>
    <t>IMG_6605.HEIC</t>
  </si>
  <si>
    <t>44.28</t>
  </si>
  <si>
    <t>0.986</t>
  </si>
  <si>
    <t>6.95</t>
  </si>
  <si>
    <t>0.862</t>
  </si>
  <si>
    <t>13.69</t>
  </si>
  <si>
    <t>9.98</t>
  </si>
  <si>
    <t>0.728</t>
  </si>
  <si>
    <t>IMG_6606.HEIC</t>
  </si>
  <si>
    <t>49.43</t>
  </si>
  <si>
    <t>0.852</t>
  </si>
  <si>
    <t>11.24</t>
  </si>
  <si>
    <t>12.16</t>
  </si>
  <si>
    <t>0.876</t>
  </si>
  <si>
    <t>0.759</t>
  </si>
  <si>
    <t>15.92</t>
  </si>
  <si>
    <t>8.58</t>
  </si>
  <si>
    <t>4.39</t>
  </si>
  <si>
    <t>12.07</t>
  </si>
  <si>
    <t>31.12</t>
  </si>
  <si>
    <t>0.522</t>
  </si>
  <si>
    <t>1.19</t>
  </si>
  <si>
    <t>10.67</t>
  </si>
  <si>
    <t>12.97</t>
  </si>
  <si>
    <t>10.53</t>
  </si>
  <si>
    <t>IMG_6607.HEIC</t>
  </si>
  <si>
    <t>133.15</t>
  </si>
  <si>
    <t>10.78</t>
  </si>
  <si>
    <t>14.26</t>
  </si>
  <si>
    <t>9.58</t>
  </si>
  <si>
    <t>7.91</t>
  </si>
  <si>
    <t>17.27</t>
  </si>
  <si>
    <t>10.69</t>
  </si>
  <si>
    <t>2.17</t>
  </si>
  <si>
    <t>12.78</t>
  </si>
  <si>
    <t>0.752</t>
  </si>
  <si>
    <t>5.63</t>
  </si>
  <si>
    <t>24.26</t>
  </si>
  <si>
    <t>IMG_6610.HEIC</t>
  </si>
  <si>
    <t>132.28</t>
  </si>
  <si>
    <t>0.975</t>
  </si>
  <si>
    <t>10.55</t>
  </si>
  <si>
    <t>0.731</t>
  </si>
  <si>
    <t>13.14</t>
  </si>
  <si>
    <t>1.15</t>
  </si>
  <si>
    <t>5.89</t>
  </si>
  <si>
    <t>57.98</t>
  </si>
  <si>
    <t>26.38</t>
  </si>
  <si>
    <t>0.904</t>
  </si>
  <si>
    <t>IMG_6611.HEIC</t>
  </si>
  <si>
    <t>130.16</t>
  </si>
  <si>
    <t>7.22</t>
  </si>
  <si>
    <t>18.93</t>
  </si>
  <si>
    <t>8.0</t>
  </si>
  <si>
    <t>1.11</t>
  </si>
  <si>
    <t>0.56</t>
  </si>
  <si>
    <t>17.32</t>
  </si>
  <si>
    <t>27.32</t>
  </si>
  <si>
    <t>0.905</t>
  </si>
  <si>
    <t>IMG_6612.HEIC</t>
  </si>
  <si>
    <t>11.33</t>
  </si>
  <si>
    <t>12.05</t>
  </si>
  <si>
    <t>134.92</t>
  </si>
  <si>
    <t>1.83</t>
  </si>
  <si>
    <t>6.38</t>
  </si>
  <si>
    <t>7.07</t>
  </si>
  <si>
    <t>19.33</t>
  </si>
  <si>
    <t>0.897</t>
  </si>
  <si>
    <t>IMG_6613.HEIC</t>
  </si>
  <si>
    <t>10.94</t>
  </si>
  <si>
    <t>12.49</t>
  </si>
  <si>
    <t>128.19</t>
  </si>
  <si>
    <t>0.662</t>
  </si>
  <si>
    <t>7.44</t>
  </si>
  <si>
    <t>18.36</t>
  </si>
  <si>
    <t>18.61</t>
  </si>
  <si>
    <t>0.748</t>
  </si>
  <si>
    <t>4.32</t>
  </si>
  <si>
    <t>1.05</t>
  </si>
  <si>
    <t>31.66</t>
  </si>
  <si>
    <t>0.913</t>
  </si>
  <si>
    <t>IMG_6615.HEIC</t>
  </si>
  <si>
    <t>7.51</t>
  </si>
  <si>
    <t>126.85</t>
  </si>
  <si>
    <t>10.65</t>
  </si>
  <si>
    <t>0.661</t>
  </si>
  <si>
    <t>9.36</t>
  </si>
  <si>
    <t>10.22</t>
  </si>
  <si>
    <t>13.37</t>
  </si>
  <si>
    <t>20.86</t>
  </si>
  <si>
    <t>IMG_6616.HEIC</t>
  </si>
  <si>
    <t>10.62</t>
  </si>
  <si>
    <t>130.86</t>
  </si>
  <si>
    <t>0.649</t>
  </si>
  <si>
    <t>7.02</t>
  </si>
  <si>
    <t>19.46</t>
  </si>
  <si>
    <t>0.815</t>
  </si>
  <si>
    <t>0.869</t>
  </si>
  <si>
    <t>4.69</t>
  </si>
  <si>
    <t>29.14</t>
  </si>
  <si>
    <t>IMG_6617.HEIC</t>
  </si>
  <si>
    <t>2.18</t>
  </si>
  <si>
    <t>0.653</t>
  </si>
  <si>
    <t>10.76</t>
  </si>
  <si>
    <t>12.69</t>
  </si>
  <si>
    <t>18.86</t>
  </si>
  <si>
    <t>0.825</t>
  </si>
  <si>
    <t>7.39</t>
  </si>
  <si>
    <t>18.48</t>
  </si>
  <si>
    <t>0.679</t>
  </si>
  <si>
    <t>27.15</t>
  </si>
  <si>
    <t>13.56</t>
  </si>
  <si>
    <t>0.569</t>
  </si>
  <si>
    <t>IMG_6618.HEIC</t>
  </si>
  <si>
    <t>11.73</t>
  </si>
  <si>
    <t>2.15</t>
  </si>
  <si>
    <t>11.64</t>
  </si>
  <si>
    <t>129.59</t>
  </si>
  <si>
    <t>10.64</t>
  </si>
  <si>
    <t>12.84</t>
  </si>
  <si>
    <t>0.716</t>
  </si>
  <si>
    <t>7.09</t>
  </si>
  <si>
    <t>19.26</t>
  </si>
  <si>
    <t>1.85</t>
  </si>
  <si>
    <t>0.798</t>
  </si>
  <si>
    <t>8.37</t>
  </si>
  <si>
    <t>18.67</t>
  </si>
  <si>
    <t>0.893</t>
  </si>
  <si>
    <t>0.565</t>
  </si>
  <si>
    <t>IMG_6619.HEIC</t>
  </si>
  <si>
    <t>131.67</t>
  </si>
  <si>
    <t>17.77</t>
  </si>
  <si>
    <t>10.52</t>
  </si>
  <si>
    <t>1.16</t>
  </si>
  <si>
    <t>2.88</t>
  </si>
  <si>
    <t>6.15</t>
  </si>
  <si>
    <t>47.48</t>
  </si>
  <si>
    <t>25.08</t>
  </si>
  <si>
    <t>0.902</t>
  </si>
  <si>
    <t>IMG_6620.HEIC</t>
  </si>
  <si>
    <t>11.2</t>
  </si>
  <si>
    <t>132.2</t>
  </si>
  <si>
    <t>0.634</t>
  </si>
  <si>
    <t>0.698</t>
  </si>
  <si>
    <t>1.13</t>
  </si>
  <si>
    <t>IMG_6621.HEIC</t>
  </si>
  <si>
    <t>128.5</t>
  </si>
  <si>
    <t>7.47</t>
  </si>
  <si>
    <t>16.34</t>
  </si>
  <si>
    <t>8.36</t>
  </si>
  <si>
    <t>15.52</t>
  </si>
  <si>
    <t>16.3</t>
  </si>
  <si>
    <t>IMG_6623.HEIC</t>
  </si>
  <si>
    <t>20.11</t>
  </si>
  <si>
    <t>2.62</t>
  </si>
  <si>
    <t>6.79</t>
  </si>
  <si>
    <t>124.96</t>
  </si>
  <si>
    <t>11.78</t>
  </si>
  <si>
    <t>11.6</t>
  </si>
  <si>
    <t>0.695</t>
  </si>
  <si>
    <t>0.935</t>
  </si>
  <si>
    <t>0.787</t>
  </si>
  <si>
    <t>1.12</t>
  </si>
  <si>
    <t>IMG_6625.HEIC</t>
  </si>
  <si>
    <t>2.52</t>
  </si>
  <si>
    <t>125.37</t>
  </si>
  <si>
    <t>0.702</t>
  </si>
  <si>
    <t>8.01</t>
  </si>
  <si>
    <t>17.05</t>
  </si>
  <si>
    <t>IMG_6626.HEIC</t>
  </si>
  <si>
    <t>48.94</t>
  </si>
  <si>
    <t>0.831</t>
  </si>
  <si>
    <t>0.923</t>
  </si>
  <si>
    <t>7.61</t>
  </si>
  <si>
    <t>17.94</t>
  </si>
  <si>
    <t>21.33</t>
  </si>
  <si>
    <t>2.71</t>
  </si>
  <si>
    <t>6.4</t>
  </si>
  <si>
    <t>0.736</t>
  </si>
  <si>
    <t>8.51</t>
  </si>
  <si>
    <t>16.06</t>
  </si>
  <si>
    <t>0.907</t>
  </si>
  <si>
    <t>IMG_6627.HEIC</t>
  </si>
  <si>
    <t>50.51</t>
  </si>
  <si>
    <t>0.744</t>
  </si>
  <si>
    <t>0.921</t>
  </si>
  <si>
    <t>0.652</t>
  </si>
  <si>
    <t>2.55</t>
  </si>
  <si>
    <t>7.4</t>
  </si>
  <si>
    <t>0.715</t>
  </si>
  <si>
    <t>4.07</t>
  </si>
  <si>
    <t>IMG_6628.HEIC</t>
  </si>
  <si>
    <t>50.7</t>
  </si>
  <si>
    <t>18.53</t>
  </si>
  <si>
    <t>2.57</t>
  </si>
  <si>
    <t>2.43</t>
  </si>
  <si>
    <t>8.16</t>
  </si>
  <si>
    <t>1.08</t>
  </si>
  <si>
    <t>16.74</t>
  </si>
  <si>
    <t>22.21</t>
  </si>
  <si>
    <t>0.881</t>
  </si>
  <si>
    <t>5.7</t>
  </si>
  <si>
    <t>4.03</t>
  </si>
  <si>
    <t>1.89</t>
  </si>
  <si>
    <t>23.95</t>
  </si>
  <si>
    <t>IMG_6630.HEIC</t>
  </si>
  <si>
    <t>46.2</t>
  </si>
  <si>
    <t>17.98</t>
  </si>
  <si>
    <t>2.48</t>
  </si>
  <si>
    <t>7.6</t>
  </si>
  <si>
    <t>2.6</t>
  </si>
  <si>
    <t>4.13</t>
  </si>
  <si>
    <t>52.46</t>
  </si>
  <si>
    <t>CenterScore</t>
  </si>
  <si>
    <t>Brightness</t>
  </si>
  <si>
    <t>Confidence</t>
  </si>
  <si>
    <t>Distance(m)</t>
  </si>
  <si>
    <t>Y_center</t>
  </si>
  <si>
    <t>X_center</t>
  </si>
  <si>
    <t>РђСЃРїРµРєС‚ (РЁ/Р’)</t>
  </si>
  <si>
    <t>Р’С‹СЃРѕС‚Р° (%)</t>
  </si>
  <si>
    <t>РЁРёСЂРёРЅР° (%)</t>
  </si>
  <si>
    <t>Р’С‹СЃРѕС‚Р° (px)</t>
  </si>
  <si>
    <t>РЁРёСЂРёРЅР° (px)</t>
  </si>
  <si>
    <t>Y2</t>
  </si>
  <si>
    <t>X2</t>
  </si>
  <si>
    <t>Y1</t>
  </si>
  <si>
    <t>X1</t>
  </si>
  <si>
    <t>Class</t>
  </si>
  <si>
    <t>DetID</t>
  </si>
  <si>
    <t>Image</t>
  </si>
  <si>
    <t>SourceFile</t>
  </si>
  <si>
    <t>ExifToolVersion</t>
  </si>
  <si>
    <t>FileName</t>
  </si>
  <si>
    <t>Directory</t>
  </si>
  <si>
    <t>FileSize</t>
  </si>
  <si>
    <t>FileModifyDate</t>
  </si>
  <si>
    <t>FileAccessDate</t>
  </si>
  <si>
    <t>FileInodeChangeDate</t>
  </si>
  <si>
    <t>FilePermissions</t>
  </si>
  <si>
    <t>FileType</t>
  </si>
  <si>
    <t>FileTypeExtension</t>
  </si>
  <si>
    <t>MIMEType</t>
  </si>
  <si>
    <t>MajorBrand</t>
  </si>
  <si>
    <t>MinorVersion</t>
  </si>
  <si>
    <t>CompatibleBrands</t>
  </si>
  <si>
    <t>HandlerType</t>
  </si>
  <si>
    <t>PrimaryItemReference</t>
  </si>
  <si>
    <t>MetaImageSize</t>
  </si>
  <si>
    <t>ExifByteOrder</t>
  </si>
  <si>
    <t>Make</t>
  </si>
  <si>
    <t>Model</t>
  </si>
  <si>
    <t>Orientation</t>
  </si>
  <si>
    <t>XResolution</t>
  </si>
  <si>
    <t>YResolution</t>
  </si>
  <si>
    <t>ResolutionUnit</t>
  </si>
  <si>
    <t>Software</t>
  </si>
  <si>
    <t>ModifyDate</t>
  </si>
  <si>
    <t>HostComputer</t>
  </si>
  <si>
    <t>ExposureTime</t>
  </si>
  <si>
    <t>FNumber</t>
  </si>
  <si>
    <t>ExposureProgram</t>
  </si>
  <si>
    <t>ISO</t>
  </si>
  <si>
    <t>ExifVersion</t>
  </si>
  <si>
    <t>DateTimeOriginal</t>
  </si>
  <si>
    <t>CreateDate</t>
  </si>
  <si>
    <t>OffsetTime</t>
  </si>
  <si>
    <t>OffsetTimeOriginal</t>
  </si>
  <si>
    <t>OffsetTimeDigitized</t>
  </si>
  <si>
    <t>ShutterSpeedValue</t>
  </si>
  <si>
    <t>ApertureValue</t>
  </si>
  <si>
    <t>BrightnessValue</t>
  </si>
  <si>
    <t>ExposureCompensation</t>
  </si>
  <si>
    <t>MeteringMode</t>
  </si>
  <si>
    <t>Flash</t>
  </si>
  <si>
    <t>FocalLength</t>
  </si>
  <si>
    <t>SubjectArea</t>
  </si>
  <si>
    <t>RunTimeFlags</t>
  </si>
  <si>
    <t>RunTimeValue</t>
  </si>
  <si>
    <t>RunTimeScale</t>
  </si>
  <si>
    <t>RunTimeEpoch</t>
  </si>
  <si>
    <t>AccelerationVector</t>
  </si>
  <si>
    <t>Warning</t>
  </si>
  <si>
    <t>SubSecTimeOriginal</t>
  </si>
  <si>
    <t>SubSecTimeDigitized</t>
  </si>
  <si>
    <t>ColorSpace</t>
  </si>
  <si>
    <t>ExifImageWidth</t>
  </si>
  <si>
    <t>ExifImageHeight</t>
  </si>
  <si>
    <t>SensingMethod</t>
  </si>
  <si>
    <t>SceneType</t>
  </si>
  <si>
    <t>ExposureMode</t>
  </si>
  <si>
    <t>WhiteBalance</t>
  </si>
  <si>
    <t>FocalLengthIn35mmFormat</t>
  </si>
  <si>
    <t>LensInfo</t>
  </si>
  <si>
    <t>LensMake</t>
  </si>
  <si>
    <t>LensModel</t>
  </si>
  <si>
    <t>CompositeImage</t>
  </si>
  <si>
    <t>GPSLatitudeRef</t>
  </si>
  <si>
    <t>GPSLongitudeRef</t>
  </si>
  <si>
    <t>GPSAltitudeRef</t>
  </si>
  <si>
    <t>GPSTimeStamp</t>
  </si>
  <si>
    <t>GPSSpeedRef</t>
  </si>
  <si>
    <t>GPSSpeed</t>
  </si>
  <si>
    <t>GPSImgDirectionRef</t>
  </si>
  <si>
    <t>GPSImgDirection</t>
  </si>
  <si>
    <t>GPSDestBearingRef</t>
  </si>
  <si>
    <t>GPSDestBearing</t>
  </si>
  <si>
    <t>GPSDateStamp</t>
  </si>
  <si>
    <t>GPSHPositioningError</t>
  </si>
  <si>
    <t>ProfileCMMType</t>
  </si>
  <si>
    <t>ProfileVersion</t>
  </si>
  <si>
    <t>ProfileClass</t>
  </si>
  <si>
    <t>ColorSpaceData</t>
  </si>
  <si>
    <t>ProfileConnectionSpace</t>
  </si>
  <si>
    <t>ProfileDateTime</t>
  </si>
  <si>
    <t>ProfileFileSignature</t>
  </si>
  <si>
    <t>PrimaryPlatform</t>
  </si>
  <si>
    <t>CMMFlags</t>
  </si>
  <si>
    <t>DeviceManufacturer</t>
  </si>
  <si>
    <t>DeviceModel</t>
  </si>
  <si>
    <t>DeviceAttributes</t>
  </si>
  <si>
    <t>RenderingIntent</t>
  </si>
  <si>
    <t>ConnectionSpaceIlluminant</t>
  </si>
  <si>
    <t>ProfileCreator</t>
  </si>
  <si>
    <t>ProfileID</t>
  </si>
  <si>
    <t>ProfileDescription</t>
  </si>
  <si>
    <t>ProfileCopyright</t>
  </si>
  <si>
    <t>MediaWhitePoint</t>
  </si>
  <si>
    <t>RedMatrixColumn</t>
  </si>
  <si>
    <t>GreenMatrixColumn</t>
  </si>
  <si>
    <t>BlueMatrixColumn</t>
  </si>
  <si>
    <t>RedTRC</t>
  </si>
  <si>
    <t>ChromaticAdaptation</t>
  </si>
  <si>
    <t>BlueTRC</t>
  </si>
  <si>
    <t>GreenTRC</t>
  </si>
  <si>
    <t>ImageWidth</t>
  </si>
  <si>
    <t>ImageHeight</t>
  </si>
  <si>
    <t>ImageSpatialExtent</t>
  </si>
  <si>
    <t>Rotation</t>
  </si>
  <si>
    <t>ImagePixelDepth</t>
  </si>
  <si>
    <t>HEVCConfigurationVersion</t>
  </si>
  <si>
    <t>GeneralProfileSpace</t>
  </si>
  <si>
    <t>GeneralTierFlag</t>
  </si>
  <si>
    <t>GeneralProfileIDC</t>
  </si>
  <si>
    <t>GenProfileCompatibilityFlags</t>
  </si>
  <si>
    <t>ConstraintIndicatorFlags</t>
  </si>
  <si>
    <t>GeneralLevelIDC</t>
  </si>
  <si>
    <t>MinSpatialSegmentationIDC</t>
  </si>
  <si>
    <t>ParallelismType</t>
  </si>
  <si>
    <t>ChromaFormat</t>
  </si>
  <si>
    <t>BitDepthLuma</t>
  </si>
  <si>
    <t>BitDepthChroma</t>
  </si>
  <si>
    <t>AverageFrameRate</t>
  </si>
  <si>
    <t>ConstantFrameRate</t>
  </si>
  <si>
    <t>NumTemporalLayers</t>
  </si>
  <si>
    <t>TemporalIDNested</t>
  </si>
  <si>
    <t>MediaDataSize</t>
  </si>
  <si>
    <t>MediaDataOffset</t>
  </si>
  <si>
    <t>RunTimeSincePowerUp</t>
  </si>
  <si>
    <t>Aperture</t>
  </si>
  <si>
    <t>ImageSize</t>
  </si>
  <si>
    <t>Megapixels</t>
  </si>
  <si>
    <t>ScaleFactor35efl</t>
  </si>
  <si>
    <t>ShutterSpeed</t>
  </si>
  <si>
    <t>SubSecCreateDate</t>
  </si>
  <si>
    <t>SubSecDateTimeOriginal</t>
  </si>
  <si>
    <t>SubSecModifyDate</t>
  </si>
  <si>
    <t>GPSAltitude</t>
  </si>
  <si>
    <t>GPSDateTime</t>
  </si>
  <si>
    <t>GPSLatitude</t>
  </si>
  <si>
    <t>GPSLongitude</t>
  </si>
  <si>
    <t>CircleOfConfusion</t>
  </si>
  <si>
    <t>FOV</t>
  </si>
  <si>
    <t>FocalLength35efl</t>
  </si>
  <si>
    <t>GPSPosition</t>
  </si>
  <si>
    <t>HyperfocalDistance</t>
  </si>
  <si>
    <t>LightValue</t>
  </si>
  <si>
    <t>LensID</t>
  </si>
  <si>
    <t>Column1</t>
  </si>
  <si>
    <t>_1</t>
  </si>
  <si>
    <t>_2</t>
  </si>
  <si>
    <t>_3</t>
  </si>
  <si>
    <t>_4</t>
  </si>
  <si>
    <t>_5</t>
  </si>
  <si>
    <t>_6</t>
  </si>
  <si>
    <t>_7</t>
  </si>
  <si>
    <t>_8</t>
  </si>
  <si>
    <t>_9</t>
  </si>
  <si>
    <t>_10</t>
  </si>
  <si>
    <t>_11</t>
  </si>
  <si>
    <t>_12</t>
  </si>
  <si>
    <t>_13</t>
  </si>
  <si>
    <t>_14</t>
  </si>
  <si>
    <t>_15</t>
  </si>
  <si>
    <t>_16</t>
  </si>
  <si>
    <t>_17</t>
  </si>
  <si>
    <t>_18</t>
  </si>
  <si>
    <t>_19</t>
  </si>
  <si>
    <t>_20</t>
  </si>
  <si>
    <t>_21</t>
  </si>
  <si>
    <t>_22</t>
  </si>
  <si>
    <t>_23</t>
  </si>
  <si>
    <t>_24</t>
  </si>
  <si>
    <t>_25</t>
  </si>
  <si>
    <t>_26</t>
  </si>
  <si>
    <t>_27</t>
  </si>
  <si>
    <t>/content/drive/MyDrive/DRONE/foto/IMG_6488.HEIC</t>
  </si>
  <si>
    <t>12.40</t>
  </si>
  <si>
    <t>/content/drive/MyDrive/DRONE/foto</t>
  </si>
  <si>
    <t>3.9 MiB</t>
  </si>
  <si>
    <t>2025:08:06 05:41:25+00:00</t>
  </si>
  <si>
    <t>2025:08:06 07:45:24+00:00</t>
  </si>
  <si>
    <t>-rw-------</t>
  </si>
  <si>
    <t>HEIC</t>
  </si>
  <si>
    <t>heic</t>
  </si>
  <si>
    <t>image/heic</t>
  </si>
  <si>
    <t>High Efficiency Image Format HEVC still image (.HEIC)</t>
  </si>
  <si>
    <t>0.0.0</t>
  </si>
  <si>
    <t>mif1, MiPr, miaf, MiHB, heic</t>
  </si>
  <si>
    <t>Picture</t>
  </si>
  <si>
    <t>4032x3024</t>
  </si>
  <si>
    <t>Big-endian (Motorola, MM)</t>
  </si>
  <si>
    <t>Apple</t>
  </si>
  <si>
    <t>iPhone 11</t>
  </si>
  <si>
    <t>Horizontal (normal)</t>
  </si>
  <si>
    <t>inches</t>
  </si>
  <si>
    <t>2025:07:28 06:23:44</t>
  </si>
  <si>
    <t>1/223</t>
  </si>
  <si>
    <t>Program AE</t>
  </si>
  <si>
    <t>32</t>
  </si>
  <si>
    <t>0232</t>
  </si>
  <si>
    <t>+03:00</t>
  </si>
  <si>
    <t>6.375273852</t>
  </si>
  <si>
    <t>0</t>
  </si>
  <si>
    <t>Multi-segment</t>
  </si>
  <si>
    <t>Off, Did not fire</t>
  </si>
  <si>
    <t>4.2 mm</t>
  </si>
  <si>
    <t>Valid</t>
  </si>
  <si>
    <t>1000000000</t>
  </si>
  <si>
    <t>-1.008209586 0.01798773557 -0.02656171657</t>
  </si>
  <si>
    <t>[minor] Bad format (16) for MakerNotes entry 14</t>
  </si>
  <si>
    <t>621</t>
  </si>
  <si>
    <t>Uncalibrated</t>
  </si>
  <si>
    <t>4032</t>
  </si>
  <si>
    <t>3024</t>
  </si>
  <si>
    <t>One-chip color area</t>
  </si>
  <si>
    <t>Directly photographed</t>
  </si>
  <si>
    <t>Auto</t>
  </si>
  <si>
    <t>26 mm</t>
  </si>
  <si>
    <t>1.539999962-4.25mm f/1.8-2.4</t>
  </si>
  <si>
    <t>iPhone 11 back dual wide camera 4.25mm f/1.8</t>
  </si>
  <si>
    <t>General Composite Image</t>
  </si>
  <si>
    <t>North</t>
  </si>
  <si>
    <t>East</t>
  </si>
  <si>
    <t>Above Sea Level</t>
  </si>
  <si>
    <t>03:23:43.35</t>
  </si>
  <si>
    <t>km/h</t>
  </si>
  <si>
    <t>0.5082643625</t>
  </si>
  <si>
    <t>Magnetic North</t>
  </si>
  <si>
    <t>356.8321839</t>
  </si>
  <si>
    <t>2025:07:28</t>
  </si>
  <si>
    <t>26.93168114 m</t>
  </si>
  <si>
    <t>Apple Computer Inc.</t>
  </si>
  <si>
    <t>4.0.0</t>
  </si>
  <si>
    <t>Display Device Profile</t>
  </si>
  <si>
    <t xml:space="preserve">RGB </t>
  </si>
  <si>
    <t xml:space="preserve">XYZ </t>
  </si>
  <si>
    <t>2022:01:01 00:00:00</t>
  </si>
  <si>
    <t>acsp</t>
  </si>
  <si>
    <t>Not Embedded, Independent</t>
  </si>
  <si>
    <t/>
  </si>
  <si>
    <t>Reflective, Glossy, Positive, Color</t>
  </si>
  <si>
    <t>Perceptual</t>
  </si>
  <si>
    <t>0.9642 1 0.82491</t>
  </si>
  <si>
    <t>ecfda38e388547c36db4bd4f7ada182f</t>
  </si>
  <si>
    <t>Display P3</t>
  </si>
  <si>
    <t>Copyright Apple Inc., 2022</t>
  </si>
  <si>
    <t>0.96419 1 0.82489</t>
  </si>
  <si>
    <t>0.51512 0.2412 -0.00105</t>
  </si>
  <si>
    <t>0.29198 0.69225 0.04189</t>
  </si>
  <si>
    <t>0.1571 0.06657 0.78407</t>
  </si>
  <si>
    <t>(Binary data 32 bytes, use -b option to extract)</t>
  </si>
  <si>
    <t>1.04788 0.02292 -0.0502 0.02959 0.99048 -0.01706 -0.00923 0.01508 0.75168</t>
  </si>
  <si>
    <t>8 8 8</t>
  </si>
  <si>
    <t>1</t>
  </si>
  <si>
    <t>Conforming</t>
  </si>
  <si>
    <t>Main Tier</t>
  </si>
  <si>
    <t>Main Still Picture</t>
  </si>
  <si>
    <t>Main Still Picture, Main 10, Main</t>
  </si>
  <si>
    <t>176 0 0 0 0 0</t>
  </si>
  <si>
    <t>60 (level 2.0)</t>
  </si>
  <si>
    <t>4:2:0</t>
  </si>
  <si>
    <t>8</t>
  </si>
  <si>
    <t>Unknown</t>
  </si>
  <si>
    <t>No</t>
  </si>
  <si>
    <t>4108328</t>
  </si>
  <si>
    <t>3419</t>
  </si>
  <si>
    <t>7:52:05</t>
  </si>
  <si>
    <t>2025:07:28 06:23:44.621+03:00</t>
  </si>
  <si>
    <t>2025:07:28 06:23:44+03:00</t>
  </si>
  <si>
    <t>167.4 m Above Sea Level</t>
  </si>
  <si>
    <t>2025:07:28 03:23:43.35Z</t>
  </si>
  <si>
    <t>56 deg 8' 13.42" N</t>
  </si>
  <si>
    <t>40 deg 21' 17.72" E</t>
  </si>
  <si>
    <t>0.005 mm</t>
  </si>
  <si>
    <t>69.4 deg</t>
  </si>
  <si>
    <t>4.2 mm (35 mm equivalent: 26.0 mm)</t>
  </si>
  <si>
    <t>56 deg 8' 13.42" N, 40 deg 21' 17.72" E</t>
  </si>
  <si>
    <t>2.04 m</t>
  </si>
  <si>
    <t>11.1</t>
  </si>
  <si>
    <t>/content/drive/MyDrive/DRONE/foto/IMG_6489.HEIC</t>
  </si>
  <si>
    <t>2025:08:06 05:42:02+00:00</t>
  </si>
  <si>
    <t>2025:08:06 07:31:06+00:00</t>
  </si>
  <si>
    <t>mif1, MiHE, miaf, MiHB, heic</t>
  </si>
  <si>
    <t>512</t>
  </si>
  <si>
    <t>1/606</t>
  </si>
  <si>
    <t>2025:07:28 07:18:24</t>
  </si>
  <si>
    <t>7.700943703</t>
  </si>
  <si>
    <t>-0.9805752633 -7.951923185e-05 0.02863077821</t>
  </si>
  <si>
    <t>783</t>
  </si>
  <si>
    <t>04:18:23</t>
  </si>
  <si>
    <t>0.2595682738</t>
  </si>
  <si>
    <t>7.318359375</t>
  </si>
  <si>
    <t>19.60411 m</t>
  </si>
  <si>
    <t>XMP Core 6.0.0</t>
  </si>
  <si>
    <t>18.4.1</t>
  </si>
  <si>
    <t>255</t>
  </si>
  <si>
    <t>1278226488</t>
  </si>
  <si>
    <t>1751411059</t>
  </si>
  <si>
    <t>1.081055</t>
  </si>
  <si>
    <t>0.310791</t>
  </si>
  <si>
    <t>65540</t>
  </si>
  <si>
    <t>high</t>
  </si>
  <si>
    <t>3038.13671875, 0.0, 0.0, 0.0, 3038.13671875, 0.0, 2032.84228515625, 1488.49658203125, 1</t>
  </si>
  <si>
    <t>0.0, 1.5884615182876587, -0.59539908170700073, 0.11556762456893921, -0.012040208093822002, 0.00069046980934217572, -2.1009933334426023e-05, 2.7001556190953124e-07</t>
  </si>
  <si>
    <t>2032.3958740234375</t>
  </si>
  <si>
    <t>0.0, -1.62772536277771, 0.65007209777832031, -0.13927629590034485, 0.01691792905330658, -0.0012125250650569797, 4.8993202653946355e-05, -8.5786734871362569e-07</t>
  </si>
  <si>
    <t>relative</t>
  </si>
  <si>
    <t>0.001400</t>
  </si>
  <si>
    <t>True</t>
  </si>
  <si>
    <t>1, 0.0, 0.0, 0.0, 1, 0.0, 0.0, 0.0, 1, 0.0, 0.0, 0.0</t>
  </si>
  <si>
    <t>1488.5174560546875</t>
  </si>
  <si>
    <t>UkVORAMAAADYAQAABQAAAI/C9TwAAMA/AACAPwAAAECamRk/CtcjPPfMkjk1Xro9MzOzPwAAAAAAAAAAAAAAAAAAAAAJAAAAAAB6RAAAAABSuJ4+AAAAQAAAlkPNzEw9zczMPjMzsz8AAAAAAAAAAM3MTD7NzMw9AAAAPwAAIEAyAAAAAAB6RAAAekQK1yM8zczMPQAAQD/3zBI5BQAAAAIAAAAAAIA+AADAP2ZmZj8HAAAAAACAPwAAAAAK1yM7j8L1O2ZmZj8AAIA/AAAAAM3MTD7gLRA7WgxDOgAAgD8AAIA/zcxMPwAAgD+uR2E9AAAAAM3MTD6mm8Q7AAAAAM3MzD3NzEw9rkdhPgAAgEHNzMw9AAB6RAAAAAAzMzNAMzOzP5qZmT4AAKBAmpmZPs3MTD8AAIA/AACAPzMzM79mZmY/zcxMPVK4nj4K16M8AAC0Qs3MzD6amZk/AACgQc3MzD4AAAAAAAAAAAAAAAAAAAAAzcxMPgAAAAAAAAAAmpmZPgIAAAAAAAAAbxIDOgAAgD8AAAAAAACAP83MTD+amZk+AAAAQM3MTD4AAAA/AACAP83MTD2amZk+AAAAAAAAAAAAAAAAAAAAAAAAAAAAAAAAAAAAAA==</t>
  </si>
  <si>
    <t>2.800000</t>
  </si>
  <si>
    <t>0.500000</t>
  </si>
  <si>
    <t>urn:mpeg:hevc:2015:auxid:2</t>
  </si>
  <si>
    <t>90 (level 3.0)</t>
  </si>
  <si>
    <t>4132384</t>
  </si>
  <si>
    <t>3696</t>
  </si>
  <si>
    <t>8:42:25</t>
  </si>
  <si>
    <t>2025:07:28 07:18:24.783+03:00</t>
  </si>
  <si>
    <t>2025:07:28 07:18:24+03:00</t>
  </si>
  <si>
    <t>168.1 m Above Sea Level</t>
  </si>
  <si>
    <t>2025:07:28 04:18:23Z</t>
  </si>
  <si>
    <t>56 deg 8' 13.75" N</t>
  </si>
  <si>
    <t>40 deg 21' 17.33" E</t>
  </si>
  <si>
    <t>56 deg 8' 13.75" N, 40 deg 21' 17.33" E</t>
  </si>
  <si>
    <t>/content/drive/MyDrive/DRONE/foto/IMG_6490.HEIC</t>
  </si>
  <si>
    <t>4.0 MiB</t>
  </si>
  <si>
    <t>2025:08:06 05:42:31+00:00</t>
  </si>
  <si>
    <t>2025:08:06 07:45:48+00:00</t>
  </si>
  <si>
    <t>2025:07:28 07:59:57</t>
  </si>
  <si>
    <t>1/597</t>
  </si>
  <si>
    <t>7.577061505</t>
  </si>
  <si>
    <t>-0.9994387031 0.01896948741 0.003645071993</t>
  </si>
  <si>
    <t>[minor] Bad format (16) for MakerNotes entry 13</t>
  </si>
  <si>
    <t>411</t>
  </si>
  <si>
    <t>04:59:55.98</t>
  </si>
  <si>
    <t>0.02217149363</t>
  </si>
  <si>
    <t>346.6763609</t>
  </si>
  <si>
    <t>23.91476112 m</t>
  </si>
  <si>
    <t>4230781</t>
  </si>
  <si>
    <t>9:19:27</t>
  </si>
  <si>
    <t>2025:07:28 07:59:57.411+03:00</t>
  </si>
  <si>
    <t>2025:07:28 07:59:57+03:00</t>
  </si>
  <si>
    <t>168.3 m Above Sea Level</t>
  </si>
  <si>
    <t>2025:07:28 04:59:55.98Z</t>
  </si>
  <si>
    <t>56 deg 8' 14.17" N</t>
  </si>
  <si>
    <t>40 deg 21' 17.75" E</t>
  </si>
  <si>
    <t>56 deg 8' 14.17" N, 40 deg 21' 17.75" E</t>
  </si>
  <si>
    <t>/content/drive/MyDrive/DRONE/foto/IMG_6491.HEIC</t>
  </si>
  <si>
    <t>4.1 MiB</t>
  </si>
  <si>
    <t>2025:08:06 05:43:07+00:00</t>
  </si>
  <si>
    <t>2025:08:06 07:45:40+00:00</t>
  </si>
  <si>
    <t>2025:07:28 09:05:33</t>
  </si>
  <si>
    <t>1/767</t>
  </si>
  <si>
    <t>8.027430811</t>
  </si>
  <si>
    <t>-1.01222694 0.03964331001 0.0006883815512</t>
  </si>
  <si>
    <t>267</t>
  </si>
  <si>
    <t>06:05:32.03</t>
  </si>
  <si>
    <t>0.7059375638</t>
  </si>
  <si>
    <t>12.01000977</t>
  </si>
  <si>
    <t>10.23040978 m</t>
  </si>
  <si>
    <t>4334532</t>
  </si>
  <si>
    <t>10:15:35</t>
  </si>
  <si>
    <t>2025:07:28 09:05:33.267+03:00</t>
  </si>
  <si>
    <t>2025:07:28 09:05:33+03:00</t>
  </si>
  <si>
    <t>168 m Above Sea Level</t>
  </si>
  <si>
    <t>2025:07:28 06:05:32.03Z</t>
  </si>
  <si>
    <t>56 deg 8' 13.60" N</t>
  </si>
  <si>
    <t>40 deg 21' 17.59" E</t>
  </si>
  <si>
    <t>56 deg 8' 13.60" N, 40 deg 21' 17.59" E</t>
  </si>
  <si>
    <t>/content/drive/MyDrive/DRONE/foto/IMG_6492.HEIC</t>
  </si>
  <si>
    <t>4.7 MiB</t>
  </si>
  <si>
    <t>2025:08:06 05:45:24+00:00</t>
  </si>
  <si>
    <t>2025:08:06 07:46:03+00:00</t>
  </si>
  <si>
    <t>2025:07:28 10:10:01</t>
  </si>
  <si>
    <t>1/1543</t>
  </si>
  <si>
    <t>8.957844991</t>
  </si>
  <si>
    <t>-0.9802527427 0.04858820515 0.02380263803</t>
  </si>
  <si>
    <t>018</t>
  </si>
  <si>
    <t>07:09:59.81</t>
  </si>
  <si>
    <t>0.7193171381</t>
  </si>
  <si>
    <t>10.34332275</t>
  </si>
  <si>
    <t>17.29497784 m</t>
  </si>
  <si>
    <t>4891823</t>
  </si>
  <si>
    <t>11:07:33</t>
  </si>
  <si>
    <t>2025:07:28 10:10:01.018+03:00</t>
  </si>
  <si>
    <t>2025:07:28 10:10:01+03:00</t>
  </si>
  <si>
    <t>2025:07:28 07:09:59.81Z</t>
  </si>
  <si>
    <t>56 deg 8' 13.63" N</t>
  </si>
  <si>
    <t>40 deg 21' 17.00" E</t>
  </si>
  <si>
    <t>56 deg 8' 13.63" N, 40 deg 21' 17.00" E</t>
  </si>
  <si>
    <t>13.9</t>
  </si>
  <si>
    <t>/content/drive/MyDrive/DRONE/foto/IMG_6493.HEIC</t>
  </si>
  <si>
    <t>4.3 MiB</t>
  </si>
  <si>
    <t>2025:08:06 05:44:12+00:00</t>
  </si>
  <si>
    <t>2025:08:06 07:46:10+00:00</t>
  </si>
  <si>
    <t>2025:07:28 11:12:17</t>
  </si>
  <si>
    <t>1/927</t>
  </si>
  <si>
    <t>8.178709716</t>
  </si>
  <si>
    <t>-1.009485364 0.03270732983 0.04103703049</t>
  </si>
  <si>
    <t>911</t>
  </si>
  <si>
    <t>08:12:16.28</t>
  </si>
  <si>
    <t>0.9313639397</t>
  </si>
  <si>
    <t>6.804168701</t>
  </si>
  <si>
    <t>26.73143813 m</t>
  </si>
  <si>
    <t>4502931</t>
  </si>
  <si>
    <t>11:30:37</t>
  </si>
  <si>
    <t>2025:07:28 11:12:17.911+03:00</t>
  </si>
  <si>
    <t>2025:07:28 11:12:17+03:00</t>
  </si>
  <si>
    <t>167.9 m Above Sea Level</t>
  </si>
  <si>
    <t>2025:07:28 08:12:16.28Z</t>
  </si>
  <si>
    <t>56 deg 8' 13.64" N</t>
  </si>
  <si>
    <t>40 deg 21' 17.61" E</t>
  </si>
  <si>
    <t>56 deg 8' 13.64" N, 40 deg 21' 17.61" E</t>
  </si>
  <si>
    <t>13.2</t>
  </si>
  <si>
    <t>/content/drive/MyDrive/DRONE/foto/IMG_6494.HEIC</t>
  </si>
  <si>
    <t>4.6 MiB</t>
  </si>
  <si>
    <t>2025:08:06 05:44:47+00:00</t>
  </si>
  <si>
    <t>2025:08:06 07:46:19+00:00</t>
  </si>
  <si>
    <t>2025:07:28 12:11:51</t>
  </si>
  <si>
    <t>1/2268</t>
  </si>
  <si>
    <t>9.518390845</t>
  </si>
  <si>
    <t>-0.9986864327 0.02877091988 0.01526664569</t>
  </si>
  <si>
    <t>401</t>
  </si>
  <si>
    <t>09:11:49.75</t>
  </si>
  <si>
    <t>0.141166091</t>
  </si>
  <si>
    <t>5.248657227</t>
  </si>
  <si>
    <t>9.207498677 m</t>
  </si>
  <si>
    <t>4791848</t>
  </si>
  <si>
    <t>12:25:02</t>
  </si>
  <si>
    <t>2025:07:28 12:11:51.401+03:00</t>
  </si>
  <si>
    <t>2025:07:28 12:11:51+03:00</t>
  </si>
  <si>
    <t>2025:07:28 09:11:49.75Z</t>
  </si>
  <si>
    <t>56 deg 8' 13.85" N</t>
  </si>
  <si>
    <t>40 deg 21' 17.94" E</t>
  </si>
  <si>
    <t>56 deg 8' 13.85" N, 40 deg 21' 17.94" E</t>
  </si>
  <si>
    <t>14.5</t>
  </si>
  <si>
    <t>/content/drive/MyDrive/DRONE/foto/IMG_6495.HEIC</t>
  </si>
  <si>
    <t>4.2 MiB</t>
  </si>
  <si>
    <t>2025:08:06 05:43:51+00:00</t>
  </si>
  <si>
    <t>2025:07:28 13:12:40</t>
  </si>
  <si>
    <t>9.443536859</t>
  </si>
  <si>
    <t>-0.9926792985 0.04569945854 0.08263041826</t>
  </si>
  <si>
    <t>294</t>
  </si>
  <si>
    <t>10:12:38.75</t>
  </si>
  <si>
    <t>0.9284350277</t>
  </si>
  <si>
    <t>11.76934814</t>
  </si>
  <si>
    <t>6.129330573 m</t>
  </si>
  <si>
    <t>4407132</t>
  </si>
  <si>
    <t>12:35:09</t>
  </si>
  <si>
    <t>2025:07:28 13:12:40.294+03:00</t>
  </si>
  <si>
    <t>2025:07:28 13:12:40+03:00</t>
  </si>
  <si>
    <t>2025:07:28 10:12:38.75Z</t>
  </si>
  <si>
    <t>40 deg 21' 17.55" E</t>
  </si>
  <si>
    <t>56 deg 8' 13.64" N, 40 deg 21' 17.55" E</t>
  </si>
  <si>
    <t>/content/drive/MyDrive/DRONE/foto/IMG_6500.HEIC</t>
  </si>
  <si>
    <t>2025:08:06 05:45:20+00:00</t>
  </si>
  <si>
    <t>2025:08:06 07:46:34+00:00</t>
  </si>
  <si>
    <t>2025:07:28 14:11:21</t>
  </si>
  <si>
    <t>9.434184969</t>
  </si>
  <si>
    <t>-0.9961161621 0.0254310481 0.01417101828</t>
  </si>
  <si>
    <t>994</t>
  </si>
  <si>
    <t>11:11:20.93</t>
  </si>
  <si>
    <t>0.9184620977</t>
  </si>
  <si>
    <t>8.127899172</t>
  </si>
  <si>
    <t>8.502336169 m</t>
  </si>
  <si>
    <t>4888012</t>
  </si>
  <si>
    <t>13:30:16</t>
  </si>
  <si>
    <t>2025:07:28 14:11:21.994+03:00</t>
  </si>
  <si>
    <t>2025:07:28 14:11:21+03:00</t>
  </si>
  <si>
    <t>167.7 m Above Sea Level</t>
  </si>
  <si>
    <t>2025:07:28 11:11:20.93Z</t>
  </si>
  <si>
    <t>56 deg 8' 13.46" N</t>
  </si>
  <si>
    <t>56 deg 8' 13.46" N, 40 deg 21' 17.33" E</t>
  </si>
  <si>
    <t>/content/drive/MyDrive/DRONE/foto/IMG_6501.HEIC</t>
  </si>
  <si>
    <t>2025:08:06 05:45:11+00:00</t>
  </si>
  <si>
    <t>2025:07:28 14:43:11</t>
  </si>
  <si>
    <t>9.428667962</t>
  </si>
  <si>
    <t>-0.9974123234 -0.01404036023 0.003513847009</t>
  </si>
  <si>
    <t>967</t>
  </si>
  <si>
    <t>11:43:11.01</t>
  </si>
  <si>
    <t>0.5223290321</t>
  </si>
  <si>
    <t>12.88290405</t>
  </si>
  <si>
    <t>12.74784861 m</t>
  </si>
  <si>
    <t>4803209</t>
  </si>
  <si>
    <t>13:34:23</t>
  </si>
  <si>
    <t>2025:07:28 14:43:11.967+03:00</t>
  </si>
  <si>
    <t>2025:07:28 14:43:11+03:00</t>
  </si>
  <si>
    <t>2025:07:28 11:43:11.01Z</t>
  </si>
  <si>
    <t>56 deg 8' 13.78" N</t>
  </si>
  <si>
    <t>40 deg 21' 17.30" E</t>
  </si>
  <si>
    <t>56 deg 8' 13.78" N, 40 deg 21' 17.30" E</t>
  </si>
  <si>
    <t>/content/drive/MyDrive/DRONE/foto/IMG_6502.HEIC</t>
  </si>
  <si>
    <t>4.5 MiB</t>
  </si>
  <si>
    <t>2025:08:06 05:44:42+00:00</t>
  </si>
  <si>
    <t>2025:08:06 07:46:48+00:00</t>
  </si>
  <si>
    <t>2025:07:28 16:14:44</t>
  </si>
  <si>
    <t>1/1608</t>
  </si>
  <si>
    <t>9.060400891</t>
  </si>
  <si>
    <t>-0.9991594561 0.02681051754 0.0425669625</t>
  </si>
  <si>
    <t>097</t>
  </si>
  <si>
    <t>4728101</t>
  </si>
  <si>
    <t>0:04:32</t>
  </si>
  <si>
    <t>2025:07:28 16:14:44.097+03:00</t>
  </si>
  <si>
    <t>2025:07:28 16:14:44+03:00</t>
  </si>
  <si>
    <t>14.0</t>
  </si>
  <si>
    <t>/content/drive/MyDrive/DRONE/foto/IMG_6503.HEIC</t>
  </si>
  <si>
    <t>2025:08:06 05:42:13+00:00</t>
  </si>
  <si>
    <t>2025:07:28 17:12:47</t>
  </si>
  <si>
    <t>1/833</t>
  </si>
  <si>
    <t>7.902183803</t>
  </si>
  <si>
    <t>-1.000665068 0.0566727072 0.04935434832</t>
  </si>
  <si>
    <t>002</t>
  </si>
  <si>
    <t>14:12:45.79</t>
  </si>
  <si>
    <t>0.7614502902</t>
  </si>
  <si>
    <t>9.246765129</t>
  </si>
  <si>
    <t>17.68550687 m</t>
  </si>
  <si>
    <t>4216350</t>
  </si>
  <si>
    <t>0:36:29</t>
  </si>
  <si>
    <t>2025:07:28 17:12:47.002+03:00</t>
  </si>
  <si>
    <t>2025:07:28 17:12:47+03:00</t>
  </si>
  <si>
    <t>167.3 m Above Sea Level</t>
  </si>
  <si>
    <t>2025:07:28 14:12:45.79Z</t>
  </si>
  <si>
    <t>56 deg 8' 13.53" N</t>
  </si>
  <si>
    <t>40 deg 21' 17.64" E</t>
  </si>
  <si>
    <t>56 deg 8' 13.53" N, 40 deg 21' 17.64" E</t>
  </si>
  <si>
    <t>/content/drive/MyDrive/DRONE/foto/IMG_6504.HEIC</t>
  </si>
  <si>
    <t>3.8 MiB</t>
  </si>
  <si>
    <t>2025:08:06 05:40:52+00:00</t>
  </si>
  <si>
    <t>2025:08:06 07:47:02+00:00</t>
  </si>
  <si>
    <t>2025:07:28 18:18:03</t>
  </si>
  <si>
    <t>1/178</t>
  </si>
  <si>
    <t>6.178371119</t>
  </si>
  <si>
    <t>-1.000009418 0.03607681766 0.04120785371</t>
  </si>
  <si>
    <t>236</t>
  </si>
  <si>
    <t>15:18:01.58</t>
  </si>
  <si>
    <t>1.422784925</t>
  </si>
  <si>
    <t>357.630188</t>
  </si>
  <si>
    <t>13.44056225 m</t>
  </si>
  <si>
    <t>3970312</t>
  </si>
  <si>
    <t>1:11:18</t>
  </si>
  <si>
    <t>2025:07:28 18:18:03.236+03:00</t>
  </si>
  <si>
    <t>2025:07:28 18:18:03+03:00</t>
  </si>
  <si>
    <t>2025:07:28 15:18:01.58Z</t>
  </si>
  <si>
    <t>56 deg 8' 13.51" N</t>
  </si>
  <si>
    <t>40 deg 21' 17.17" E</t>
  </si>
  <si>
    <t>56 deg 8' 13.51" N, 40 deg 21' 17.17" E</t>
  </si>
  <si>
    <t>/content/drive/MyDrive/DRONE/foto/IMG_6505.HEIC</t>
  </si>
  <si>
    <t>2025:08:06 05:41:56+00:00</t>
  </si>
  <si>
    <t>2025:08:06 07:47:08+00:00</t>
  </si>
  <si>
    <t>2025:07:28 19:11:45</t>
  </si>
  <si>
    <t>1/122</t>
  </si>
  <si>
    <t>40</t>
  </si>
  <si>
    <t>5.433301308</t>
  </si>
  <si>
    <t>-0.993074358 0.01176348794 0.05502190816</t>
  </si>
  <si>
    <t>627</t>
  </si>
  <si>
    <t>16:11:44.44</t>
  </si>
  <si>
    <t>2.923406123</t>
  </si>
  <si>
    <t>356.2041933</t>
  </si>
  <si>
    <t>193.6601033 m</t>
  </si>
  <si>
    <t>4198578</t>
  </si>
  <si>
    <t>1:15:59</t>
  </si>
  <si>
    <t>2025:07:28 19:11:45.627+03:00</t>
  </si>
  <si>
    <t>2025:07:28 19:11:45+03:00</t>
  </si>
  <si>
    <t>242.5 m Above Sea Level</t>
  </si>
  <si>
    <t>2025:07:28 16:11:44.44Z</t>
  </si>
  <si>
    <t>56 deg 8' 13.23" N</t>
  </si>
  <si>
    <t>40 deg 21' 19.01" E</t>
  </si>
  <si>
    <t>56 deg 8' 13.23" N, 40 deg 21' 19.01" E</t>
  </si>
  <si>
    <t>/content/drive/MyDrive/DRONE/foto/IMG_6506.HEIC</t>
  </si>
  <si>
    <t>2025:08:06 05:41:30+00:00</t>
  </si>
  <si>
    <t>2025:07:28 20:13:45</t>
  </si>
  <si>
    <t>1/83</t>
  </si>
  <si>
    <t>125</t>
  </si>
  <si>
    <t>3.236355536</t>
  </si>
  <si>
    <t>-0.982066333 0.02074102313 0.05177400265</t>
  </si>
  <si>
    <t>073</t>
  </si>
  <si>
    <t>17:13:44.06</t>
  </si>
  <si>
    <t>0.2316841483</t>
  </si>
  <si>
    <t>3.918487549</t>
  </si>
  <si>
    <t>14 m</t>
  </si>
  <si>
    <t>4111854</t>
  </si>
  <si>
    <t>2:06:12</t>
  </si>
  <si>
    <t>2025:07:28 20:13:45.073+03:00</t>
  </si>
  <si>
    <t>2025:07:28 20:13:45+03:00</t>
  </si>
  <si>
    <t>167.8 m Above Sea Level</t>
  </si>
  <si>
    <t>2025:07:28 17:13:44.06Z</t>
  </si>
  <si>
    <t>56 deg 8' 13.56" N</t>
  </si>
  <si>
    <t>40 deg 21' 17.53" E</t>
  </si>
  <si>
    <t>56 deg 8' 13.56" N, 40 deg 21' 17.53" E</t>
  </si>
  <si>
    <t>7.7</t>
  </si>
  <si>
    <t>/content/drive/MyDrive/DRONE/foto/IMG_6508.HEIC</t>
  </si>
  <si>
    <t>1465 KiB</t>
  </si>
  <si>
    <t>2025:08:06 05:37:47+00:00</t>
  </si>
  <si>
    <t>2025:08:06 07:47:22+00:00</t>
  </si>
  <si>
    <t>2025:07:28 21:17:11</t>
  </si>
  <si>
    <t>1/15</t>
  </si>
  <si>
    <t>1600</t>
  </si>
  <si>
    <t>-3.862698957</t>
  </si>
  <si>
    <t>-1.013307571 0.0343299769 0.03856695071</t>
  </si>
  <si>
    <t>908</t>
  </si>
  <si>
    <t>18:17:10.63</t>
  </si>
  <si>
    <t>0.8574995401</t>
  </si>
  <si>
    <t>12.75411988</t>
  </si>
  <si>
    <t>15.38756696 m</t>
  </si>
  <si>
    <t>1495866</t>
  </si>
  <si>
    <t>4353</t>
  </si>
  <si>
    <t>2:52:56</t>
  </si>
  <si>
    <t>2025:07:28 21:17:11.908+03:00</t>
  </si>
  <si>
    <t>2025:07:28 21:17:11+03:00</t>
  </si>
  <si>
    <t>2025:07:28 18:17:10.63Z</t>
  </si>
  <si>
    <t>56 deg 8' 13.48" N</t>
  </si>
  <si>
    <t>40 deg 21' 17.49" E</t>
  </si>
  <si>
    <t>56 deg 8' 13.48" N, 40 deg 21' 17.49" E</t>
  </si>
  <si>
    <t>/content/drive/MyDrive/DRONE/foto/IMG_6509.HEIC</t>
  </si>
  <si>
    <t>1381 KiB</t>
  </si>
  <si>
    <t>2025:08:06 05:37:30+00:00</t>
  </si>
  <si>
    <t>2025:07:28 22:33:18</t>
  </si>
  <si>
    <t>2500</t>
  </si>
  <si>
    <t>-4.525641789</t>
  </si>
  <si>
    <t>-0.9884552957 0.04709262033 0.06299348174</t>
  </si>
  <si>
    <t>187</t>
  </si>
  <si>
    <t>19:33:17.73</t>
  </si>
  <si>
    <t>0.7676936984</t>
  </si>
  <si>
    <t>4.841308594</t>
  </si>
  <si>
    <t>31.93509749 m</t>
  </si>
  <si>
    <t>1409285</t>
  </si>
  <si>
    <t>4:05:42</t>
  </si>
  <si>
    <t>2025:07:28 22:33:18.187+03:00</t>
  </si>
  <si>
    <t>2025:07:28 22:33:18+03:00</t>
  </si>
  <si>
    <t>167.6 m Above Sea Level</t>
  </si>
  <si>
    <t>2025:07:28 19:33:17.73Z</t>
  </si>
  <si>
    <t>56 deg 8' 13.07" N</t>
  </si>
  <si>
    <t>40 deg 21' 17.05" E</t>
  </si>
  <si>
    <t>56 deg 8' 13.07" N, 40 deg 21' 17.05" E</t>
  </si>
  <si>
    <t>1.0</t>
  </si>
  <si>
    <t>/content/drive/MyDrive/DRONE/foto/IMG_6510.HEIC</t>
  </si>
  <si>
    <t>1503 KiB</t>
  </si>
  <si>
    <t>2025:08:06 05:37:58+00:00</t>
  </si>
  <si>
    <t>2025:08:06 07:47:33+00:00</t>
  </si>
  <si>
    <t>2025:07:28 22:33:21</t>
  </si>
  <si>
    <t>1/4</t>
  </si>
  <si>
    <t>800</t>
  </si>
  <si>
    <t>-4.694984554</t>
  </si>
  <si>
    <t>+0.0469</t>
  </si>
  <si>
    <t>-0.989845455 0.06264314054 -0.01411535963</t>
  </si>
  <si>
    <t>460</t>
  </si>
  <si>
    <t>19:33:20.58</t>
  </si>
  <si>
    <t>2.987579346</t>
  </si>
  <si>
    <t>30.50237698 m</t>
  </si>
  <si>
    <t>1534787</t>
  </si>
  <si>
    <t>4:05:45</t>
  </si>
  <si>
    <t>2025:07:28 22:33:21.460+03:00</t>
  </si>
  <si>
    <t>2025:07:28 22:33:21+03:00</t>
  </si>
  <si>
    <t>167.5 m Above Sea Level</t>
  </si>
  <si>
    <t>2025:07:28 19:33:20.58Z</t>
  </si>
  <si>
    <t>56 deg 8' 13.15" N</t>
  </si>
  <si>
    <t>40 deg 21' 17.20" E</t>
  </si>
  <si>
    <t>56 deg 8' 13.15" N, 40 deg 21' 17.20" E</t>
  </si>
  <si>
    <t>/content/drive/MyDrive/DRONE/foto/IMG_6511.HEIC</t>
  </si>
  <si>
    <t>2025:08:06 05:43:42+00:00</t>
  </si>
  <si>
    <t>2025:08:06 07:47:39+00:00</t>
  </si>
  <si>
    <t>2025:07:29 06:01:50</t>
  </si>
  <si>
    <t>1/158</t>
  </si>
  <si>
    <t>6.054859102</t>
  </si>
  <si>
    <t>-0.9767444731 0.02584845014 0.0112881111</t>
  </si>
  <si>
    <t>729</t>
  </si>
  <si>
    <t>03:01:49.28</t>
  </si>
  <si>
    <t>0.4977101681</t>
  </si>
  <si>
    <t>358.8502197</t>
  </si>
  <si>
    <t>2025:07:29</t>
  </si>
  <si>
    <t>11.34081543 m</t>
  </si>
  <si>
    <t>4391883</t>
  </si>
  <si>
    <t>5:59:14</t>
  </si>
  <si>
    <t>2025:07:29 06:01:50.729+03:00</t>
  </si>
  <si>
    <t>2025:07:29 06:01:50+03:00</t>
  </si>
  <si>
    <t>2025:07:29 03:01:49.28Z</t>
  </si>
  <si>
    <t>56 deg 8' 13.62" N</t>
  </si>
  <si>
    <t>40 deg 21' 17.16" E</t>
  </si>
  <si>
    <t>56 deg 8' 13.62" N, 40 deg 21' 17.16" E</t>
  </si>
  <si>
    <t>10.6</t>
  </si>
  <si>
    <t>/content/drive/MyDrive/DRONE/foto/IMG_6512.HEIC</t>
  </si>
  <si>
    <t>2025:08:06 05:43:02+00:00</t>
  </si>
  <si>
    <t>2025:08:06 07:47:46+00:00</t>
  </si>
  <si>
    <t>2025:07:29 07:12:57</t>
  </si>
  <si>
    <t>1/822</t>
  </si>
  <si>
    <t>8.075938544</t>
  </si>
  <si>
    <t>-1.014905453 0.02053797432 -0.05014064537</t>
  </si>
  <si>
    <t>04:12:56.16</t>
  </si>
  <si>
    <t>0.09311910711</t>
  </si>
  <si>
    <t>0.9110717773</t>
  </si>
  <si>
    <t>19.5996696 m</t>
  </si>
  <si>
    <t>4324832</t>
  </si>
  <si>
    <t>7:03:27</t>
  </si>
  <si>
    <t>2025:07:29 07:12:57.401+03:00</t>
  </si>
  <si>
    <t>2025:07:29 07:12:57+03:00</t>
  </si>
  <si>
    <t>2025:07:29 04:12:56.16Z</t>
  </si>
  <si>
    <t>40 deg 21' 17.60" E</t>
  </si>
  <si>
    <t>56 deg 8' 13.48" N, 40 deg 21' 17.60" E</t>
  </si>
  <si>
    <t>/content/drive/MyDrive/DRONE/foto/IMG_6513.HEIC</t>
  </si>
  <si>
    <t>4.4 MiB</t>
  </si>
  <si>
    <t>2025:08:06 05:44:26+00:00</t>
  </si>
  <si>
    <t>2025:08:06 07:47:52+00:00</t>
  </si>
  <si>
    <t>2025:07:29 08:10:26</t>
  </si>
  <si>
    <t>1/957</t>
  </si>
  <si>
    <t>8.333385506</t>
  </si>
  <si>
    <t>-0.9946136481 0.02428558096 -0.006367598197</t>
  </si>
  <si>
    <t>060</t>
  </si>
  <si>
    <t>05:10:25.22</t>
  </si>
  <si>
    <t>0.4689022001</t>
  </si>
  <si>
    <t>9.684387207</t>
  </si>
  <si>
    <t>14.53067098 m</t>
  </si>
  <si>
    <t>4575457</t>
  </si>
  <si>
    <t>7:21:36</t>
  </si>
  <si>
    <t>2025:07:29 08:10:26.060+03:00</t>
  </si>
  <si>
    <t>2025:07:29 08:10:26+03:00</t>
  </si>
  <si>
    <t>168.4 m Above Sea Level</t>
  </si>
  <si>
    <t>2025:07:29 05:10:25.22Z</t>
  </si>
  <si>
    <t>56 deg 8' 13.74" N</t>
  </si>
  <si>
    <t>40 deg 21' 17.28" E</t>
  </si>
  <si>
    <t>56 deg 8' 13.74" N, 40 deg 21' 17.28" E</t>
  </si>
  <si>
    <t>/content/drive/MyDrive/DRONE/foto/IMG_6514.HEIC</t>
  </si>
  <si>
    <t>2025:08:06 05:44:34+00:00</t>
  </si>
  <si>
    <t>2025:07:29 09:12:09</t>
  </si>
  <si>
    <t>1/1258</t>
  </si>
  <si>
    <t>8.679498657</t>
  </si>
  <si>
    <t>-0.9842903614 0.04593424502 -0.003380044598</t>
  </si>
  <si>
    <t>758</t>
  </si>
  <si>
    <t>06:12:08.23</t>
  </si>
  <si>
    <t>0.836668551</t>
  </si>
  <si>
    <t>6.518371582</t>
  </si>
  <si>
    <t>4600968</t>
  </si>
  <si>
    <t>8:03:26</t>
  </si>
  <si>
    <t>2025:07:29 09:12:09.758+03:00</t>
  </si>
  <si>
    <t>2025:07:29 09:12:09+03:00</t>
  </si>
  <si>
    <t>2025:07:29 06:12:08.23Z</t>
  </si>
  <si>
    <t>56 deg 8' 13.18" N</t>
  </si>
  <si>
    <t>40 deg 21' 17.34" E</t>
  </si>
  <si>
    <t>56 deg 8' 13.18" N, 40 deg 21' 17.34" E</t>
  </si>
  <si>
    <t>13.6</t>
  </si>
  <si>
    <t>/content/drive/MyDrive/DRONE/foto/IMG_6515.HEIC</t>
  </si>
  <si>
    <t>2025:08:06 05:41:49+00:00</t>
  </si>
  <si>
    <t>2025:07:29 10:04:19</t>
  </si>
  <si>
    <t>1/1653</t>
  </si>
  <si>
    <t>9.128853508</t>
  </si>
  <si>
    <t>-0.9840141535 0.002954894446 0.1007721125</t>
  </si>
  <si>
    <t>244</t>
  </si>
  <si>
    <t>07:04:17.88</t>
  </si>
  <si>
    <t>0.1362851411</t>
  </si>
  <si>
    <t>0.7379760742</t>
  </si>
  <si>
    <t>42.88007758 m</t>
  </si>
  <si>
    <t>4164141</t>
  </si>
  <si>
    <t>8:53:56</t>
  </si>
  <si>
    <t>2025:07:29 10:04:19.244+03:00</t>
  </si>
  <si>
    <t>2025:07:29 10:04:19+03:00</t>
  </si>
  <si>
    <t>2025:07:29 07:04:17.88Z</t>
  </si>
  <si>
    <t>56 deg 8' 13.40" N</t>
  </si>
  <si>
    <t>40 deg 21' 17.76" E</t>
  </si>
  <si>
    <t>56 deg 8' 13.40" N, 40 deg 21' 17.76" E</t>
  </si>
  <si>
    <t>/content/drive/MyDrive/DRONE/foto/IMG_6516.HEIC</t>
  </si>
  <si>
    <t>2025:08:06 05:45:15+00:00</t>
  </si>
  <si>
    <t>2025:07:29 11:09:23</t>
  </si>
  <si>
    <t>1/2028</t>
  </si>
  <si>
    <t>9.335763038</t>
  </si>
  <si>
    <t>-0.9885776646 0.02935464679 -0.01189312153</t>
  </si>
  <si>
    <t>767</t>
  </si>
  <si>
    <t>08:09:22.64</t>
  </si>
  <si>
    <t>1.157590032</t>
  </si>
  <si>
    <t>9.190551758</t>
  </si>
  <si>
    <t>9.108552028 m</t>
  </si>
  <si>
    <t>4873766</t>
  </si>
  <si>
    <t>9:54:32</t>
  </si>
  <si>
    <t>2025:07:29 11:09:23.767+03:00</t>
  </si>
  <si>
    <t>2025:07:29 11:09:23+03:00</t>
  </si>
  <si>
    <t>2025:07:29 08:09:22.64Z</t>
  </si>
  <si>
    <t>56 deg 8' 13.35" N</t>
  </si>
  <si>
    <t>56 deg 8' 13.35" N, 40 deg 21' 17.33" E</t>
  </si>
  <si>
    <t>14.3</t>
  </si>
  <si>
    <t>/content/drive/MyDrive/DRONE/foto/IMG_6518.HEIC</t>
  </si>
  <si>
    <t>2025:08:06 05:43:11+00:00</t>
  </si>
  <si>
    <t>2025:08:06 07:48:21+00:00</t>
  </si>
  <si>
    <t>2025:07:29 12:05:20</t>
  </si>
  <si>
    <t>1/2571</t>
  </si>
  <si>
    <t>9.630630112</t>
  </si>
  <si>
    <t>-0.992046535 0.01466672776 0.05421456696</t>
  </si>
  <si>
    <t>398</t>
  </si>
  <si>
    <t>09:05:19.07</t>
  </si>
  <si>
    <t>0.1156081781</t>
  </si>
  <si>
    <t>5.122711179</t>
  </si>
  <si>
    <t>25.98556601 m</t>
  </si>
  <si>
    <t>4340970</t>
  </si>
  <si>
    <t>10:36:15</t>
  </si>
  <si>
    <t>2025:07:29 12:05:20.398+03:00</t>
  </si>
  <si>
    <t>2025:07:29 12:05:20+03:00</t>
  </si>
  <si>
    <t>2025:07:29 09:05:19.07Z</t>
  </si>
  <si>
    <t>56 deg 8' 13.82" N</t>
  </si>
  <si>
    <t>56 deg 8' 13.82" N, 40 deg 21' 17.53" E</t>
  </si>
  <si>
    <t>14.7</t>
  </si>
  <si>
    <t>/content/drive/MyDrive/DRONE/foto/IMG_6519.HEIC</t>
  </si>
  <si>
    <t>2025:08:06 05:44:04+00:00</t>
  </si>
  <si>
    <t>2025:08:06 07:48:27+00:00</t>
  </si>
  <si>
    <t>2025:07:29 13:16:06</t>
  </si>
  <si>
    <t>1/998</t>
  </si>
  <si>
    <t>8.404213727</t>
  </si>
  <si>
    <t>-0.9874663352 0.03629938512 0.01683552936</t>
  </si>
  <si>
    <t>027</t>
  </si>
  <si>
    <t>10:16:05.05</t>
  </si>
  <si>
    <t>0.08019357914</t>
  </si>
  <si>
    <t>4.072021484</t>
  </si>
  <si>
    <t>12.17975916 m</t>
  </si>
  <si>
    <t>4464427</t>
  </si>
  <si>
    <t>11:06:55</t>
  </si>
  <si>
    <t>2025:07:29 13:16:06.027+03:00</t>
  </si>
  <si>
    <t>2025:07:29 13:16:06+03:00</t>
  </si>
  <si>
    <t>2025:07:29 10:16:05.05Z</t>
  </si>
  <si>
    <t>56 deg 8' 13.56" N, 40 deg 21' 17.49" E</t>
  </si>
  <si>
    <t>13.3</t>
  </si>
  <si>
    <t>/content/drive/MyDrive/DRONE/foto/IMG_6520.HEIC</t>
  </si>
  <si>
    <t>2025:08:06 05:44:21+00:00</t>
  </si>
  <si>
    <t>2025:08:06 07:48:34+00:00</t>
  </si>
  <si>
    <t>2025:07:29 14:14:33</t>
  </si>
  <si>
    <t>1/2513</t>
  </si>
  <si>
    <t>9.627903514</t>
  </si>
  <si>
    <t>-0.9881160264 0.01046792418 0.005964880808</t>
  </si>
  <si>
    <t>11:14:33</t>
  </si>
  <si>
    <t>0.250164598</t>
  </si>
  <si>
    <t>10.27774048</t>
  </si>
  <si>
    <t>7.336997037 m</t>
  </si>
  <si>
    <t>4544359</t>
  </si>
  <si>
    <t>11:51:45</t>
  </si>
  <si>
    <t>2025:07:29 14:14:33.783+03:00</t>
  </si>
  <si>
    <t>2025:07:29 14:14:33+03:00</t>
  </si>
  <si>
    <t>2025:07:29 11:14:33Z</t>
  </si>
  <si>
    <t>56 deg 8' 13.40" N, 40 deg 21' 17.55" E</t>
  </si>
  <si>
    <t>14.6</t>
  </si>
  <si>
    <t>/content/drive/MyDrive/DRONE/foto/IMG_6521.HEIC</t>
  </si>
  <si>
    <t>2025:08:06 05:43:20+00:00</t>
  </si>
  <si>
    <t>2025:07:29 15:18:23</t>
  </si>
  <si>
    <t>9.544913864</t>
  </si>
  <si>
    <t>-0.9879695782 0.0310568828 0.07180827855</t>
  </si>
  <si>
    <t>117</t>
  </si>
  <si>
    <t>12:18:21.95</t>
  </si>
  <si>
    <t>0.12454121</t>
  </si>
  <si>
    <t>2.346496582</t>
  </si>
  <si>
    <t>14.99510071 m</t>
  </si>
  <si>
    <t>4344687</t>
  </si>
  <si>
    <t>12:37:44</t>
  </si>
  <si>
    <t>2025:07:29 15:18:23.117+03:00</t>
  </si>
  <si>
    <t>2025:07:29 15:18:23+03:00</t>
  </si>
  <si>
    <t>2025:07:29 12:18:21.95Z</t>
  </si>
  <si>
    <t>56 deg 8' 13.55" N</t>
  </si>
  <si>
    <t>40 deg 21' 17.26" E</t>
  </si>
  <si>
    <t>56 deg 8' 13.55" N, 40 deg 21' 17.26" E</t>
  </si>
  <si>
    <t>/content/drive/MyDrive/DRONE/foto/IMG_6522.HEIC</t>
  </si>
  <si>
    <t>2025:08:06 05:43:25+00:00</t>
  </si>
  <si>
    <t>2025:07:29 15:18:24</t>
  </si>
  <si>
    <t>9.512852665</t>
  </si>
  <si>
    <t>-1.006422163 0.007106781006 0.03420917692</t>
  </si>
  <si>
    <t>633</t>
  </si>
  <si>
    <t>12:18:23.95</t>
  </si>
  <si>
    <t>359.4190065</t>
  </si>
  <si>
    <t>13.12178988 m</t>
  </si>
  <si>
    <t>4369933</t>
  </si>
  <si>
    <t>12:37:45</t>
  </si>
  <si>
    <t>2025:07:29 15:18:24.633+03:00</t>
  </si>
  <si>
    <t>2025:07:29 15:18:24+03:00</t>
  </si>
  <si>
    <t>2025:07:29 12:18:23.95Z</t>
  </si>
  <si>
    <t>/content/drive/MyDrive/DRONE/foto/IMG_6524.HEIC</t>
  </si>
  <si>
    <t>2025:08:06 05:42:45+00:00</t>
  </si>
  <si>
    <t>2025:08:06 07:48:54+00:00</t>
  </si>
  <si>
    <t>2025:07:29 16:19:20</t>
  </si>
  <si>
    <t>1/1866</t>
  </si>
  <si>
    <t>9.24241163</t>
  </si>
  <si>
    <t>-0.9894414545 0.03418759257 0.03850332274</t>
  </si>
  <si>
    <t>891</t>
  </si>
  <si>
    <t>13:19:19.9</t>
  </si>
  <si>
    <t>0.5316227078</t>
  </si>
  <si>
    <t>10.06677246</t>
  </si>
  <si>
    <t>14.32952269 m</t>
  </si>
  <si>
    <t>4295785</t>
  </si>
  <si>
    <t>13:21:10</t>
  </si>
  <si>
    <t>2025:07:29 16:19:20.891+03:00</t>
  </si>
  <si>
    <t>2025:07:29 16:19:20+03:00</t>
  </si>
  <si>
    <t>2025:07:29 13:19:19.9Z</t>
  </si>
  <si>
    <t>56 deg 8' 13.59" N</t>
  </si>
  <si>
    <t>40 deg 21' 17.19" E</t>
  </si>
  <si>
    <t>56 deg 8' 13.59" N, 40 deg 21' 17.19" E</t>
  </si>
  <si>
    <t>/content/drive/MyDrive/DRONE/foto/IMG_6525.HEIC</t>
  </si>
  <si>
    <t>3.5 MiB</t>
  </si>
  <si>
    <t>2025:08:06 05:39:29+00:00</t>
  </si>
  <si>
    <t>2025:08:06 07:49:01+00:00</t>
  </si>
  <si>
    <t>2025:07:29 18:18:57</t>
  </si>
  <si>
    <t>1/211</t>
  </si>
  <si>
    <t>6.406886806</t>
  </si>
  <si>
    <t>-1.001854778 0.03902768718 0.02214701473</t>
  </si>
  <si>
    <t>313</t>
  </si>
  <si>
    <t>15:18:55.81</t>
  </si>
  <si>
    <t>0.2366146296</t>
  </si>
  <si>
    <t>7.897430422</t>
  </si>
  <si>
    <t>3616645</t>
  </si>
  <si>
    <t>15:11:29</t>
  </si>
  <si>
    <t>2025:07:29 18:18:57.313+03:00</t>
  </si>
  <si>
    <t>2025:07:29 18:18:57+03:00</t>
  </si>
  <si>
    <t>2025:07:29 15:18:55.81Z</t>
  </si>
  <si>
    <t>56 deg 8' 13.41" N</t>
  </si>
  <si>
    <t>56 deg 8' 13.41" N, 40 deg 21' 17.19" E</t>
  </si>
  <si>
    <t>/content/drive/MyDrive/DRONE/foto/IMG_6526.HEIC</t>
  </si>
  <si>
    <t>2.9 MiB</t>
  </si>
  <si>
    <t>2025:08:06 05:38:47+00:00</t>
  </si>
  <si>
    <t>2025:08:06 07:49:07+00:00</t>
  </si>
  <si>
    <t>2025:07:29 19:15:32</t>
  </si>
  <si>
    <t>1/155</t>
  </si>
  <si>
    <t>6.218890286</t>
  </si>
  <si>
    <t>-1.004452467 0.01124089305 0.07778839766</t>
  </si>
  <si>
    <t>402</t>
  </si>
  <si>
    <t>16:15:30.77</t>
  </si>
  <si>
    <t>0.3506004512</t>
  </si>
  <si>
    <t>13.75015259</t>
  </si>
  <si>
    <t>7.612477349 m</t>
  </si>
  <si>
    <t>3066608</t>
  </si>
  <si>
    <t>15:40:39</t>
  </si>
  <si>
    <t>2025:07:29 19:15:32.402+03:00</t>
  </si>
  <si>
    <t>2025:07:29 19:15:32+03:00</t>
  </si>
  <si>
    <t>2025:07:29 16:15:30.77Z</t>
  </si>
  <si>
    <t>56 deg 8' 13.30" N</t>
  </si>
  <si>
    <t>40 deg 21' 17.09" E</t>
  </si>
  <si>
    <t>56 deg 8' 13.30" N, 40 deg 21' 17.09" E</t>
  </si>
  <si>
    <t>/content/drive/MyDrive/DRONE/foto/IMG_6527.HEIC</t>
  </si>
  <si>
    <t>3.3 MiB</t>
  </si>
  <si>
    <t>2025:08:06 05:39:02+00:00</t>
  </si>
  <si>
    <t>2025:07:29 20:12:24</t>
  </si>
  <si>
    <t>1/106</t>
  </si>
  <si>
    <t>3.638878908</t>
  </si>
  <si>
    <t>-0.9917507181 0.03053601646 0.05811118706</t>
  </si>
  <si>
    <t>266</t>
  </si>
  <si>
    <t>17:12:22.75</t>
  </si>
  <si>
    <t>0.6643668414</t>
  </si>
  <si>
    <t>10.26824952</t>
  </si>
  <si>
    <t>14.29554479 m</t>
  </si>
  <si>
    <t>3426502</t>
  </si>
  <si>
    <t>16:09:12</t>
  </si>
  <si>
    <t>2025:07:29 20:12:24.266+03:00</t>
  </si>
  <si>
    <t>2025:07:29 20:12:24+03:00</t>
  </si>
  <si>
    <t>2025:07:29 17:12:22.75Z</t>
  </si>
  <si>
    <t>56 deg 8' 13.34" N</t>
  </si>
  <si>
    <t>40 deg 21' 16.93" E</t>
  </si>
  <si>
    <t>56 deg 8' 13.34" N, 40 deg 21' 16.93" E</t>
  </si>
  <si>
    <t>/content/drive/MyDrive/DRONE/foto/IMG_6528.HEIC</t>
  </si>
  <si>
    <t>1602 KiB</t>
  </si>
  <si>
    <t>2025:08:06 05:38:09+00:00</t>
  </si>
  <si>
    <t>2025:07:29 21:12:49</t>
  </si>
  <si>
    <t>1/8</t>
  </si>
  <si>
    <t>640</t>
  </si>
  <si>
    <t>-3.562642982</t>
  </si>
  <si>
    <t>+0.113</t>
  </si>
  <si>
    <t>-1.010149598 0.03463860601 -0.02149722538</t>
  </si>
  <si>
    <t>115</t>
  </si>
  <si>
    <t>Composite Image Captured While Shooting</t>
  </si>
  <si>
    <t>10 0</t>
  </si>
  <si>
    <t>0 1.7 0 0.3 0 1/8 0 0</t>
  </si>
  <si>
    <t>18:12:39.34</t>
  </si>
  <si>
    <t>5.834472656</t>
  </si>
  <si>
    <t>8214.869595 m</t>
  </si>
  <si>
    <t>1636208</t>
  </si>
  <si>
    <t>16:39:26</t>
  </si>
  <si>
    <t>2025:07:29 21:12:49.115+03:00</t>
  </si>
  <si>
    <t>2025:07:29 21:12:49+03:00</t>
  </si>
  <si>
    <t>2025:07:29 18:12:39.34Z</t>
  </si>
  <si>
    <t>56 deg 8' 21.35" N</t>
  </si>
  <si>
    <t>40 deg 31' 14.75" E</t>
  </si>
  <si>
    <t>56 deg 8' 21.35" N, 40 deg 31' 14.75" E</t>
  </si>
  <si>
    <t>/content/drive/MyDrive/DRONE/foto/IMG_6529.HEIC</t>
  </si>
  <si>
    <t>1435 KiB</t>
  </si>
  <si>
    <t>2025:08:06 05:37:34+00:00</t>
  </si>
  <si>
    <t>2025:08:06 07:49:25+00:00</t>
  </si>
  <si>
    <t>2025:07:29 21:12:52</t>
  </si>
  <si>
    <t>1250</t>
  </si>
  <si>
    <t>-3.444349928</t>
  </si>
  <si>
    <t>-0.9983163475 0.02754051982 0.02820102871</t>
  </si>
  <si>
    <t>549</t>
  </si>
  <si>
    <t>18:12:51.7</t>
  </si>
  <si>
    <t>0.2764748037</t>
  </si>
  <si>
    <t>4.831604004</t>
  </si>
  <si>
    <t>1464841</t>
  </si>
  <si>
    <t>16:39:31</t>
  </si>
  <si>
    <t>2025:07:29 21:12:52.549+03:00</t>
  </si>
  <si>
    <t>2025:07:29 21:12:52+03:00</t>
  </si>
  <si>
    <t>2025:07:29 18:12:51.7Z</t>
  </si>
  <si>
    <t>56 deg 8' 13.37" N</t>
  </si>
  <si>
    <t>40 deg 21' 17.52" E</t>
  </si>
  <si>
    <t>56 deg 8' 13.37" N, 40 deg 21' 17.52" E</t>
  </si>
  <si>
    <t>/content/drive/MyDrive/DRONE/foto/IMG_6530.HEIC</t>
  </si>
  <si>
    <t>1793 KiB</t>
  </si>
  <si>
    <t>2025:08:06 05:38:16+00:00</t>
  </si>
  <si>
    <t>2025:07:29 22:18:10</t>
  </si>
  <si>
    <t>1000</t>
  </si>
  <si>
    <t>-5.096073104</t>
  </si>
  <si>
    <t>+0.32</t>
  </si>
  <si>
    <t>-0.99033451 0.04416654632 0.0399446525</t>
  </si>
  <si>
    <t>192</t>
  </si>
  <si>
    <t>19:18:08.28</t>
  </si>
  <si>
    <t>0.2738955619</t>
  </si>
  <si>
    <t>30.89797973</t>
  </si>
  <si>
    <t>8.807364411 m</t>
  </si>
  <si>
    <t>1831696</t>
  </si>
  <si>
    <t>17:25:57</t>
  </si>
  <si>
    <t>2025:07:29 22:18:10.192+03:00</t>
  </si>
  <si>
    <t>2025:07:29 22:18:10+03:00</t>
  </si>
  <si>
    <t>2025:07:29 19:18:08.28Z</t>
  </si>
  <si>
    <t>56 deg 8' 13.31" N</t>
  </si>
  <si>
    <t>40 deg 21' 17.15" E</t>
  </si>
  <si>
    <t>56 deg 8' 13.31" N, 40 deg 21' 17.15" E</t>
  </si>
  <si>
    <t>/content/drive/MyDrive/DRONE/foto/IMG_6532.HEIC</t>
  </si>
  <si>
    <t>3.6 MiB</t>
  </si>
  <si>
    <t>2025:08:06 05:40:00+00:00</t>
  </si>
  <si>
    <t>2025:08:06 07:49:36+00:00</t>
  </si>
  <si>
    <t>2025:07:30 06:08:23</t>
  </si>
  <si>
    <t>1/282</t>
  </si>
  <si>
    <t>6.706249552</t>
  </si>
  <si>
    <t>-1.03033352 0.01899399423 -0.002058287384</t>
  </si>
  <si>
    <t>388</t>
  </si>
  <si>
    <t>03:08:21.76</t>
  </si>
  <si>
    <t>2.880093097</t>
  </si>
  <si>
    <t>1.628936768</t>
  </si>
  <si>
    <t>2025:07:30</t>
  </si>
  <si>
    <t>81.6464581 m</t>
  </si>
  <si>
    <t>3757546</t>
  </si>
  <si>
    <t>1:23:38</t>
  </si>
  <si>
    <t>2025:07:30 06:08:23.388+03:00</t>
  </si>
  <si>
    <t>2025:07:30 06:08:23+03:00</t>
  </si>
  <si>
    <t>179.2 m Above Sea Level</t>
  </si>
  <si>
    <t>2025:07:30 03:08:21.76Z</t>
  </si>
  <si>
    <t>56 deg 8' 13.18" N, 40 deg 21' 17.00" E</t>
  </si>
  <si>
    <t>/content/drive/MyDrive/DRONE/foto/IMG_6533.HEIC</t>
  </si>
  <si>
    <t>2025:08:06 05:40:04+00:00</t>
  </si>
  <si>
    <t>2025:08:06 07:49:42+00:00</t>
  </si>
  <si>
    <t>2025:07:30 07:43:50</t>
  </si>
  <si>
    <t>1/1245</t>
  </si>
  <si>
    <t>8.703120567</t>
  </si>
  <si>
    <t>-0.9715427167 -0.02517653815 0.06654225296</t>
  </si>
  <si>
    <t>393</t>
  </si>
  <si>
    <t>04:43:49.6</t>
  </si>
  <si>
    <t>0.743926346</t>
  </si>
  <si>
    <t>358.0016786</t>
  </si>
  <si>
    <t>42.78843801 m</t>
  </si>
  <si>
    <t>3761781</t>
  </si>
  <si>
    <t>1:32:04</t>
  </si>
  <si>
    <t>2025:07:30 07:43:50.393+03:00</t>
  </si>
  <si>
    <t>2025:07:30 07:43:50+03:00</t>
  </si>
  <si>
    <t>2025:07:30 04:43:49.6Z</t>
  </si>
  <si>
    <t>40 deg 21' 17.38" E</t>
  </si>
  <si>
    <t>56 deg 8' 13.23" N, 40 deg 21' 17.38" E</t>
  </si>
  <si>
    <t>/content/drive/MyDrive/DRONE/foto/IMG_6534.HEIC</t>
  </si>
  <si>
    <t>2025:08:06 05:42:58+00:00</t>
  </si>
  <si>
    <t>2025:08:06 07:49:49+00:00</t>
  </si>
  <si>
    <t>2025:07:30 08:22:25</t>
  </si>
  <si>
    <t>1/1300</t>
  </si>
  <si>
    <t>8.646183069</t>
  </si>
  <si>
    <t>-1.004253507 0.001694350154 0.01558164879</t>
  </si>
  <si>
    <t>764</t>
  </si>
  <si>
    <t>05:22:24.08</t>
  </si>
  <si>
    <t>0.372922599</t>
  </si>
  <si>
    <t>3.546447754</t>
  </si>
  <si>
    <t>103.7937055 m</t>
  </si>
  <si>
    <t>4310669</t>
  </si>
  <si>
    <t>1:41:48</t>
  </si>
  <si>
    <t>2025:07:30 08:22:25.764+03:00</t>
  </si>
  <si>
    <t>2025:07:30 08:22:25+03:00</t>
  </si>
  <si>
    <t>182.8 m Above Sea Level</t>
  </si>
  <si>
    <t>2025:07:30 05:22:24.08Z</t>
  </si>
  <si>
    <t>40 deg 21' 17.56" E</t>
  </si>
  <si>
    <t>56 deg 8' 13.48" N, 40 deg 21' 17.56" E</t>
  </si>
  <si>
    <t>/content/drive/MyDrive/DRONE/foto/IMG_6535.HEIC</t>
  </si>
  <si>
    <t>2025:08:06 05:41:05+00:00</t>
  </si>
  <si>
    <t>2025:08:06 07:49:55+00:00</t>
  </si>
  <si>
    <t>2025:07:30 09:16:24</t>
  </si>
  <si>
    <t>1/1484</t>
  </si>
  <si>
    <t>8.950126408</t>
  </si>
  <si>
    <t>-0.9914197322 0.01828513854 0.03705246001</t>
  </si>
  <si>
    <t>823</t>
  </si>
  <si>
    <t>06:16:23.37</t>
  </si>
  <si>
    <t>1.132122469</t>
  </si>
  <si>
    <t>2.649871826</t>
  </si>
  <si>
    <t>11.44234962 m</t>
  </si>
  <si>
    <t>4013987</t>
  </si>
  <si>
    <t>2:34:48</t>
  </si>
  <si>
    <t>2025:07:30 09:16:24.823+03:00</t>
  </si>
  <si>
    <t>2025:07:30 09:16:24+03:00</t>
  </si>
  <si>
    <t>2025:07:30 06:16:23.37Z</t>
  </si>
  <si>
    <t>56 deg 8' 13.31" N, 40 deg 21' 17.49" E</t>
  </si>
  <si>
    <t>/content/drive/MyDrive/DRONE/foto/IMG_6536.HEIC</t>
  </si>
  <si>
    <t>2025:08:06 05:44:30+00:00</t>
  </si>
  <si>
    <t>2025:08:06 07:50:03+00:00</t>
  </si>
  <si>
    <t>2025:07:30 10:13:24</t>
  </si>
  <si>
    <t>1/1898</t>
  </si>
  <si>
    <t>9.231071458</t>
  </si>
  <si>
    <t>-0.9967409969 0.01611592993 0.03745501864</t>
  </si>
  <si>
    <t>926</t>
  </si>
  <si>
    <t>07:13:23.66</t>
  </si>
  <si>
    <t>0.4938372073</t>
  </si>
  <si>
    <t>349.7437132</t>
  </si>
  <si>
    <t>35.28486993 m</t>
  </si>
  <si>
    <t>4580434</t>
  </si>
  <si>
    <t>3:11:23</t>
  </si>
  <si>
    <t>2025:07:30 10:13:24.926+03:00</t>
  </si>
  <si>
    <t>2025:07:30 10:13:24+03:00</t>
  </si>
  <si>
    <t>2025:07:30 07:13:23.66Z</t>
  </si>
  <si>
    <t>56 deg 8' 13.38" N</t>
  </si>
  <si>
    <t>40 deg 21' 17.35" E</t>
  </si>
  <si>
    <t>56 deg 8' 13.38" N, 40 deg 21' 17.35" E</t>
  </si>
  <si>
    <t>/content/drive/MyDrive/DRONE/foto/IMG_6537.HEIC</t>
  </si>
  <si>
    <t>2025:08:06 05:40:26+00:00</t>
  </si>
  <si>
    <t>2025:08:06 07:50:09+00:00</t>
  </si>
  <si>
    <t>2025:07:30 11:12:42</t>
  </si>
  <si>
    <t>1/2141</t>
  </si>
  <si>
    <t>9.383341165</t>
  </si>
  <si>
    <t>-0.989845574 -0.002579743043 0.06431153412</t>
  </si>
  <si>
    <t>147</t>
  </si>
  <si>
    <t>08:12:41.31</t>
  </si>
  <si>
    <t>0.1962923557</t>
  </si>
  <si>
    <t>352.3589479</t>
  </si>
  <si>
    <t>19.41417655 m</t>
  </si>
  <si>
    <t>3793474</t>
  </si>
  <si>
    <t>3:50:58</t>
  </si>
  <si>
    <t>2025:07:30 11:12:42.147+03:00</t>
  </si>
  <si>
    <t>2025:07:30 11:12:42+03:00</t>
  </si>
  <si>
    <t>2025:07:30 08:12:41.31Z</t>
  </si>
  <si>
    <t>56 deg 8' 13.27" N</t>
  </si>
  <si>
    <t>56 deg 8' 13.27" N, 40 deg 21' 17.15" E</t>
  </si>
  <si>
    <t>14.4</t>
  </si>
  <si>
    <t>/content/drive/MyDrive/DRONE/foto/IMG_6538.HEIC</t>
  </si>
  <si>
    <t>2025:08:06 05:44:17+00:00</t>
  </si>
  <si>
    <t>2025:08:06 07:50:16+00:00</t>
  </si>
  <si>
    <t>2025:07:30 12:14:53</t>
  </si>
  <si>
    <t>1/2625</t>
  </si>
  <si>
    <t>9.679909834</t>
  </si>
  <si>
    <t>-0.996981502 0.0305993557 0.001813815091</t>
  </si>
  <si>
    <t>118</t>
  </si>
  <si>
    <t>09:14:52.29</t>
  </si>
  <si>
    <t>0.05730370803</t>
  </si>
  <si>
    <t>12.0355835</t>
  </si>
  <si>
    <t>8.458928353 m</t>
  </si>
  <si>
    <t>4533304</t>
  </si>
  <si>
    <t>4:27:59</t>
  </si>
  <si>
    <t>2025:07:30 12:14:53.118+03:00</t>
  </si>
  <si>
    <t>2025:07:30 12:14:53+03:00</t>
  </si>
  <si>
    <t>2025:07:30 09:14:52.29Z</t>
  </si>
  <si>
    <t>56 deg 8' 13.45" N</t>
  </si>
  <si>
    <t>40 deg 21' 17.27" E</t>
  </si>
  <si>
    <t>56 deg 8' 13.45" N, 40 deg 21' 17.27" E</t>
  </si>
  <si>
    <t>/content/drive/MyDrive/DRONE/foto/IMG_6539.HEIC</t>
  </si>
  <si>
    <t>3.7 MiB</t>
  </si>
  <si>
    <t>2025:08:06 05:40:43+00:00</t>
  </si>
  <si>
    <t>2025:07:30 13:09:32</t>
  </si>
  <si>
    <t>1/1346</t>
  </si>
  <si>
    <t>8.768870804</t>
  </si>
  <si>
    <t>-0.9963253737 0.01550235412 0.01828490383</t>
  </si>
  <si>
    <t>996</t>
  </si>
  <si>
    <t>10:09:32.28</t>
  </si>
  <si>
    <t>0.5225139261</t>
  </si>
  <si>
    <t>6.635955809</t>
  </si>
  <si>
    <t>11.1328083 m</t>
  </si>
  <si>
    <t>3883104</t>
  </si>
  <si>
    <t>4:41:48</t>
  </si>
  <si>
    <t>2025:07:30 13:09:32.996+03:00</t>
  </si>
  <si>
    <t>2025:07:30 13:09:32+03:00</t>
  </si>
  <si>
    <t>2025:07:30 10:09:32.28Z</t>
  </si>
  <si>
    <t>56 deg 8' 13.29" N</t>
  </si>
  <si>
    <t>40 deg 21' 17.57" E</t>
  </si>
  <si>
    <t>56 deg 8' 13.29" N, 40 deg 21' 17.57" E</t>
  </si>
  <si>
    <t>/content/drive/MyDrive/DRONE/foto/IMG_6540.HEIC</t>
  </si>
  <si>
    <t>2025:08:06 05:43:30+00:00</t>
  </si>
  <si>
    <t>2025:08:06 07:50:29+00:00</t>
  </si>
  <si>
    <t>2025:07:30 14:15:48</t>
  </si>
  <si>
    <t>1/2463</t>
  </si>
  <si>
    <t>9.648660891</t>
  </si>
  <si>
    <t>-1.004804611 0.04905375467 0.01419368294</t>
  </si>
  <si>
    <t>324</t>
  </si>
  <si>
    <t>11:15:47.49</t>
  </si>
  <si>
    <t>0.6595902439</t>
  </si>
  <si>
    <t>355.2600707</t>
  </si>
  <si>
    <t>25.77130662 m</t>
  </si>
  <si>
    <t>4376235</t>
  </si>
  <si>
    <t>5:40:36</t>
  </si>
  <si>
    <t>2025:07:30 14:15:48.324+03:00</t>
  </si>
  <si>
    <t>2025:07:30 14:15:48+03:00</t>
  </si>
  <si>
    <t>2025:07:30 11:15:47.49Z</t>
  </si>
  <si>
    <t>56 deg 8' 13.46" N, 40 deg 21' 17.60" E</t>
  </si>
  <si>
    <t>/content/drive/MyDrive/DRONE/foto/IMG_6541.HEIC</t>
  </si>
  <si>
    <t>2025:08:06 05:42:40+00:00</t>
  </si>
  <si>
    <t>2025:08:06 07:50:35+00:00</t>
  </si>
  <si>
    <t>2025:07:30 15:19:03</t>
  </si>
  <si>
    <t>9.563832382</t>
  </si>
  <si>
    <t>-1.00049138 0.01337384619 0.05383675171</t>
  </si>
  <si>
    <t>156</t>
  </si>
  <si>
    <t>12:19:02.2</t>
  </si>
  <si>
    <t>353.6971129</t>
  </si>
  <si>
    <t>5.289458492 m</t>
  </si>
  <si>
    <t>4266397</t>
  </si>
  <si>
    <t>6:33:16</t>
  </si>
  <si>
    <t>2025:07:30 15:19:03.156+03:00</t>
  </si>
  <si>
    <t>2025:07:30 15:19:03+03:00</t>
  </si>
  <si>
    <t>2025:07:30 12:19:02.2Z</t>
  </si>
  <si>
    <t>40 deg 21' 17.45" E</t>
  </si>
  <si>
    <t>56 deg 8' 13.30" N, 40 deg 21' 17.45" E</t>
  </si>
  <si>
    <t>/content/drive/MyDrive/DRONE/foto/IMG_6542.HEIC</t>
  </si>
  <si>
    <t>2025:08:06 05:39:33+00:00</t>
  </si>
  <si>
    <t>2025:07:30 16:15:46</t>
  </si>
  <si>
    <t>1/1395</t>
  </si>
  <si>
    <t>8.849804172</t>
  </si>
  <si>
    <t>-0.9850552673 0.04277945311 0.0534560867</t>
  </si>
  <si>
    <t>120</t>
  </si>
  <si>
    <t>13:15:45.15</t>
  </si>
  <si>
    <t>0.2129749656</t>
  </si>
  <si>
    <t>1.442077637</t>
  </si>
  <si>
    <t>11.68777403 m</t>
  </si>
  <si>
    <t>3643024</t>
  </si>
  <si>
    <t>7:27:39</t>
  </si>
  <si>
    <t>2025:07:30 16:15:46.120+03:00</t>
  </si>
  <si>
    <t>2025:07:30 16:15:46+03:00</t>
  </si>
  <si>
    <t>2025:07:30 13:15:45.15Z</t>
  </si>
  <si>
    <t>56 deg 8' 13.16" N</t>
  </si>
  <si>
    <t>40 deg 21' 17.23" E</t>
  </si>
  <si>
    <t>56 deg 8' 13.16" N, 40 deg 21' 17.23" E</t>
  </si>
  <si>
    <t>/content/drive/MyDrive/DRONE/foto/IMG_6543.HEIC</t>
  </si>
  <si>
    <t>3.4 MiB</t>
  </si>
  <si>
    <t>2025:08:06 05:39:25+00:00</t>
  </si>
  <si>
    <t>2025:07:30 17:16:14</t>
  </si>
  <si>
    <t>1/1182</t>
  </si>
  <si>
    <t>8.66952305</t>
  </si>
  <si>
    <t>-0.9833762647 0.05306500568 0.08341751991</t>
  </si>
  <si>
    <t>745</t>
  </si>
  <si>
    <t>14:16:13.14</t>
  </si>
  <si>
    <t>0.5271881821</t>
  </si>
  <si>
    <t>2.597930908</t>
  </si>
  <si>
    <t>27.2796305 m</t>
  </si>
  <si>
    <t>3538330</t>
  </si>
  <si>
    <t>7:31:55</t>
  </si>
  <si>
    <t>2025:07:30 17:16:14.745+03:00</t>
  </si>
  <si>
    <t>2025:07:30 17:16:14+03:00</t>
  </si>
  <si>
    <t>2025:07:30 14:16:13.14Z</t>
  </si>
  <si>
    <t>40 deg 21' 17.42" E</t>
  </si>
  <si>
    <t>56 deg 8' 13.37" N, 40 deg 21' 17.42" E</t>
  </si>
  <si>
    <t>13.5</t>
  </si>
  <si>
    <t>/content/drive/MyDrive/DRONE/foto/IMG_6544.HEIC</t>
  </si>
  <si>
    <t>2025:08:06 05:39:42+00:00</t>
  </si>
  <si>
    <t>2025:07:30 18:15:42</t>
  </si>
  <si>
    <t>1/527</t>
  </si>
  <si>
    <t>7.282238443</t>
  </si>
  <si>
    <t>-1.000426292 0.0263281148 0.02736807987</t>
  </si>
  <si>
    <t>554</t>
  </si>
  <si>
    <t>3677539</t>
  </si>
  <si>
    <t>0:03:42</t>
  </si>
  <si>
    <t>2025:07:30 18:15:42.554+03:00</t>
  </si>
  <si>
    <t>2025:07:30 18:15:42+03:00</t>
  </si>
  <si>
    <t>/content/drive/MyDrive/DRONE/foto/IMG_6545.HEIC</t>
  </si>
  <si>
    <t>2025:08:06 05:39:10+00:00</t>
  </si>
  <si>
    <t>2025:08:06 07:51:02+00:00</t>
  </si>
  <si>
    <t>2025:07:30 18:15:44</t>
  </si>
  <si>
    <t>1/489</t>
  </si>
  <si>
    <t>7.30807808</t>
  </si>
  <si>
    <t>-0.9953597783 0.04286274685 0.0525793955</t>
  </si>
  <si>
    <t>3445012</t>
  </si>
  <si>
    <t>0:03:44</t>
  </si>
  <si>
    <t>2025:07:30 18:15:44.255+03:00</t>
  </si>
  <si>
    <t>2025:07:30 18:15:44+03:00</t>
  </si>
  <si>
    <t>/content/drive/MyDrive/DRONE/foto/IMG_6546.HEIC</t>
  </si>
  <si>
    <t>2025:08:06 05:39:46+00:00</t>
  </si>
  <si>
    <t>2025:08:06 07:51:08+00:00</t>
  </si>
  <si>
    <t>2025:07:30 19:14:11</t>
  </si>
  <si>
    <t>1/169</t>
  </si>
  <si>
    <t>6.142537968</t>
  </si>
  <si>
    <t>-1.008618474 0.01285934541 0.03024948389</t>
  </si>
  <si>
    <t>940</t>
  </si>
  <si>
    <t>16:14:10.67</t>
  </si>
  <si>
    <t>0.5945221782</t>
  </si>
  <si>
    <t>3.49810791</t>
  </si>
  <si>
    <t>3713964</t>
  </si>
  <si>
    <t>0:29:55</t>
  </si>
  <si>
    <t>2025:07:30 19:14:11.940+03:00</t>
  </si>
  <si>
    <t>2025:07:30 19:14:11+03:00</t>
  </si>
  <si>
    <t>2025:07:30 16:14:10.67Z</t>
  </si>
  <si>
    <t>56 deg 8' 13.31" N, 40 deg 21' 17.17" E</t>
  </si>
  <si>
    <t>/content/drive/MyDrive/DRONE/foto/IMG_6547.HEIC</t>
  </si>
  <si>
    <t>2025:08:06 05:39:15+00:00</t>
  </si>
  <si>
    <t>2025:07:30 20:15:51</t>
  </si>
  <si>
    <t>1/108</t>
  </si>
  <si>
    <t>3.713398841</t>
  </si>
  <si>
    <t>-0.9830549358 0.03560553119 0.0945111514</t>
  </si>
  <si>
    <t>237</t>
  </si>
  <si>
    <t>17:15:49.54</t>
  </si>
  <si>
    <t>0.2941581308</t>
  </si>
  <si>
    <t>358.7615051</t>
  </si>
  <si>
    <t>27.58316124 m</t>
  </si>
  <si>
    <t>3491341</t>
  </si>
  <si>
    <t>1:10:43</t>
  </si>
  <si>
    <t>2025:07:30 20:15:51.237+03:00</t>
  </si>
  <si>
    <t>2025:07:30 20:15:51+03:00</t>
  </si>
  <si>
    <t>2025:07:30 17:15:49.54Z</t>
  </si>
  <si>
    <t>56 deg 8' 13.29" N, 40 deg 21' 17.33" E</t>
  </si>
  <si>
    <t>/content/drive/MyDrive/DRONE/foto/IMG_6548.HEIC</t>
  </si>
  <si>
    <t>1244 KiB</t>
  </si>
  <si>
    <t>2025:08:06 05:37:23+00:00</t>
  </si>
  <si>
    <t>2025:08:06 07:51:21+00:00</t>
  </si>
  <si>
    <t>2025:07:30 21:15:26</t>
  </si>
  <si>
    <t>1/16</t>
  </si>
  <si>
    <t>-3.189519772</t>
  </si>
  <si>
    <t>-0.9886714219 0.03760591519 0.03594551981</t>
  </si>
  <si>
    <t>704</t>
  </si>
  <si>
    <t>18:15:26.01</t>
  </si>
  <si>
    <t>0.1442696452</t>
  </si>
  <si>
    <t>6.095489498</t>
  </si>
  <si>
    <t>14.25596242 m</t>
  </si>
  <si>
    <t>1269361</t>
  </si>
  <si>
    <t>1:33:49</t>
  </si>
  <si>
    <t>2025:07:30 21:15:26.704+03:00</t>
  </si>
  <si>
    <t>2025:07:30 21:15:26+03:00</t>
  </si>
  <si>
    <t>2025:07:30 18:15:26.01Z</t>
  </si>
  <si>
    <t>56 deg 8' 13.26" N</t>
  </si>
  <si>
    <t>56 deg 8' 13.26" N, 40 deg 21' 17.49" E</t>
  </si>
  <si>
    <t>2.4</t>
  </si>
  <si>
    <t>/content/drive/MyDrive/DRONE/foto/IMG_6549.HEIC</t>
  </si>
  <si>
    <t>1515 KiB</t>
  </si>
  <si>
    <t>2025:08:06 05:38:02+00:00</t>
  </si>
  <si>
    <t>2025:08:06 07:51:33+00:00</t>
  </si>
  <si>
    <t>2025:07:30 22:15:46</t>
  </si>
  <si>
    <t>-4.402109237</t>
  </si>
  <si>
    <t>-0.9983091949 0.03633471577 -0.001140455017</t>
  </si>
  <si>
    <t>305</t>
  </si>
  <si>
    <t>19:15:45</t>
  </si>
  <si>
    <t>0.1072985398</t>
  </si>
  <si>
    <t>5.732513428</t>
  </si>
  <si>
    <t>10.87795466 m</t>
  </si>
  <si>
    <t>1546791</t>
  </si>
  <si>
    <t>1:53:04</t>
  </si>
  <si>
    <t>2025:07:30 22:15:46.305+03:00</t>
  </si>
  <si>
    <t>2025:07:30 22:15:46+03:00</t>
  </si>
  <si>
    <t>2025:07:30 19:15:45Z</t>
  </si>
  <si>
    <t>56 deg 8' 13.23" N, 40 deg 21' 17.26" E</t>
  </si>
  <si>
    <t>/content/drive/MyDrive/DRONE/foto/IMG_6561.HEIC</t>
  </si>
  <si>
    <t>2025:08:06 05:43:47+00:00</t>
  </si>
  <si>
    <t>2025:08:06 07:51:38+00:00</t>
  </si>
  <si>
    <t>2025:08:01 11:13:00</t>
  </si>
  <si>
    <t>1/647</t>
  </si>
  <si>
    <t>7.664367791</t>
  </si>
  <si>
    <t>-0.9919837117 0.02184313722 0.02844761871</t>
  </si>
  <si>
    <t>565</t>
  </si>
  <si>
    <t>4403063</t>
  </si>
  <si>
    <t>0:04:10</t>
  </si>
  <si>
    <t>2025:08:01 11:13:00.565+03:00</t>
  </si>
  <si>
    <t>2025:08:01 11:13:00+03:00</t>
  </si>
  <si>
    <t>/content/drive/MyDrive/DRONE/foto/IMG_6562.HEIC</t>
  </si>
  <si>
    <t>2025:08:06 05:43:55+00:00</t>
  </si>
  <si>
    <t>2025:08:06 07:51:45+00:00</t>
  </si>
  <si>
    <t>2025:08:01 12:15:39</t>
  </si>
  <si>
    <t>1/454</t>
  </si>
  <si>
    <t>7.34721157</t>
  </si>
  <si>
    <t>-0.9980931291 0.04196491092 0.04819534351</t>
  </si>
  <si>
    <t>378</t>
  </si>
  <si>
    <t>09:15:38.04</t>
  </si>
  <si>
    <t>0.7302762274</t>
  </si>
  <si>
    <t>6.653350833</t>
  </si>
  <si>
    <t>2025:08:01</t>
  </si>
  <si>
    <t>4446441</t>
  </si>
  <si>
    <t>0:33:36</t>
  </si>
  <si>
    <t>2025:08:01 12:15:39.378+03:00</t>
  </si>
  <si>
    <t>2025:08:01 12:15:39+03:00</t>
  </si>
  <si>
    <t>2025:08:01 09:15:38.04Z</t>
  </si>
  <si>
    <t>56 deg 8' 13.56" N, 40 deg 21' 17.38" E</t>
  </si>
  <si>
    <t>/content/drive/MyDrive/DRONE/foto/IMG_6563.HEIC</t>
  </si>
  <si>
    <t>2025:08:06 05:41:10+00:00</t>
  </si>
  <si>
    <t>2025:08:01 13:15:02</t>
  </si>
  <si>
    <t>1/360</t>
  </si>
  <si>
    <t>6.938496654</t>
  </si>
  <si>
    <t>-0.9922903177 0.008222274475 0.05754658952</t>
  </si>
  <si>
    <t>980</t>
  </si>
  <si>
    <t>10:15:01.99</t>
  </si>
  <si>
    <t>6.47277832</t>
  </si>
  <si>
    <t>20.15527332 m</t>
  </si>
  <si>
    <t>4031378</t>
  </si>
  <si>
    <t>1:08:51</t>
  </si>
  <si>
    <t>2025:08:01 13:15:02.980+03:00</t>
  </si>
  <si>
    <t>2025:08:01 13:15:02+03:00</t>
  </si>
  <si>
    <t>2025:08:01 10:15:01.99Z</t>
  </si>
  <si>
    <t>56 deg 8' 13.29" N, 40 deg 21' 17.23" E</t>
  </si>
  <si>
    <t>11.8</t>
  </si>
  <si>
    <t>/content/drive/MyDrive/DRONE/foto/IMG_6568.HEIC</t>
  </si>
  <si>
    <t>2025:08:06 05:42:49+00:00</t>
  </si>
  <si>
    <t>2025:08:01 14:13:33</t>
  </si>
  <si>
    <t>1/2755</t>
  </si>
  <si>
    <t>9.78562758</t>
  </si>
  <si>
    <t>-1.008366465 0.04147194702 0.03532255814</t>
  </si>
  <si>
    <t>148</t>
  </si>
  <si>
    <t>11:13:31.95</t>
  </si>
  <si>
    <t>0.7372568846</t>
  </si>
  <si>
    <t>7.165710449</t>
  </si>
  <si>
    <t>5.992559565 m</t>
  </si>
  <si>
    <t>4298474</t>
  </si>
  <si>
    <t>1:51:56</t>
  </si>
  <si>
    <t>2025:08:01 14:13:33.148+03:00</t>
  </si>
  <si>
    <t>2025:08:01 14:13:33+03:00</t>
  </si>
  <si>
    <t>168.2 m Above Sea Level</t>
  </si>
  <si>
    <t>2025:08:01 11:13:31.95Z</t>
  </si>
  <si>
    <t>56 deg 8' 13.73" N</t>
  </si>
  <si>
    <t>56 deg 8' 13.73" N, 40 deg 21' 17.27" E</t>
  </si>
  <si>
    <t>14.8</t>
  </si>
  <si>
    <t>/content/drive/MyDrive/DRONE/foto/IMG_6570.HEIC</t>
  </si>
  <si>
    <t>2025:08:06 05:43:38+00:00</t>
  </si>
  <si>
    <t>2025:08:06 07:52:06+00:00</t>
  </si>
  <si>
    <t>2025:08:01 15:12:51</t>
  </si>
  <si>
    <t>1/451</t>
  </si>
  <si>
    <t>7.238264035</t>
  </si>
  <si>
    <t>-0.970598459 0.02128740028 0.05241447314</t>
  </si>
  <si>
    <t>081</t>
  </si>
  <si>
    <t>12:12:50.03</t>
  </si>
  <si>
    <t>0.9842750423</t>
  </si>
  <si>
    <t>6.223541262</t>
  </si>
  <si>
    <t>8.852349887 m</t>
  </si>
  <si>
    <t>4390665</t>
  </si>
  <si>
    <t>2:14:49</t>
  </si>
  <si>
    <t>2025:08:01 15:12:51.081+03:00</t>
  </si>
  <si>
    <t>2025:08:01 15:12:51+03:00</t>
  </si>
  <si>
    <t>2025:08:01 12:12:50.03Z</t>
  </si>
  <si>
    <t>/content/drive/MyDrive/DRONE/foto/IMG_6571.HEIC</t>
  </si>
  <si>
    <t>2025:08:06 05:44:38+00:00</t>
  </si>
  <si>
    <t>2025:08:01 16:15:14</t>
  </si>
  <si>
    <t>1/271</t>
  </si>
  <si>
    <t>6.634266281</t>
  </si>
  <si>
    <t>-1.001648187 0.03236849606 -0.004173651803</t>
  </si>
  <si>
    <t>298</t>
  </si>
  <si>
    <t>13:15:12.9</t>
  </si>
  <si>
    <t>0.2904451536</t>
  </si>
  <si>
    <t>13.31686403</t>
  </si>
  <si>
    <t>10.66984038 m</t>
  </si>
  <si>
    <t>4632010</t>
  </si>
  <si>
    <t>2:55:45</t>
  </si>
  <si>
    <t>2025:08:01 16:15:14.298+03:00</t>
  </si>
  <si>
    <t>2025:08:01 16:15:14+03:00</t>
  </si>
  <si>
    <t>2025:08:01 13:15:12.9Z</t>
  </si>
  <si>
    <t>56 deg 8' 13.31" N, 40 deg 21' 17.00" E</t>
  </si>
  <si>
    <t>/content/drive/MyDrive/DRONE/foto/IMG_6572.HEIC</t>
  </si>
  <si>
    <t>2025:08:06 05:43:34+00:00</t>
  </si>
  <si>
    <t>2025:08:06 07:52:20+00:00</t>
  </si>
  <si>
    <t>2025:08:01 17:12:27</t>
  </si>
  <si>
    <t>1/379</t>
  </si>
  <si>
    <t>7.053965336</t>
  </si>
  <si>
    <t>-1.004423022 0.01581624149 0.01612737774</t>
  </si>
  <si>
    <t>050</t>
  </si>
  <si>
    <t>14:12:25.47</t>
  </si>
  <si>
    <t>1.610327841</t>
  </si>
  <si>
    <t>4.453430176</t>
  </si>
  <si>
    <t>29.5703867 m</t>
  </si>
  <si>
    <t>4381070</t>
  </si>
  <si>
    <t>3:19:58</t>
  </si>
  <si>
    <t>2025:08:01 17:12:27.050+03:00</t>
  </si>
  <si>
    <t>2025:08:01 17:12:27+03:00</t>
  </si>
  <si>
    <t>2025:08:01 14:12:25.47Z</t>
  </si>
  <si>
    <t>40 deg 21' 17.46" E</t>
  </si>
  <si>
    <t>56 deg 8' 13.78" N, 40 deg 21' 17.46" E</t>
  </si>
  <si>
    <t>/content/drive/MyDrive/DRONE/foto/IMG_6573.HEIC</t>
  </si>
  <si>
    <t>2025:08:06 05:42:54+00:00</t>
  </si>
  <si>
    <t>2025:08:01 18:13:48</t>
  </si>
  <si>
    <t>1/197</t>
  </si>
  <si>
    <t>6.367214252</t>
  </si>
  <si>
    <t>-1.00041163 0.01496248413 0.05072824286</t>
  </si>
  <si>
    <t>610</t>
  </si>
  <si>
    <t>15:13:47.84</t>
  </si>
  <si>
    <t>0.4007486698</t>
  </si>
  <si>
    <t>8.257415771</t>
  </si>
  <si>
    <t>17.60240464 m</t>
  </si>
  <si>
    <t>4305423</t>
  </si>
  <si>
    <t>3:53:10</t>
  </si>
  <si>
    <t>2025:08:01 18:13:48.610+03:00</t>
  </si>
  <si>
    <t>2025:08:01 18:13:48+03:00</t>
  </si>
  <si>
    <t>2025:08:01 15:13:47.84Z</t>
  </si>
  <si>
    <t>40 deg 21' 16.97" E</t>
  </si>
  <si>
    <t>56 deg 8' 13.60" N, 40 deg 21' 16.97" E</t>
  </si>
  <si>
    <t>11.0</t>
  </si>
  <si>
    <t>/content/drive/MyDrive/DRONE/foto/IMG_6574.HEIC</t>
  </si>
  <si>
    <t>2025:08:06 05:41:19+00:00</t>
  </si>
  <si>
    <t>2025:08:06 07:52:35+00:00</t>
  </si>
  <si>
    <t>2025:08:01 19:24:13</t>
  </si>
  <si>
    <t>1/121</t>
  </si>
  <si>
    <t>50</t>
  </si>
  <si>
    <t>5.179858494</t>
  </si>
  <si>
    <t>-0.9994924073 -0.01758787594 0.02220698073</t>
  </si>
  <si>
    <t>676</t>
  </si>
  <si>
    <t>16:24:12.81</t>
  </si>
  <si>
    <t>0.190220654</t>
  </si>
  <si>
    <t>5.07421875</t>
  </si>
  <si>
    <t>5.185751501 m</t>
  </si>
  <si>
    <t>4097270</t>
  </si>
  <si>
    <t>5:03:35</t>
  </si>
  <si>
    <t>2025:08:01 19:24:13.676+03:00</t>
  </si>
  <si>
    <t>2025:08:01 19:24:13+03:00</t>
  </si>
  <si>
    <t>2025:08:01 16:24:12.81Z</t>
  </si>
  <si>
    <t>56 deg 8' 13.45" N, 40 deg 21' 17.46" E</t>
  </si>
  <si>
    <t>/content/drive/MyDrive/DRONE/foto/IMG_6575.HEIC</t>
  </si>
  <si>
    <t>2025:08:06 05:38:38+00:00</t>
  </si>
  <si>
    <t>2025:08:01 20:12:43</t>
  </si>
  <si>
    <t>1/60</t>
  </si>
  <si>
    <t>250</t>
  </si>
  <si>
    <t>1.647801991</t>
  </si>
  <si>
    <t>-0.9879537819 0.03001027741 0.03288817406</t>
  </si>
  <si>
    <t>200</t>
  </si>
  <si>
    <t>17:12:42.58</t>
  </si>
  <si>
    <t>0.2249904721</t>
  </si>
  <si>
    <t>357.4570312</t>
  </si>
  <si>
    <t>3046781</t>
  </si>
  <si>
    <t>5:52:05</t>
  </si>
  <si>
    <t>2025:08:01 20:12:43.200+03:00</t>
  </si>
  <si>
    <t>2025:08:01 20:12:43+03:00</t>
  </si>
  <si>
    <t>2025:08:01 17:12:42.58Z</t>
  </si>
  <si>
    <t>56 deg 8' 13.70" N</t>
  </si>
  <si>
    <t>40 deg 21' 17.50" E</t>
  </si>
  <si>
    <t>56 deg 8' 13.70" N, 40 deg 21' 17.50" E</t>
  </si>
  <si>
    <t>/content/drive/MyDrive/DRONE/foto/IMG_6576.HEIC</t>
  </si>
  <si>
    <t>1757 KiB</t>
  </si>
  <si>
    <t>2025:08:06 05:38:13+00:00</t>
  </si>
  <si>
    <t>2025:08:06 07:52:50+00:00</t>
  </si>
  <si>
    <t>2025:08:01 21:19:21</t>
  </si>
  <si>
    <t>-4.788987847</t>
  </si>
  <si>
    <t>-0.0313</t>
  </si>
  <si>
    <t>-0.9955706594 0.01083298586 0.05508784206</t>
  </si>
  <si>
    <t>032</t>
  </si>
  <si>
    <t>18:19:19.74</t>
  </si>
  <si>
    <t>358.4721985</t>
  </si>
  <si>
    <t>8.089261745 m</t>
  </si>
  <si>
    <t>1794483</t>
  </si>
  <si>
    <t>6:58:43</t>
  </si>
  <si>
    <t>2025:08:01 21:19:21.032+03:00</t>
  </si>
  <si>
    <t>2025:08:01 21:19:21+03:00</t>
  </si>
  <si>
    <t>2025:08:01 18:19:19.74Z</t>
  </si>
  <si>
    <t>40 deg 21' 17.31" E</t>
  </si>
  <si>
    <t>56 deg 8' 13.51" N, 40 deg 21' 17.31" E</t>
  </si>
  <si>
    <t>/content/drive/MyDrive/DRONE/foto/IMG_6577.HEIC</t>
  </si>
  <si>
    <t>2.2 MiB</t>
  </si>
  <si>
    <t>2025:08:06 05:38:20+00:00</t>
  </si>
  <si>
    <t>2025:08:06 07:52:55+00:00</t>
  </si>
  <si>
    <t>2025:08:01 22:16:23</t>
  </si>
  <si>
    <t>-4.393427339</t>
  </si>
  <si>
    <t>+0.125</t>
  </si>
  <si>
    <t>-1.006909728 0.08768642691 0.04326949267</t>
  </si>
  <si>
    <t>772</t>
  </si>
  <si>
    <t>19:16:19.69</t>
  </si>
  <si>
    <t>0.3997824736</t>
  </si>
  <si>
    <t>358.6072999</t>
  </si>
  <si>
    <t>7.137318748 m</t>
  </si>
  <si>
    <t>2294919</t>
  </si>
  <si>
    <t>7:54:19</t>
  </si>
  <si>
    <t>2025:08:01 22:16:23.772+03:00</t>
  </si>
  <si>
    <t>2025:08:01 22:16:23+03:00</t>
  </si>
  <si>
    <t>2025:08:01 19:16:19.69Z</t>
  </si>
  <si>
    <t>56 deg 8' 13.19" N</t>
  </si>
  <si>
    <t>40 deg 21' 16.91" E</t>
  </si>
  <si>
    <t>56 deg 8' 13.19" N, 40 deg 21' 16.91" E</t>
  </si>
  <si>
    <t>/content/drive/MyDrive/DRONE/foto/IMG_6578.HEIC</t>
  </si>
  <si>
    <t>1501 KiB</t>
  </si>
  <si>
    <t>2025:08:06 05:37:55+00:00</t>
  </si>
  <si>
    <t>2025:08:06 07:53:01+00:00</t>
  </si>
  <si>
    <t>2025:08:01 22:16:26</t>
  </si>
  <si>
    <t>-4.48745583</t>
  </si>
  <si>
    <t>-1.004004598 0.02354343983 -0.01556506566</t>
  </si>
  <si>
    <t>421</t>
  </si>
  <si>
    <t>19:16:25.69</t>
  </si>
  <si>
    <t>357.4104615</t>
  </si>
  <si>
    <t>8.845072403 m</t>
  </si>
  <si>
    <t>1532672</t>
  </si>
  <si>
    <t>7:54:23</t>
  </si>
  <si>
    <t>2025:08:01 22:16:26.421+03:00</t>
  </si>
  <si>
    <t>2025:08:01 22:16:26+03:00</t>
  </si>
  <si>
    <t>2025:08:01 19:16:25.69Z</t>
  </si>
  <si>
    <t>56 deg 8' 13.41" N, 40 deg 21' 17.31" E</t>
  </si>
  <si>
    <t>/content/drive/MyDrive/DRONE/foto/IMG_6579.HEIC</t>
  </si>
  <si>
    <t>2025:08:06 05:42:07+00:00</t>
  </si>
  <si>
    <t>2025:08:06 07:53:07+00:00</t>
  </si>
  <si>
    <t>2025:08:02 07:15:13</t>
  </si>
  <si>
    <t>1/644</t>
  </si>
  <si>
    <t>7.794256145</t>
  </si>
  <si>
    <t>-1.007055998 0.00449864473 0.02668092587</t>
  </si>
  <si>
    <t>811</t>
  </si>
  <si>
    <t>04:15:12.66</t>
  </si>
  <si>
    <t>0.0428055562</t>
  </si>
  <si>
    <t>6.977416992</t>
  </si>
  <si>
    <t>2025:08:02</t>
  </si>
  <si>
    <t>18.9509555 m</t>
  </si>
  <si>
    <t>4206484</t>
  </si>
  <si>
    <t>9:03:27</t>
  </si>
  <si>
    <t>2025:08:02 07:15:13.811+03:00</t>
  </si>
  <si>
    <t>2025:08:02 07:15:13+03:00</t>
  </si>
  <si>
    <t>2025:08:02 04:15:12.66Z</t>
  </si>
  <si>
    <t>56 deg 8' 13.46" N, 40 deg 21' 17.28" E</t>
  </si>
  <si>
    <t>/content/drive/MyDrive/DRONE/foto/IMG_6588.HEIC</t>
  </si>
  <si>
    <t>2025:08:06 05:43:16+00:00</t>
  </si>
  <si>
    <t>1/374</t>
  </si>
  <si>
    <t>2025:08:04 07:14:47</t>
  </si>
  <si>
    <t>7.076383038</t>
  </si>
  <si>
    <t>1033 1169 206 208</t>
  </si>
  <si>
    <t>-1.004389644 0.0274935011 -0.02214975657</t>
  </si>
  <si>
    <t>813</t>
  </si>
  <si>
    <t>04:14:46.73</t>
  </si>
  <si>
    <t>0.5168226359</t>
  </si>
  <si>
    <t>6.877624512</t>
  </si>
  <si>
    <t>2025:08:04</t>
  </si>
  <si>
    <t>20.37033133 m</t>
  </si>
  <si>
    <t>0.38790476190476186</t>
  </si>
  <si>
    <t>0.05657142857142855</t>
  </si>
  <si>
    <t>0.2621904761904762</t>
  </si>
  <si>
    <t>0.0754285714285714</t>
  </si>
  <si>
    <t>normalized</t>
  </si>
  <si>
    <t>Face</t>
  </si>
  <si>
    <t>-45</t>
  </si>
  <si>
    <t>pixel</t>
  </si>
  <si>
    <t>4342298</t>
  </si>
  <si>
    <t>3490</t>
  </si>
  <si>
    <t>9:52:37</t>
  </si>
  <si>
    <t>2025:08:04 07:14:47.813+03:00</t>
  </si>
  <si>
    <t>2025:08:04 07:14:47+03:00</t>
  </si>
  <si>
    <t>2025:08:04 04:14:46.73Z</t>
  </si>
  <si>
    <t>56 deg 8' 13.68" N</t>
  </si>
  <si>
    <t>56 deg 8' 13.68" N, 40 deg 21' 17.15" E</t>
  </si>
  <si>
    <t>/content/drive/MyDrive/DRONE/foto/IMG_6590.HEIC</t>
  </si>
  <si>
    <t>2025:08:06 05:41:14+00:00</t>
  </si>
  <si>
    <t>2025:08:06 07:53:20+00:00</t>
  </si>
  <si>
    <t>2025:08:04 09:22:15</t>
  </si>
  <si>
    <t>1/669</t>
  </si>
  <si>
    <t>7.911942594</t>
  </si>
  <si>
    <t>-0.9942128659 0.008940948173 0.05906097595</t>
  </si>
  <si>
    <t>612</t>
  </si>
  <si>
    <t>06:22:14.7</t>
  </si>
  <si>
    <t>0.3675565082</t>
  </si>
  <si>
    <t>349.8955386</t>
  </si>
  <si>
    <t>6.932715811 m</t>
  </si>
  <si>
    <t>4064576</t>
  </si>
  <si>
    <t>11:55:54</t>
  </si>
  <si>
    <t>2025:08:04 09:22:15.612+03:00</t>
  </si>
  <si>
    <t>2025:08:04 09:22:15+03:00</t>
  </si>
  <si>
    <t>2025:08:04 06:22:14.7Z</t>
  </si>
  <si>
    <t>56 deg 8' 13.79" N</t>
  </si>
  <si>
    <t>40 deg 21' 16.98" E</t>
  </si>
  <si>
    <t>56 deg 8' 13.79" N, 40 deg 21' 16.98" E</t>
  </si>
  <si>
    <t>/content/drive/MyDrive/DRONE/foto/IMG_6593.HEIC</t>
  </si>
  <si>
    <t>2025:08:06 05:41:40+00:00</t>
  </si>
  <si>
    <t>2025:08:06 07:53:26+00:00</t>
  </si>
  <si>
    <t>1/568</t>
  </si>
  <si>
    <t>2025:08:04 10:51:12</t>
  </si>
  <si>
    <t>7.618314909</t>
  </si>
  <si>
    <t>1623 1134 194 196</t>
  </si>
  <si>
    <t>-1.016408204 0.01829708927 0.009838491683</t>
  </si>
  <si>
    <t>152</t>
  </si>
  <si>
    <t>07:51:10.66</t>
  </si>
  <si>
    <t>0.6766386031</t>
  </si>
  <si>
    <t>353.8280641</t>
  </si>
  <si>
    <t>11.4794879 m</t>
  </si>
  <si>
    <t>0.37323809523809526</t>
  </si>
  <si>
    <t>0.050285714285714267</t>
  </si>
  <si>
    <t>0.40257142857142858</t>
  </si>
  <si>
    <t>0.067047619047619078</t>
  </si>
  <si>
    <t>315</t>
  </si>
  <si>
    <t>81</t>
  </si>
  <si>
    <t>4</t>
  </si>
  <si>
    <t>4131379</t>
  </si>
  <si>
    <t>12:52:17</t>
  </si>
  <si>
    <t>2025:08:04 10:51:12.152+03:00</t>
  </si>
  <si>
    <t>2025:08:04 10:51:12+03:00</t>
  </si>
  <si>
    <t>167.1 m Above Sea Level</t>
  </si>
  <si>
    <t>2025:08:04 07:51:10.66Z</t>
  </si>
  <si>
    <t>56 deg 8' 13.33" N</t>
  </si>
  <si>
    <t>56 deg 8' 13.33" N, 40 deg 21' 16.93" E</t>
  </si>
  <si>
    <t>/content/drive/MyDrive/DRONE/foto/IMG_6594.HEIC</t>
  </si>
  <si>
    <t>2025:08:06 05:40:08+00:00</t>
  </si>
  <si>
    <t>2025:08:06 07:53:33+00:00</t>
  </si>
  <si>
    <t>2025:08:04 12:15:37</t>
  </si>
  <si>
    <t>1/228</t>
  </si>
  <si>
    <t>6.340578894</t>
  </si>
  <si>
    <t>-0.9873629806 -0.01140945312 0.00479797553</t>
  </si>
  <si>
    <t>054</t>
  </si>
  <si>
    <t>09:15:35.9</t>
  </si>
  <si>
    <t>0.5377319456</t>
  </si>
  <si>
    <t>0.2768859863</t>
  </si>
  <si>
    <t>7.898576645 m</t>
  </si>
  <si>
    <t>3771245</t>
  </si>
  <si>
    <t>13:47:12</t>
  </si>
  <si>
    <t>2025:08:04 12:15:37.054+03:00</t>
  </si>
  <si>
    <t>2025:08:04 12:15:37+03:00</t>
  </si>
  <si>
    <t>2025:08:04 09:15:35.9Z</t>
  </si>
  <si>
    <t>56 deg 8' 13.74" N, 40 deg 21' 17.19" E</t>
  </si>
  <si>
    <t>/content/drive/MyDrive/DRONE/foto/IMG_6595.HEIC</t>
  </si>
  <si>
    <t>3.2 MiB</t>
  </si>
  <si>
    <t>2025:08:06 05:38:51+00:00</t>
  </si>
  <si>
    <t>2025:08:04 13:10:36</t>
  </si>
  <si>
    <t>1/531</t>
  </si>
  <si>
    <t>7.446277706</t>
  </si>
  <si>
    <t>-0.9950179461 0.01459384803 -0.02899541147</t>
  </si>
  <si>
    <t>599</t>
  </si>
  <si>
    <t>10:10:35.63</t>
  </si>
  <si>
    <t>0.2378892152</t>
  </si>
  <si>
    <t>0.7711791992</t>
  </si>
  <si>
    <t>6.950794776 m</t>
  </si>
  <si>
    <t>3373351</t>
  </si>
  <si>
    <t>14:19:25</t>
  </si>
  <si>
    <t>2025:08:04 13:10:36.599+03:00</t>
  </si>
  <si>
    <t>2025:08:04 13:10:36+03:00</t>
  </si>
  <si>
    <t>2025:08:04 10:10:35.63Z</t>
  </si>
  <si>
    <t>56 deg 8' 13.40" N, 40 deg 21' 17.38" E</t>
  </si>
  <si>
    <t>/content/drive/MyDrive/DRONE/foto/IMG_6596.HEIC</t>
  </si>
  <si>
    <t>2025:08:06 05:43:59+00:00</t>
  </si>
  <si>
    <t>1/772</t>
  </si>
  <si>
    <t>2025:08:04 14:13:30</t>
  </si>
  <si>
    <t>7.999957485</t>
  </si>
  <si>
    <t>902 1102 240 240</t>
  </si>
  <si>
    <t>-0.9893450144 0.01916982233 0.02708975971</t>
  </si>
  <si>
    <t>356</t>
  </si>
  <si>
    <t>11:13:29.58</t>
  </si>
  <si>
    <t>0.2905555665</t>
  </si>
  <si>
    <t>2.529449465</t>
  </si>
  <si>
    <t>8.722655278 m</t>
  </si>
  <si>
    <t>0.36485714285714288</t>
  </si>
  <si>
    <t>0.22342857142857139</t>
  </si>
  <si>
    <t>4447600</t>
  </si>
  <si>
    <t>15:10:26</t>
  </si>
  <si>
    <t>2025:08:04 14:13:30.356+03:00</t>
  </si>
  <si>
    <t>2025:08:04 14:13:30+03:00</t>
  </si>
  <si>
    <t>2025:08:04 11:13:29.58Z</t>
  </si>
  <si>
    <t>40 deg 21' 17.39" E</t>
  </si>
  <si>
    <t>56 deg 8' 13.42" N, 40 deg 21' 17.39" E</t>
  </si>
  <si>
    <t>/content/drive/MyDrive/DRONE/foto/IMG_6597.HEIC</t>
  </si>
  <si>
    <t>2025:08:06 05:44:08+00:00</t>
  </si>
  <si>
    <t>2025:08:06 07:53:52+00:00</t>
  </si>
  <si>
    <t>2025:08:04 15:12:47</t>
  </si>
  <si>
    <t>1/465</t>
  </si>
  <si>
    <t>7.337563154</t>
  </si>
  <si>
    <t>-1.007918476 0.02493583783 -0.02375556156</t>
  </si>
  <si>
    <t>210</t>
  </si>
  <si>
    <t>12:12:45.57</t>
  </si>
  <si>
    <t>0.8006107216</t>
  </si>
  <si>
    <t>1.955780029</t>
  </si>
  <si>
    <t>7.991380753 m</t>
  </si>
  <si>
    <t>4466577</t>
  </si>
  <si>
    <t>15:32:37</t>
  </si>
  <si>
    <t>2025:08:04 15:12:47.210+03:00</t>
  </si>
  <si>
    <t>2025:08:04 15:12:47+03:00</t>
  </si>
  <si>
    <t>2025:08:04 12:12:45.57Z</t>
  </si>
  <si>
    <t>40 deg 21' 17.02" E</t>
  </si>
  <si>
    <t>56 deg 8' 13.34" N, 40 deg 21' 17.02" E</t>
  </si>
  <si>
    <t>/content/drive/MyDrive/DRONE/foto/IMG_6599.HEIC</t>
  </si>
  <si>
    <t>2025:08:06 05:41:35+00:00</t>
  </si>
  <si>
    <t>2025:08:04 16:10:55</t>
  </si>
  <si>
    <t>1/439</t>
  </si>
  <si>
    <t>7.26787081</t>
  </si>
  <si>
    <t>-0.9920269242 0.02551051602 0.02132225408</t>
  </si>
  <si>
    <t>116</t>
  </si>
  <si>
    <t>13:10:53.78</t>
  </si>
  <si>
    <t>1.013684987</t>
  </si>
  <si>
    <t>6.73046875</t>
  </si>
  <si>
    <t>18.04078858 m</t>
  </si>
  <si>
    <t>4122273</t>
  </si>
  <si>
    <t>16:26:22</t>
  </si>
  <si>
    <t>2025:08:04 16:10:55.116+03:00</t>
  </si>
  <si>
    <t>2025:08:04 16:10:55+03:00</t>
  </si>
  <si>
    <t>2025:08:04 13:10:53.78Z</t>
  </si>
  <si>
    <t>40 deg 21' 17.12" E</t>
  </si>
  <si>
    <t>56 deg 8' 13.62" N, 40 deg 21' 17.12" E</t>
  </si>
  <si>
    <t>/content/drive/MyDrive/DRONE/foto/IMG_6601.HEIC</t>
  </si>
  <si>
    <t>2025:08:06 05:41:45+00:00</t>
  </si>
  <si>
    <t>2025:08:04 17:16:57</t>
  </si>
  <si>
    <t>7.038032324</t>
  </si>
  <si>
    <t>-0.9855887295 -0.001062578173 -0.002842582995</t>
  </si>
  <si>
    <t>655</t>
  </si>
  <si>
    <t>14:16:56.46</t>
  </si>
  <si>
    <t>0.809555113</t>
  </si>
  <si>
    <t>7.252685547</t>
  </si>
  <si>
    <t>8.9743754 m</t>
  </si>
  <si>
    <t>4162454</t>
  </si>
  <si>
    <t>17:12:16</t>
  </si>
  <si>
    <t>2025:08:04 17:16:57.655+03:00</t>
  </si>
  <si>
    <t>2025:08:04 17:16:57+03:00</t>
  </si>
  <si>
    <t>2025:08:04 14:16:56.46Z</t>
  </si>
  <si>
    <t>56 deg 8' 13.23" N, 40 deg 21' 17.23" E</t>
  </si>
  <si>
    <t>/content/drive/MyDrive/DRONE/foto/IMG_6602.HEIC</t>
  </si>
  <si>
    <t>2025:08:06 05:39:38+00:00</t>
  </si>
  <si>
    <t>2025:08:06 07:54:12+00:00</t>
  </si>
  <si>
    <t>2025:08:04 18:14:52</t>
  </si>
  <si>
    <t>5.423308022</t>
  </si>
  <si>
    <t>910 1087 227 227</t>
  </si>
  <si>
    <t>-0.9649744635 0.02555928007 0.0354155563</t>
  </si>
  <si>
    <t>172</t>
  </si>
  <si>
    <t>15:14:51.42</t>
  </si>
  <si>
    <t>0.2252066135</t>
  </si>
  <si>
    <t>1.419372559</t>
  </si>
  <si>
    <t>20.55815519 m</t>
  </si>
  <si>
    <t>0.38216116248348742</t>
  </si>
  <si>
    <t>0.058579494799405663</t>
  </si>
  <si>
    <t>0.22623476968796433</t>
  </si>
  <si>
    <t>0.077421400264200801</t>
  </si>
  <si>
    <t>3645220</t>
  </si>
  <si>
    <t>18:03:47</t>
  </si>
  <si>
    <t>2025:08:04 18:14:52.172+03:00</t>
  </si>
  <si>
    <t>2025:08:04 18:14:52+03:00</t>
  </si>
  <si>
    <t>2025:08:04 15:14:51.42Z</t>
  </si>
  <si>
    <t>56 deg 8' 13.60" N, 40 deg 21' 17.20" E</t>
  </si>
  <si>
    <t>/content/drive/MyDrive/DRONE/foto/IMG_6603.HEIC</t>
  </si>
  <si>
    <t>2025:08:06 05:42:36+00:00</t>
  </si>
  <si>
    <t>2025:08:06 07:54:20+00:00</t>
  </si>
  <si>
    <t>2025:08:04 19:16:08</t>
  </si>
  <si>
    <t>1/69</t>
  </si>
  <si>
    <t>3.065545718</t>
  </si>
  <si>
    <t>-1.007774949 0.02124021575 -0.04256979752</t>
  </si>
  <si>
    <t>448</t>
  </si>
  <si>
    <t>16:16:07.48</t>
  </si>
  <si>
    <t>0.05803937465</t>
  </si>
  <si>
    <t>1.249633789</t>
  </si>
  <si>
    <t>12.84550793 m</t>
  </si>
  <si>
    <t>4248034</t>
  </si>
  <si>
    <t>19:03:49</t>
  </si>
  <si>
    <t>2025:08:04 19:16:08.448+03:00</t>
  </si>
  <si>
    <t>2025:08:04 19:16:08+03:00</t>
  </si>
  <si>
    <t>2025:08:04 16:16:07.48Z</t>
  </si>
  <si>
    <t>56 deg 8' 13.46" N, 40 deg 21' 17.19" E</t>
  </si>
  <si>
    <t>7.5</t>
  </si>
  <si>
    <t>/content/drive/MyDrive/DRONE/foto/IMG_6604.HEIC</t>
  </si>
  <si>
    <t>2.3 MiB</t>
  </si>
  <si>
    <t>2025:08:06 05:38:23+00:00</t>
  </si>
  <si>
    <t>2025:08:04 20:10:31</t>
  </si>
  <si>
    <t>1/30</t>
  </si>
  <si>
    <t>-0.7928599451</t>
  </si>
  <si>
    <t>-0.9908832911 0.004688010082 0.03638235852</t>
  </si>
  <si>
    <t>438</t>
  </si>
  <si>
    <t>17:10:30.52</t>
  </si>
  <si>
    <t>0.6488514548</t>
  </si>
  <si>
    <t>0.6493530273</t>
  </si>
  <si>
    <t>8.627194976 m</t>
  </si>
  <si>
    <t>2386762</t>
  </si>
  <si>
    <t>19:56:51</t>
  </si>
  <si>
    <t>2025:08:04 20:10:31.438+03:00</t>
  </si>
  <si>
    <t>2025:08:04 20:10:31+03:00</t>
  </si>
  <si>
    <t>2025:08:04 17:10:30.52Z</t>
  </si>
  <si>
    <t>56 deg 8' 13.70" N, 40 deg 21' 17.20" E</t>
  </si>
  <si>
    <t>/content/drive/MyDrive/DRONE/foto/IMG_6605.HEIC</t>
  </si>
  <si>
    <t>1540 KiB</t>
  </si>
  <si>
    <t>2025:08:06 05:38:05+00:00</t>
  </si>
  <si>
    <t>2025:08:04 21:21:41</t>
  </si>
  <si>
    <t>-4.586912352</t>
  </si>
  <si>
    <t>-0.0781</t>
  </si>
  <si>
    <t>-0.9839689722 0.003765414933 0.04024856162</t>
  </si>
  <si>
    <t>453</t>
  </si>
  <si>
    <t>18:21:40.28</t>
  </si>
  <si>
    <t>0.1443240644</t>
  </si>
  <si>
    <t>6.513580322</t>
  </si>
  <si>
    <t>16.51477642 m</t>
  </si>
  <si>
    <t>1572377</t>
  </si>
  <si>
    <t>20:26:44</t>
  </si>
  <si>
    <t>2025:08:04 21:21:41.453+03:00</t>
  </si>
  <si>
    <t>2025:08:04 21:21:41+03:00</t>
  </si>
  <si>
    <t>2025:08:04 18:21:40.28Z</t>
  </si>
  <si>
    <t>56 deg 8' 13.40" N, 40 deg 21' 17.23" E</t>
  </si>
  <si>
    <t>/content/drive/MyDrive/DRONE/foto/IMG_6606.HEIC</t>
  </si>
  <si>
    <t>1447 KiB</t>
  </si>
  <si>
    <t>2025:08:06 05:37:41+00:00</t>
  </si>
  <si>
    <t>2025:08:06 07:54:38+00:00</t>
  </si>
  <si>
    <t>2025:08:04 22:45:38</t>
  </si>
  <si>
    <t>2000</t>
  </si>
  <si>
    <t>-4.200174884</t>
  </si>
  <si>
    <t>-0.9904873966 0.04202762991 0.06274825332</t>
  </si>
  <si>
    <t>123</t>
  </si>
  <si>
    <t>19:45:37.35</t>
  </si>
  <si>
    <t>0.2304649057</t>
  </si>
  <si>
    <t>3.440734863</t>
  </si>
  <si>
    <t>1477358</t>
  </si>
  <si>
    <t>21:20:53</t>
  </si>
  <si>
    <t>2025:08:04 22:45:38.123+03:00</t>
  </si>
  <si>
    <t>2025:08:04 22:45:38+03:00</t>
  </si>
  <si>
    <t>2025:08:04 19:45:37.35Z</t>
  </si>
  <si>
    <t>56 deg 8' 13.53" N, 40 deg 21' 17.28" E</t>
  </si>
  <si>
    <t>/content/drive/MyDrive/DRONE/foto/IMG_6607.HEIC</t>
  </si>
  <si>
    <t>2025:08:06 05:39:56+00:00</t>
  </si>
  <si>
    <t>2025:08:05 07:14:49</t>
  </si>
  <si>
    <t>1/898</t>
  </si>
  <si>
    <t>8.238771495</t>
  </si>
  <si>
    <t>-0.9946800472 0.01511609928 0.04481714961</t>
  </si>
  <si>
    <t>04:14:48</t>
  </si>
  <si>
    <t>356.0413819</t>
  </si>
  <si>
    <t>2025:08:05</t>
  </si>
  <si>
    <t>8.354034477 m</t>
  </si>
  <si>
    <t>3740473</t>
  </si>
  <si>
    <t>24:40:10</t>
  </si>
  <si>
    <t>2025:08:05 07:14:49.621+03:00</t>
  </si>
  <si>
    <t>2025:08:05 07:14:49+03:00</t>
  </si>
  <si>
    <t>2025:08:05 04:14:48Z</t>
  </si>
  <si>
    <t>/content/drive/MyDrive/DRONE/foto/IMG_6610.HEIC</t>
  </si>
  <si>
    <t>2025:08:06 05:40:39+00:00</t>
  </si>
  <si>
    <t>2025:08:06 07:54:50+00:00</t>
  </si>
  <si>
    <t>2025:08:05 08:13:12</t>
  </si>
  <si>
    <t>1/436</t>
  </si>
  <si>
    <t>7.318094833</t>
  </si>
  <si>
    <t>-0.9743579628 0.01392250974 0.03713884578</t>
  </si>
  <si>
    <t>738</t>
  </si>
  <si>
    <t>05:13:11.97</t>
  </si>
  <si>
    <t>0.6216188179</t>
  </si>
  <si>
    <t>2.626739502</t>
  </si>
  <si>
    <t>9.685765766 m</t>
  </si>
  <si>
    <t>3878963</t>
  </si>
  <si>
    <t>1 days 1:33:48</t>
  </si>
  <si>
    <t>2025:08:05 08:13:12.738+03:00</t>
  </si>
  <si>
    <t>2025:08:05 08:13:12+03:00</t>
  </si>
  <si>
    <t>2025:08:05 05:13:11.97Z</t>
  </si>
  <si>
    <t>56 deg 8' 13.15" N, 40 deg 21' 17.02" E</t>
  </si>
  <si>
    <t>/content/drive/MyDrive/DRONE/foto/IMG_6611.HEIC</t>
  </si>
  <si>
    <t>2025:08:06 05:40:35+00:00</t>
  </si>
  <si>
    <t>2025:08:06 07:54:56+00:00</t>
  </si>
  <si>
    <t>2025:08:05 09:13:55</t>
  </si>
  <si>
    <t>1/685</t>
  </si>
  <si>
    <t>7.789925894</t>
  </si>
  <si>
    <t>-0.9908620716 0.03412378577 0.002152319066</t>
  </si>
  <si>
    <t>717</t>
  </si>
  <si>
    <t>06:13:54.34</t>
  </si>
  <si>
    <t>0.3418867886</t>
  </si>
  <si>
    <t>6.626098633</t>
  </si>
  <si>
    <t>14.26977059 m</t>
  </si>
  <si>
    <t>3875773</t>
  </si>
  <si>
    <t>1 days 1:44:10</t>
  </si>
  <si>
    <t>2025:08:05 09:13:55.717+03:00</t>
  </si>
  <si>
    <t>2025:08:05 09:13:55+03:00</t>
  </si>
  <si>
    <t>2025:08:05 06:13:54.34Z</t>
  </si>
  <si>
    <t>56 deg 8' 13.66" N</t>
  </si>
  <si>
    <t>40 deg 21' 16.78" E</t>
  </si>
  <si>
    <t>56 deg 8' 13.66" N, 40 deg 21' 16.78" E</t>
  </si>
  <si>
    <t>/content/drive/MyDrive/DRONE/foto/IMG_6612.HEIC</t>
  </si>
  <si>
    <t>2025:08:06 05:38:58+00:00</t>
  </si>
  <si>
    <t>2025:08:05 10:13:54</t>
  </si>
  <si>
    <t>1/244</t>
  </si>
  <si>
    <t>6.513080388</t>
  </si>
  <si>
    <t>-1.007707715 0.03478932006 0.03276840224</t>
  </si>
  <si>
    <t>070</t>
  </si>
  <si>
    <t>07:13:52.52</t>
  </si>
  <si>
    <t>0.129578039</t>
  </si>
  <si>
    <t>3.686889648</t>
  </si>
  <si>
    <t>13.62455117 m</t>
  </si>
  <si>
    <t>3379273</t>
  </si>
  <si>
    <t>1 days 2:20:06</t>
  </si>
  <si>
    <t>2025:08:05 10:13:54.070+03:00</t>
  </si>
  <si>
    <t>2025:08:05 10:13:54+03:00</t>
  </si>
  <si>
    <t>2025:08:05 07:13:52.52Z</t>
  </si>
  <si>
    <t>56 deg 8' 13.35" N, 40 deg 21' 17.38" E</t>
  </si>
  <si>
    <t>11.3</t>
  </si>
  <si>
    <t>/content/drive/MyDrive/DRONE/foto/IMG_6613.HEIC</t>
  </si>
  <si>
    <t>2025:08:06 05:40:30+00:00</t>
  </si>
  <si>
    <t>2025:08:06 07:55:09+00:00</t>
  </si>
  <si>
    <t>2025:08:05 11:13:57</t>
  </si>
  <si>
    <t>1/200</t>
  </si>
  <si>
    <t>6.305473571</t>
  </si>
  <si>
    <t>-0.9826885462 0.01066161878 0.01907308959</t>
  </si>
  <si>
    <t>514</t>
  </si>
  <si>
    <t>08:13:56.52</t>
  </si>
  <si>
    <t>0.5669119358</t>
  </si>
  <si>
    <t>355.3601071</t>
  </si>
  <si>
    <t>13.48044686 m</t>
  </si>
  <si>
    <t>3867765</t>
  </si>
  <si>
    <t>1 days 3:11:57</t>
  </si>
  <si>
    <t>2025:08:05 11:13:57.514+03:00</t>
  </si>
  <si>
    <t>2025:08:05 11:13:57+03:00</t>
  </si>
  <si>
    <t>167.2 m Above Sea Level</t>
  </si>
  <si>
    <t>2025:08:05 08:13:56.52Z</t>
  </si>
  <si>
    <t>56 deg 8' 13.18" N, 40 deg 21' 17.39" E</t>
  </si>
  <si>
    <t>/content/drive/MyDrive/DRONE/foto/IMG_6615.HEIC</t>
  </si>
  <si>
    <t>2025:08:06 05:40:57+00:00</t>
  </si>
  <si>
    <t>2025:08:05 12:14:22</t>
  </si>
  <si>
    <t>1/890</t>
  </si>
  <si>
    <t>8.183781911</t>
  </si>
  <si>
    <t>-1.002154708 0.03253805262 0.02046151087</t>
  </si>
  <si>
    <t>121</t>
  </si>
  <si>
    <t>09:14:20.63</t>
  </si>
  <si>
    <t>0.2304291278</t>
  </si>
  <si>
    <t>358.9283141</t>
  </si>
  <si>
    <t>13.06128912 m</t>
  </si>
  <si>
    <t>3994132</t>
  </si>
  <si>
    <t>1 days 3:46:54</t>
  </si>
  <si>
    <t>2025:08:05 12:14:22.121+03:00</t>
  </si>
  <si>
    <t>2025:08:05 12:14:22+03:00</t>
  </si>
  <si>
    <t>2025:08:05 09:14:20.63Z</t>
  </si>
  <si>
    <t>56 deg 8' 13.57" N</t>
  </si>
  <si>
    <t>56 deg 8' 13.57" N, 40 deg 21' 16.91" E</t>
  </si>
  <si>
    <t>/content/drive/MyDrive/DRONE/foto/IMG_6616.HEIC</t>
  </si>
  <si>
    <t>2025:08:06 05:40:21+00:00</t>
  </si>
  <si>
    <t>2025:08:06 07:55:22+00:00</t>
  </si>
  <si>
    <t>2025:08:05 13:23:54</t>
  </si>
  <si>
    <t>1/620</t>
  </si>
  <si>
    <t>7.782306802</t>
  </si>
  <si>
    <t>-0.9911859036 0.006623640196 0.04505457726</t>
  </si>
  <si>
    <t>272</t>
  </si>
  <si>
    <t>10:23:52.85</t>
  </si>
  <si>
    <t>0.2953315232</t>
  </si>
  <si>
    <t>358.5151976</t>
  </si>
  <si>
    <t>9.914129638 m</t>
  </si>
  <si>
    <t>3785977</t>
  </si>
  <si>
    <t>1 days 4:31:04</t>
  </si>
  <si>
    <t>2025:08:05 13:23:54.272+03:00</t>
  </si>
  <si>
    <t>2025:08:05 13:23:54+03:00</t>
  </si>
  <si>
    <t>2025:08:05 10:23:52.85Z</t>
  </si>
  <si>
    <t>56 deg 8' 12.96" N</t>
  </si>
  <si>
    <t>56 deg 8' 12.96" N, 40 deg 21' 17.56" E</t>
  </si>
  <si>
    <t>/content/drive/MyDrive/DRONE/foto/IMG_6617.HEIC</t>
  </si>
  <si>
    <t>2025:08:06 05:38:35+00:00</t>
  </si>
  <si>
    <t>2025:08:06 07:55:28+00:00</t>
  </si>
  <si>
    <t>2025:08:05 14:23:36</t>
  </si>
  <si>
    <t>1/1362</t>
  </si>
  <si>
    <t>8.783766373</t>
  </si>
  <si>
    <t>-0.9928122163 0.03163043782 0.02423356844</t>
  </si>
  <si>
    <t>066</t>
  </si>
  <si>
    <t>11:23:34.46</t>
  </si>
  <si>
    <t>0.321888864</t>
  </si>
  <si>
    <t>3.326049805</t>
  </si>
  <si>
    <t>3023746</t>
  </si>
  <si>
    <t>1 days 5:29:34</t>
  </si>
  <si>
    <t>2025:08:05 14:23:36.066+03:00</t>
  </si>
  <si>
    <t>2025:08:05 14:23:36+03:00</t>
  </si>
  <si>
    <t>2025:08:05 11:23:34.46Z</t>
  </si>
  <si>
    <t>40 deg 21' 17.04" E</t>
  </si>
  <si>
    <t>56 deg 8' 13.18" N, 40 deg 21' 17.04" E</t>
  </si>
  <si>
    <t>/content/drive/MyDrive/DRONE/foto/IMG_6618.HEIC</t>
  </si>
  <si>
    <t>2025:08:06 05:40:48+00:00</t>
  </si>
  <si>
    <t>2025:08:05 15:20:13</t>
  </si>
  <si>
    <t>1/350</t>
  </si>
  <si>
    <t>7.069523842</t>
  </si>
  <si>
    <t>-0.9779874086 0.02871405517 0.008884346111</t>
  </si>
  <si>
    <t>359</t>
  </si>
  <si>
    <t>12:20:11.77</t>
  </si>
  <si>
    <t>0.8837620019</t>
  </si>
  <si>
    <t>5.275238035</t>
  </si>
  <si>
    <t>6.748883867 m</t>
  </si>
  <si>
    <t>3966724</t>
  </si>
  <si>
    <t>1 days 6:02:17</t>
  </si>
  <si>
    <t>2025:08:05 15:20:13.359+03:00</t>
  </si>
  <si>
    <t>2025:08:05 15:20:13+03:00</t>
  </si>
  <si>
    <t>2025:08:05 12:20:11.77Z</t>
  </si>
  <si>
    <t>40 deg 21' 16.95" E</t>
  </si>
  <si>
    <t>56 deg 8' 13.40" N, 40 deg 21' 16.95" E</t>
  </si>
  <si>
    <t>/content/drive/MyDrive/DRONE/foto/IMG_6619.HEIC</t>
  </si>
  <si>
    <t>2025:08:06 05:40:13+00:00</t>
  </si>
  <si>
    <t>2025:08:06 07:55:41+00:00</t>
  </si>
  <si>
    <t>2025:08:05 16:30:43</t>
  </si>
  <si>
    <t>6.993446688</t>
  </si>
  <si>
    <t>-1.015640378 0.01770371385 -0.01514440774</t>
  </si>
  <si>
    <t>325</t>
  </si>
  <si>
    <t>13:30:41.71</t>
  </si>
  <si>
    <t>0.1668785788</t>
  </si>
  <si>
    <t>1.499694824</t>
  </si>
  <si>
    <t>9.254141852 m</t>
  </si>
  <si>
    <t>3771488</t>
  </si>
  <si>
    <t>1 days 6:35:40</t>
  </si>
  <si>
    <t>2025:08:05 16:30:43.325+03:00</t>
  </si>
  <si>
    <t>2025:08:05 16:30:43+03:00</t>
  </si>
  <si>
    <t>2025:08:05 13:30:41.71Z</t>
  </si>
  <si>
    <t>56 deg 8' 13.38" N, 40 deg 21' 17.45" E</t>
  </si>
  <si>
    <t>/content/drive/MyDrive/DRONE/foto/IMG_6620.HEIC</t>
  </si>
  <si>
    <t>2025:08:06 05:41:01+00:00</t>
  </si>
  <si>
    <t>2025:08:06 07:55:48+00:00</t>
  </si>
  <si>
    <t>2025:08:05 17:14:08</t>
  </si>
  <si>
    <t>1/473</t>
  </si>
  <si>
    <t>7.241393424</t>
  </si>
  <si>
    <t>-0.99622339 0.008793792689 -0.03572944552</t>
  </si>
  <si>
    <t>240</t>
  </si>
  <si>
    <t>14:14:07.36</t>
  </si>
  <si>
    <t>0.4781945942</t>
  </si>
  <si>
    <t>359.628876</t>
  </si>
  <si>
    <t>36.81561941 m</t>
  </si>
  <si>
    <t>3997976</t>
  </si>
  <si>
    <t>1 days 7:19:04</t>
  </si>
  <si>
    <t>2025:08:05 17:14:08.240+03:00</t>
  </si>
  <si>
    <t>2025:08:05 17:14:08+03:00</t>
  </si>
  <si>
    <t>2025:08:05 14:14:07.36Z</t>
  </si>
  <si>
    <t>56 deg 8' 13.41" N, 40 deg 21' 17.12" E</t>
  </si>
  <si>
    <t>/content/drive/MyDrive/DRONE/foto/IMG_6621.HEIC</t>
  </si>
  <si>
    <t>2025:08:06 05:40:17+00:00</t>
  </si>
  <si>
    <t>2025:08:06 07:55:54+00:00</t>
  </si>
  <si>
    <t>2025:08:05 18:16:58</t>
  </si>
  <si>
    <t>5.585864361</t>
  </si>
  <si>
    <t>-0.9876215455 0.01823676376 0.03105747327</t>
  </si>
  <si>
    <t>860</t>
  </si>
  <si>
    <t>15:16:55.22</t>
  </si>
  <si>
    <t>1.360748291</t>
  </si>
  <si>
    <t>52.37981733 m</t>
  </si>
  <si>
    <t>3783802</t>
  </si>
  <si>
    <t>1 days 8:21:44</t>
  </si>
  <si>
    <t>2025:08:05 18:16:58.860+03:00</t>
  </si>
  <si>
    <t>2025:08:05 18:16:58+03:00</t>
  </si>
  <si>
    <t>170.3 m Above Sea Level</t>
  </si>
  <si>
    <t>2025:08:05 15:16:55.22Z</t>
  </si>
  <si>
    <t>56 deg 8' 14.32" N</t>
  </si>
  <si>
    <t>40 deg 21' 18.07" E</t>
  </si>
  <si>
    <t>56 deg 8' 14.32" N, 40 deg 21' 18.07" E</t>
  </si>
  <si>
    <t>/content/drive/MyDrive/DRONE/foto/IMG_6623.HEIC</t>
  </si>
  <si>
    <t>2025:08:06 05:42:18+00:00</t>
  </si>
  <si>
    <t>2025:08:05 19:16:18</t>
  </si>
  <si>
    <t>5.01551791</t>
  </si>
  <si>
    <t>-0.9838922017 0.00561016752 -0.008389803582</t>
  </si>
  <si>
    <t>16:16:16.66</t>
  </si>
  <si>
    <t>0.2112516461</t>
  </si>
  <si>
    <t>1.510925293</t>
  </si>
  <si>
    <t>17.2177376 m</t>
  </si>
  <si>
    <t>4217129</t>
  </si>
  <si>
    <t>1 days 8:53:50</t>
  </si>
  <si>
    <t>2025:08:05 19:16:18.200+03:00</t>
  </si>
  <si>
    <t>2025:08:05 19:16:18+03:00</t>
  </si>
  <si>
    <t>2025:08:05 16:16:16.66Z</t>
  </si>
  <si>
    <t>40 deg 21' 17.01" E</t>
  </si>
  <si>
    <t>56 deg 8' 13.31" N, 40 deg 21' 17.01" E</t>
  </si>
  <si>
    <t>/content/drive/MyDrive/DRONE/foto/IMG_6625.HEIC</t>
  </si>
  <si>
    <t>2.4 MiB</t>
  </si>
  <si>
    <t>2025:08:06 05:38:31+00:00</t>
  </si>
  <si>
    <t>2025:08:06 07:56:08+00:00</t>
  </si>
  <si>
    <t>2025:08:05 20:19:50</t>
  </si>
  <si>
    <t>1/57</t>
  </si>
  <si>
    <t>500</t>
  </si>
  <si>
    <t>0.6618189945</t>
  </si>
  <si>
    <t>-0.9993056063 0.02066784352 0.006963937544</t>
  </si>
  <si>
    <t>506</t>
  </si>
  <si>
    <t>17:19:48.76</t>
  </si>
  <si>
    <t>8.648132324</t>
  </si>
  <si>
    <t>42.2788491 m</t>
  </si>
  <si>
    <t>2463925</t>
  </si>
  <si>
    <t>1 days 9:38:38</t>
  </si>
  <si>
    <t>2025:08:05 20:19:50.506+03:00</t>
  </si>
  <si>
    <t>2025:08:05 20:19:50+03:00</t>
  </si>
  <si>
    <t>170.4 m Above Sea Level</t>
  </si>
  <si>
    <t>2025:08:05 17:19:48.76Z</t>
  </si>
  <si>
    <t>56 deg 8' 14.33" N</t>
  </si>
  <si>
    <t>56 deg 8' 14.33" N, 40 deg 21' 18.07" E</t>
  </si>
  <si>
    <t>5.2</t>
  </si>
  <si>
    <t>/content/drive/MyDrive/DRONE/foto/IMG_6626.HEIC</t>
  </si>
  <si>
    <t>1437 KiB</t>
  </si>
  <si>
    <t>2025:08:06 05:37:37+00:00</t>
  </si>
  <si>
    <t>2025:08:05 21:22:27</t>
  </si>
  <si>
    <t>-4.267842203</t>
  </si>
  <si>
    <t>-0.9954175952 0.08145340535 -0.01391605008</t>
  </si>
  <si>
    <t>797</t>
  </si>
  <si>
    <t>18:22:26.62</t>
  </si>
  <si>
    <t>0.117678918</t>
  </si>
  <si>
    <t>7.499328613</t>
  </si>
  <si>
    <t>12.38925704 m</t>
  </si>
  <si>
    <t>1467187</t>
  </si>
  <si>
    <t>1 days 9:44:51</t>
  </si>
  <si>
    <t>2025:08:05 21:22:27.797+03:00</t>
  </si>
  <si>
    <t>2025:08:05 21:22:27+03:00</t>
  </si>
  <si>
    <t>2025:08:05 18:22:26.62Z</t>
  </si>
  <si>
    <t>40 deg 21' 16.65" E</t>
  </si>
  <si>
    <t>56 deg 8' 13.33" N, 40 deg 21' 16.65" E</t>
  </si>
  <si>
    <t>/content/drive/MyDrive/DRONE/foto/IMG_6627.HEIC</t>
  </si>
  <si>
    <t>1459 KiB</t>
  </si>
  <si>
    <t>2025:08:06 05:37:44+00:00</t>
  </si>
  <si>
    <t>2025:08:06 07:56:20+00:00</t>
  </si>
  <si>
    <t>2025:08:05 21:22:36</t>
  </si>
  <si>
    <t>-4.28252924</t>
  </si>
  <si>
    <t>-0.9932188987 0.02485648542 -0.0318070948</t>
  </si>
  <si>
    <t>384</t>
  </si>
  <si>
    <t>18:22:35.62</t>
  </si>
  <si>
    <t>0.3484529553</t>
  </si>
  <si>
    <t>4.963256836</t>
  </si>
  <si>
    <t>16.48550528 m</t>
  </si>
  <si>
    <t>1489713</t>
  </si>
  <si>
    <t>1 days 9:45:00</t>
  </si>
  <si>
    <t>2025:08:05 21:22:36.384+03:00</t>
  </si>
  <si>
    <t>2025:08:05 21:22:36+03:00</t>
  </si>
  <si>
    <t>2025:08:05 18:22:35.62Z</t>
  </si>
  <si>
    <t>56 deg 8' 13.09" N</t>
  </si>
  <si>
    <t>40 deg 21' 16.69" E</t>
  </si>
  <si>
    <t>56 deg 8' 13.09" N, 40 deg 21' 16.69" E</t>
  </si>
  <si>
    <t>/content/drive/MyDrive/DRONE/foto/IMG_6628.HEIC</t>
  </si>
  <si>
    <t>1466 KiB</t>
  </si>
  <si>
    <t>2025:08:06 05:37:51+00:00</t>
  </si>
  <si>
    <t>2025:08:06 07:56:25+00:00</t>
  </si>
  <si>
    <t>-0.9980697632 0.04507681355 -0.03875420988</t>
  </si>
  <si>
    <t>998</t>
  </si>
  <si>
    <t>1.43927002</t>
  </si>
  <si>
    <t>1497172</t>
  </si>
  <si>
    <t>2025:08:05 21:22:36.998+03:00</t>
  </si>
  <si>
    <t>/content/drive/MyDrive/DRONE/foto/IMG_6630.HEIC</t>
  </si>
  <si>
    <t>1335 KiB</t>
  </si>
  <si>
    <t>2025:08:06 05:37:27+00:00</t>
  </si>
  <si>
    <t>2025:08:06 07:56:31+00:00</t>
  </si>
  <si>
    <t>2025:08:05 22:15:06</t>
  </si>
  <si>
    <t>-4.185092213</t>
  </si>
  <si>
    <t>-0.9894887808 0.0572818443 0.07174015791</t>
  </si>
  <si>
    <t>589</t>
  </si>
  <si>
    <t>19:15:05.47</t>
  </si>
  <si>
    <t>0.7132083178</t>
  </si>
  <si>
    <t>358.115997</t>
  </si>
  <si>
    <t>17.23979101 m</t>
  </si>
  <si>
    <t>1362871</t>
  </si>
  <si>
    <t>1 days 9:55:51</t>
  </si>
  <si>
    <t>2025:08:05 22:15:06.589+03:00</t>
  </si>
  <si>
    <t>2025:08:05 22:15:06+03:00</t>
  </si>
  <si>
    <t>2025:08:05 19:15:05.47Z</t>
  </si>
  <si>
    <t>56 deg 8' 13.31" N, 40 deg 21' 17.09" E</t>
  </si>
  <si>
    <t>Время суток</t>
  </si>
  <si>
    <t>Погода</t>
  </si>
  <si>
    <t>Качество фото</t>
  </si>
  <si>
    <t>Абс дист</t>
  </si>
  <si>
    <t>Ширина (px)</t>
  </si>
  <si>
    <t>Высота (px)</t>
  </si>
  <si>
    <t>Ширина (%)</t>
  </si>
  <si>
    <t>Высота (%)</t>
  </si>
  <si>
    <t>Аспект (Ш/В)</t>
  </si>
  <si>
    <t>Дистанция (м)</t>
  </si>
  <si>
    <t>Яркость</t>
  </si>
  <si>
    <t xml:space="preserve">R(x1,y) = </t>
  </si>
  <si>
    <t>t расчет =</t>
  </si>
  <si>
    <t>t таблич =</t>
  </si>
  <si>
    <t xml:space="preserve">R(x2,y) = </t>
  </si>
  <si>
    <t>Вывод: связь между x2 и y умеренная</t>
  </si>
  <si>
    <t xml:space="preserve">R(x3,y) = </t>
  </si>
  <si>
    <t xml:space="preserve">R(x4,y) = </t>
  </si>
  <si>
    <t xml:space="preserve">R(x5,y) = </t>
  </si>
  <si>
    <t>|t расчет| &gt; t табл , след. R (x5, y) значимый</t>
  </si>
  <si>
    <t xml:space="preserve">R(x6,y) = </t>
  </si>
  <si>
    <t xml:space="preserve">R(x7,y) = </t>
  </si>
  <si>
    <t xml:space="preserve">R(x8,y) = </t>
  </si>
  <si>
    <t xml:space="preserve">R(x9,y) = </t>
  </si>
  <si>
    <t xml:space="preserve">R(x10,y) = </t>
  </si>
  <si>
    <t>Вывод: связь между x3 и y умеренная</t>
  </si>
  <si>
    <t>Вывод: связь между x4 и y умеренная</t>
  </si>
  <si>
    <t>|t расчет| &lt; t табл , след. R (x3, y)  значимый</t>
  </si>
  <si>
    <t>|t расчет| &lt; t табл , след. R (x4, y)  значимый</t>
  </si>
  <si>
    <t>|t расчет| &gt;  t табл , след. R (x2, y) значимый</t>
  </si>
  <si>
    <t>ВЫВОД ИТОГОВ</t>
  </si>
  <si>
    <t>Регрессионная статистика</t>
  </si>
  <si>
    <t>Множественный R</t>
  </si>
  <si>
    <t>R-квадрат</t>
  </si>
  <si>
    <t>Нормированный R-квадрат</t>
  </si>
  <si>
    <t>Стандартная ошибка</t>
  </si>
  <si>
    <t>Наблюдения</t>
  </si>
  <si>
    <t>Дисперсионный анализ</t>
  </si>
  <si>
    <t>Регрессия</t>
  </si>
  <si>
    <t>Остаток</t>
  </si>
  <si>
    <t>Итого</t>
  </si>
  <si>
    <t>Y-пересечение</t>
  </si>
  <si>
    <t>df</t>
  </si>
  <si>
    <t>SS</t>
  </si>
  <si>
    <t>MS</t>
  </si>
  <si>
    <t>F</t>
  </si>
  <si>
    <t>Значимость F</t>
  </si>
  <si>
    <t>Коэффициенты</t>
  </si>
  <si>
    <t>t-статистика</t>
  </si>
  <si>
    <t>P-Значение</t>
  </si>
  <si>
    <t>Нижние 95%</t>
  </si>
  <si>
    <t>Верхние 95%</t>
  </si>
  <si>
    <t>Нижние 99,0%</t>
  </si>
  <si>
    <t>Верхние 99,0%</t>
  </si>
  <si>
    <t>ВЫВОД ОСТАТКА</t>
  </si>
  <si>
    <t>Наблюдение</t>
  </si>
  <si>
    <t>Предсказанное Абс дист</t>
  </si>
  <si>
    <t>Остатки</t>
  </si>
  <si>
    <t>Стандартные остатки</t>
  </si>
  <si>
    <t>ВЫВОД ВЕРОЯТНОСТИ</t>
  </si>
  <si>
    <t>Персентиль</t>
  </si>
  <si>
    <t>Отн дист</t>
  </si>
  <si>
    <t>Вывод: связь между x1 и y умеренная</t>
  </si>
  <si>
    <t>Вывод: связь между x5 и y умеренная</t>
  </si>
  <si>
    <t>Вывод: связь между x6 и y умеренная</t>
  </si>
  <si>
    <t>Вывод: связь между x10 и y умеренная</t>
  </si>
  <si>
    <t>Вывод: связь между x7 и y слабая</t>
  </si>
  <si>
    <t>Вывод: связь между x8 и y слабая</t>
  </si>
  <si>
    <t>Вывод: связь между x9 и y слабая</t>
  </si>
  <si>
    <t>|t расчет| &gt;  t табл , след. R (x1, y)  значимый</t>
  </si>
  <si>
    <t>|t расчет| &gt; t табл , след. R (x6, y) значимый</t>
  </si>
  <si>
    <t>|t расчет| &gt; t табл , след. R (x10, y) значимый</t>
  </si>
  <si>
    <t>Пояснение:</t>
  </si>
  <si>
    <t>1 - утро</t>
  </si>
  <si>
    <t>2 - день</t>
  </si>
  <si>
    <t>3 - вечер</t>
  </si>
  <si>
    <t>4 - ночь</t>
  </si>
  <si>
    <t>1 - ясная</t>
  </si>
  <si>
    <t>2 - пасмурная</t>
  </si>
  <si>
    <t>3 - дождливая</t>
  </si>
  <si>
    <t>1 - отличное</t>
  </si>
  <si>
    <t>2 - хорошее</t>
  </si>
  <si>
    <t>3 - плохое</t>
  </si>
  <si>
    <t>|t расчет| &lt; t табл , след. R (x7, y) не значимый</t>
  </si>
  <si>
    <t>|t расчет| &lt; t табл , след. R (x8, y) не значимый</t>
  </si>
  <si>
    <t>|t расчет| &lt; t табл , след. R (x9, y) не значимый</t>
  </si>
  <si>
    <t>Эластичность</t>
  </si>
  <si>
    <t>Yj</t>
  </si>
  <si>
    <t>βj</t>
  </si>
  <si>
    <t>Номер</t>
  </si>
  <si>
    <t>Предсказ (порядок Качество)</t>
  </si>
  <si>
    <t>Предсказ (порядок Аспект (Ш/В)</t>
  </si>
  <si>
    <t>Предсказ (порядок Ширина (%))</t>
  </si>
  <si>
    <t>Рассчет Абс дист.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</si>
</sst>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00000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i/>
      <sz val="14"/>
      <color theme="0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i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AACA8"/>
        <bgColor indexed="64"/>
      </patternFill>
    </fill>
    <fill>
      <patternFill patternType="solid">
        <fgColor rgb="FFFFFF9B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D08E8E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4E0E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B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49">
    <xf numFmtId="0" fontId="0" fillId="0" borderId="0" xfId="0"/>
    <xf numFmtId="0" fontId="0" fillId="0" borderId="0" xfId="0" applyNumberFormat="1"/>
    <xf numFmtId="14" fontId="0" fillId="0" borderId="0" xfId="0" applyNumberFormat="1"/>
    <xf numFmtId="0" fontId="1" fillId="0" borderId="0" xfId="1"/>
    <xf numFmtId="0" fontId="2" fillId="2" borderId="1" xfId="1" applyFont="1" applyFill="1" applyBorder="1" applyAlignment="1">
      <alignment horizontal="center"/>
    </xf>
    <xf numFmtId="2" fontId="3" fillId="0" borderId="3" xfId="2" applyNumberFormat="1" applyFont="1" applyBorder="1"/>
    <xf numFmtId="0" fontId="1" fillId="0" borderId="4" xfId="2" applyBorder="1"/>
    <xf numFmtId="0" fontId="1" fillId="0" borderId="5" xfId="2" applyBorder="1"/>
    <xf numFmtId="0" fontId="1" fillId="0" borderId="0" xfId="2"/>
    <xf numFmtId="0" fontId="2" fillId="2" borderId="1" xfId="2" applyFont="1" applyFill="1" applyBorder="1" applyAlignment="1">
      <alignment horizontal="center"/>
    </xf>
    <xf numFmtId="0" fontId="4" fillId="0" borderId="6" xfId="0" applyFont="1" applyFill="1" applyBorder="1" applyAlignment="1">
      <alignment horizontal="center"/>
    </xf>
    <xf numFmtId="2" fontId="3" fillId="4" borderId="3" xfId="1" applyNumberFormat="1" applyFont="1" applyFill="1" applyBorder="1"/>
    <xf numFmtId="2" fontId="3" fillId="6" borderId="3" xfId="1" applyNumberFormat="1" applyFont="1" applyFill="1" applyBorder="1"/>
    <xf numFmtId="0" fontId="4" fillId="0" borderId="6" xfId="0" applyFont="1" applyFill="1" applyBorder="1" applyAlignment="1">
      <alignment horizontal="centerContinuous"/>
    </xf>
    <xf numFmtId="0" fontId="0" fillId="7" borderId="0" xfId="0" applyFill="1"/>
    <xf numFmtId="0" fontId="0" fillId="9" borderId="0" xfId="0" applyFill="1"/>
    <xf numFmtId="0" fontId="0" fillId="10" borderId="3" xfId="0" applyFill="1" applyBorder="1"/>
    <xf numFmtId="0" fontId="0" fillId="11" borderId="3" xfId="0" applyFill="1" applyBorder="1"/>
    <xf numFmtId="0" fontId="0" fillId="12" borderId="3" xfId="0" applyFill="1" applyBorder="1"/>
    <xf numFmtId="0" fontId="0" fillId="13" borderId="0" xfId="0" applyFill="1"/>
    <xf numFmtId="0" fontId="0" fillId="14" borderId="3" xfId="0" applyFill="1" applyBorder="1"/>
    <xf numFmtId="0" fontId="4" fillId="0" borderId="7" xfId="0" applyFont="1" applyFill="1" applyBorder="1" applyAlignment="1">
      <alignment horizontal="center"/>
    </xf>
    <xf numFmtId="0" fontId="0" fillId="0" borderId="3" xfId="0" applyFill="1" applyBorder="1" applyAlignment="1"/>
    <xf numFmtId="0" fontId="0" fillId="5" borderId="3" xfId="0" applyFill="1" applyBorder="1" applyAlignment="1"/>
    <xf numFmtId="0" fontId="0" fillId="15" borderId="3" xfId="0" applyFill="1" applyBorder="1" applyAlignment="1"/>
    <xf numFmtId="0" fontId="0" fillId="4" borderId="3" xfId="0" applyFill="1" applyBorder="1" applyAlignment="1"/>
    <xf numFmtId="0" fontId="0" fillId="16" borderId="3" xfId="0" applyFill="1" applyBorder="1" applyAlignment="1"/>
    <xf numFmtId="0" fontId="0" fillId="17" borderId="3" xfId="0" applyFill="1" applyBorder="1" applyAlignment="1"/>
    <xf numFmtId="0" fontId="4" fillId="0" borderId="7" xfId="0" applyFont="1" applyFill="1" applyBorder="1" applyAlignment="1">
      <alignment horizontal="centerContinuous"/>
    </xf>
    <xf numFmtId="0" fontId="0" fillId="7" borderId="3" xfId="0" applyFill="1" applyBorder="1"/>
    <xf numFmtId="0" fontId="0" fillId="13" borderId="3" xfId="0" applyFill="1" applyBorder="1"/>
    <xf numFmtId="0" fontId="0" fillId="12" borderId="5" xfId="0" applyFill="1" applyBorder="1"/>
    <xf numFmtId="0" fontId="0" fillId="8" borderId="3" xfId="0" applyFill="1" applyBorder="1"/>
    <xf numFmtId="0" fontId="0" fillId="17" borderId="9" xfId="0" applyFill="1" applyBorder="1" applyAlignment="1"/>
    <xf numFmtId="0" fontId="0" fillId="0" borderId="9" xfId="0" applyFill="1" applyBorder="1" applyAlignment="1"/>
    <xf numFmtId="0" fontId="4" fillId="0" borderId="8" xfId="0" applyFont="1" applyFill="1" applyBorder="1" applyAlignment="1">
      <alignment horizontal="center"/>
    </xf>
    <xf numFmtId="0" fontId="6" fillId="0" borderId="0" xfId="0" applyFont="1"/>
    <xf numFmtId="2" fontId="3" fillId="5" borderId="3" xfId="1" applyNumberFormat="1" applyFont="1" applyFill="1" applyBorder="1"/>
    <xf numFmtId="164" fontId="5" fillId="17" borderId="2" xfId="1" applyNumberFormat="1" applyFont="1" applyFill="1" applyBorder="1"/>
    <xf numFmtId="0" fontId="1" fillId="0" borderId="10" xfId="2" applyBorder="1"/>
    <xf numFmtId="0" fontId="5" fillId="18" borderId="3" xfId="0" applyFont="1" applyFill="1" applyBorder="1"/>
    <xf numFmtId="0" fontId="5" fillId="17" borderId="3" xfId="2" applyFont="1" applyFill="1" applyBorder="1"/>
    <xf numFmtId="0" fontId="5" fillId="3" borderId="3" xfId="0" applyFont="1" applyFill="1" applyBorder="1"/>
    <xf numFmtId="0" fontId="4" fillId="17" borderId="7" xfId="0" applyFont="1" applyFill="1" applyBorder="1" applyAlignment="1">
      <alignment horizontal="center"/>
    </xf>
    <xf numFmtId="165" fontId="0" fillId="0" borderId="3" xfId="0" applyNumberFormat="1" applyBorder="1"/>
    <xf numFmtId="0" fontId="0" fillId="19" borderId="3" xfId="0" applyFill="1" applyBorder="1"/>
    <xf numFmtId="0" fontId="0" fillId="17" borderId="3" xfId="0" applyFill="1" applyBorder="1"/>
    <xf numFmtId="0" fontId="0" fillId="0" borderId="0" xfId="0" applyFill="1" applyBorder="1" applyAlignment="1"/>
    <xf numFmtId="0" fontId="0" fillId="0" borderId="11" xfId="0" applyFill="1" applyBorder="1" applyAlignment="1"/>
  </cellXfs>
  <cellStyles count="3">
    <cellStyle name="Обычный" xfId="0" builtinId="0"/>
    <cellStyle name="Обычный 2" xfId="1" xr:uid="{0E14EA1A-B78B-48A8-A52B-27EAABB43E7E}"/>
    <cellStyle name="Обычный 2 2" xfId="2" xr:uid="{4238247A-3A66-4D0D-9A56-328EA466F861}"/>
  </cellStyles>
  <dxfs count="178"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FAACA8"/>
      <color rgb="FFFFFF9B"/>
      <color rgb="FFFFFFB9"/>
      <color rgb="FFF4E0E0"/>
      <color rgb="FFD08E8E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Ширина (%) График остатков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'Лист3 - Итог'!$B$2:$B$97</c:f>
              <c:numCache>
                <c:formatCode>General</c:formatCode>
                <c:ptCount val="96"/>
                <c:pt idx="0">
                  <c:v>13.59</c:v>
                </c:pt>
                <c:pt idx="1">
                  <c:v>13.81</c:v>
                </c:pt>
                <c:pt idx="2">
                  <c:v>13.84</c:v>
                </c:pt>
                <c:pt idx="3">
                  <c:v>14.06</c:v>
                </c:pt>
                <c:pt idx="4">
                  <c:v>13.44</c:v>
                </c:pt>
                <c:pt idx="5">
                  <c:v>13.76</c:v>
                </c:pt>
                <c:pt idx="6">
                  <c:v>13.86</c:v>
                </c:pt>
                <c:pt idx="7">
                  <c:v>13.84</c:v>
                </c:pt>
                <c:pt idx="8">
                  <c:v>13.67</c:v>
                </c:pt>
                <c:pt idx="9">
                  <c:v>13.84</c:v>
                </c:pt>
                <c:pt idx="10">
                  <c:v>13.67</c:v>
                </c:pt>
                <c:pt idx="11">
                  <c:v>13.76</c:v>
                </c:pt>
                <c:pt idx="12">
                  <c:v>13.96</c:v>
                </c:pt>
                <c:pt idx="13">
                  <c:v>13.76</c:v>
                </c:pt>
                <c:pt idx="14">
                  <c:v>13.86</c:v>
                </c:pt>
                <c:pt idx="15">
                  <c:v>13.84</c:v>
                </c:pt>
                <c:pt idx="16">
                  <c:v>13.72</c:v>
                </c:pt>
                <c:pt idx="17">
                  <c:v>13.79</c:v>
                </c:pt>
                <c:pt idx="18">
                  <c:v>9.1</c:v>
                </c:pt>
                <c:pt idx="19">
                  <c:v>9.15</c:v>
                </c:pt>
                <c:pt idx="20">
                  <c:v>8.98</c:v>
                </c:pt>
                <c:pt idx="21">
                  <c:v>9.1999999999999993</c:v>
                </c:pt>
                <c:pt idx="22">
                  <c:v>8.75</c:v>
                </c:pt>
                <c:pt idx="23">
                  <c:v>9.4</c:v>
                </c:pt>
                <c:pt idx="24">
                  <c:v>9.08</c:v>
                </c:pt>
                <c:pt idx="25">
                  <c:v>9.33</c:v>
                </c:pt>
                <c:pt idx="26">
                  <c:v>9.1300000000000008</c:v>
                </c:pt>
                <c:pt idx="27">
                  <c:v>9.08</c:v>
                </c:pt>
                <c:pt idx="28">
                  <c:v>9.25</c:v>
                </c:pt>
                <c:pt idx="29">
                  <c:v>9.18</c:v>
                </c:pt>
                <c:pt idx="30">
                  <c:v>9.4</c:v>
                </c:pt>
                <c:pt idx="31">
                  <c:v>9.23</c:v>
                </c:pt>
                <c:pt idx="32">
                  <c:v>9.3000000000000007</c:v>
                </c:pt>
                <c:pt idx="33">
                  <c:v>9.2799999999999994</c:v>
                </c:pt>
                <c:pt idx="34">
                  <c:v>9.1999999999999993</c:v>
                </c:pt>
                <c:pt idx="35">
                  <c:v>6.5</c:v>
                </c:pt>
                <c:pt idx="36">
                  <c:v>6.65</c:v>
                </c:pt>
                <c:pt idx="37">
                  <c:v>6.67</c:v>
                </c:pt>
                <c:pt idx="38">
                  <c:v>6.7</c:v>
                </c:pt>
                <c:pt idx="39">
                  <c:v>6.32</c:v>
                </c:pt>
                <c:pt idx="40">
                  <c:v>6.89</c:v>
                </c:pt>
                <c:pt idx="41">
                  <c:v>6.77</c:v>
                </c:pt>
                <c:pt idx="42">
                  <c:v>6.8</c:v>
                </c:pt>
                <c:pt idx="43">
                  <c:v>6.45</c:v>
                </c:pt>
                <c:pt idx="44">
                  <c:v>6.62</c:v>
                </c:pt>
                <c:pt idx="45">
                  <c:v>6.47</c:v>
                </c:pt>
                <c:pt idx="46">
                  <c:v>6.52</c:v>
                </c:pt>
                <c:pt idx="47">
                  <c:v>6.94</c:v>
                </c:pt>
                <c:pt idx="48">
                  <c:v>6.75</c:v>
                </c:pt>
                <c:pt idx="49">
                  <c:v>7.04</c:v>
                </c:pt>
                <c:pt idx="50">
                  <c:v>6.52</c:v>
                </c:pt>
                <c:pt idx="51">
                  <c:v>6.77</c:v>
                </c:pt>
                <c:pt idx="52">
                  <c:v>6.97</c:v>
                </c:pt>
                <c:pt idx="53">
                  <c:v>13.64</c:v>
                </c:pt>
                <c:pt idx="54">
                  <c:v>13.86</c:v>
                </c:pt>
                <c:pt idx="55">
                  <c:v>13.84</c:v>
                </c:pt>
                <c:pt idx="56">
                  <c:v>13.57</c:v>
                </c:pt>
                <c:pt idx="57">
                  <c:v>13.76</c:v>
                </c:pt>
                <c:pt idx="58">
                  <c:v>14.43</c:v>
                </c:pt>
                <c:pt idx="59">
                  <c:v>13.74</c:v>
                </c:pt>
                <c:pt idx="60">
                  <c:v>13.84</c:v>
                </c:pt>
                <c:pt idx="61">
                  <c:v>13.94</c:v>
                </c:pt>
                <c:pt idx="62">
                  <c:v>14.01</c:v>
                </c:pt>
                <c:pt idx="63">
                  <c:v>13.91</c:v>
                </c:pt>
                <c:pt idx="64">
                  <c:v>13.89</c:v>
                </c:pt>
                <c:pt idx="65">
                  <c:v>13.74</c:v>
                </c:pt>
                <c:pt idx="66">
                  <c:v>9.5</c:v>
                </c:pt>
                <c:pt idx="67">
                  <c:v>9.6199999999999992</c:v>
                </c:pt>
                <c:pt idx="68">
                  <c:v>9.8000000000000007</c:v>
                </c:pt>
                <c:pt idx="69">
                  <c:v>9.6199999999999992</c:v>
                </c:pt>
                <c:pt idx="70">
                  <c:v>9.65</c:v>
                </c:pt>
                <c:pt idx="71">
                  <c:v>9.5</c:v>
                </c:pt>
                <c:pt idx="72">
                  <c:v>9.9</c:v>
                </c:pt>
                <c:pt idx="73">
                  <c:v>9.33</c:v>
                </c:pt>
                <c:pt idx="74">
                  <c:v>9.7200000000000006</c:v>
                </c:pt>
                <c:pt idx="75">
                  <c:v>9.5500000000000007</c:v>
                </c:pt>
                <c:pt idx="76">
                  <c:v>9.5500000000000007</c:v>
                </c:pt>
                <c:pt idx="77">
                  <c:v>9.52</c:v>
                </c:pt>
                <c:pt idx="78">
                  <c:v>9.5</c:v>
                </c:pt>
                <c:pt idx="79">
                  <c:v>7.37</c:v>
                </c:pt>
                <c:pt idx="80">
                  <c:v>7.17</c:v>
                </c:pt>
                <c:pt idx="81">
                  <c:v>7.22</c:v>
                </c:pt>
                <c:pt idx="82">
                  <c:v>6.99</c:v>
                </c:pt>
                <c:pt idx="83">
                  <c:v>7.34</c:v>
                </c:pt>
                <c:pt idx="84">
                  <c:v>7.37</c:v>
                </c:pt>
                <c:pt idx="85">
                  <c:v>7.02</c:v>
                </c:pt>
                <c:pt idx="86">
                  <c:v>7.24</c:v>
                </c:pt>
                <c:pt idx="87">
                  <c:v>7.09</c:v>
                </c:pt>
                <c:pt idx="88">
                  <c:v>7.19</c:v>
                </c:pt>
                <c:pt idx="89">
                  <c:v>6.77</c:v>
                </c:pt>
                <c:pt idx="90">
                  <c:v>7.44</c:v>
                </c:pt>
                <c:pt idx="91">
                  <c:v>7.24</c:v>
                </c:pt>
                <c:pt idx="92">
                  <c:v>7.09</c:v>
                </c:pt>
                <c:pt idx="93">
                  <c:v>6.97</c:v>
                </c:pt>
                <c:pt idx="94">
                  <c:v>7.04</c:v>
                </c:pt>
                <c:pt idx="95">
                  <c:v>6.97</c:v>
                </c:pt>
              </c:numCache>
            </c:numRef>
          </c:xVal>
          <c:yVal>
            <c:numRef>
              <c:f>'Лист3 - Итог'!$T$4:$T$99</c:f>
              <c:numCache>
                <c:formatCode>General</c:formatCode>
                <c:ptCount val="96"/>
                <c:pt idx="0">
                  <c:v>4.9811701740661019E-4</c:v>
                </c:pt>
                <c:pt idx="1">
                  <c:v>0.12540354174809587</c:v>
                </c:pt>
                <c:pt idx="2">
                  <c:v>0.22500603819650888</c:v>
                </c:pt>
                <c:pt idx="3">
                  <c:v>0.39802684133809768</c:v>
                </c:pt>
                <c:pt idx="4">
                  <c:v>-7.009397670728687E-2</c:v>
                </c:pt>
                <c:pt idx="5">
                  <c:v>-0.2608661806559105</c:v>
                </c:pt>
                <c:pt idx="6">
                  <c:v>-8.1178390595169597E-2</c:v>
                </c:pt>
                <c:pt idx="7">
                  <c:v>0.34483569000829084</c:v>
                </c:pt>
                <c:pt idx="8">
                  <c:v>-0.29430825126109611</c:v>
                </c:pt>
                <c:pt idx="9">
                  <c:v>-0.1023620999716775</c:v>
                </c:pt>
                <c:pt idx="10">
                  <c:v>-0.44996211602839881</c:v>
                </c:pt>
                <c:pt idx="11">
                  <c:v>-0.20898155906681004</c:v>
                </c:pt>
                <c:pt idx="12">
                  <c:v>2.0682467081921535E-2</c:v>
                </c:pt>
                <c:pt idx="13">
                  <c:v>-0.23492386986135982</c:v>
                </c:pt>
                <c:pt idx="14">
                  <c:v>-2.9293769006068254E-2</c:v>
                </c:pt>
                <c:pt idx="15">
                  <c:v>9.5294484223755971E-2</c:v>
                </c:pt>
                <c:pt idx="16">
                  <c:v>-0.2093462583916951</c:v>
                </c:pt>
                <c:pt idx="17">
                  <c:v>-0.10331865398481563</c:v>
                </c:pt>
                <c:pt idx="18">
                  <c:v>-0.12364846244678697</c:v>
                </c:pt>
                <c:pt idx="19">
                  <c:v>-0.24228536456737054</c:v>
                </c:pt>
                <c:pt idx="20">
                  <c:v>-5.04622726785878E-2</c:v>
                </c:pt>
                <c:pt idx="21">
                  <c:v>-0.10744146953699987</c:v>
                </c:pt>
                <c:pt idx="22">
                  <c:v>0.16027120472426803</c:v>
                </c:pt>
                <c:pt idx="23">
                  <c:v>7.9672923809598339E-4</c:v>
                </c:pt>
                <c:pt idx="24">
                  <c:v>-0.49002724237513245</c:v>
                </c:pt>
                <c:pt idx="25">
                  <c:v>-9.7403942785130593E-2</c:v>
                </c:pt>
                <c:pt idx="26">
                  <c:v>-0.61083721211206399</c:v>
                </c:pt>
                <c:pt idx="27">
                  <c:v>-0.4381426207860315</c:v>
                </c:pt>
                <c:pt idx="28">
                  <c:v>-0.24808109108571377</c:v>
                </c:pt>
                <c:pt idx="29">
                  <c:v>-0.33022135447536116</c:v>
                </c:pt>
                <c:pt idx="30">
                  <c:v>-5.1087892351004971E-2</c:v>
                </c:pt>
                <c:pt idx="31">
                  <c:v>-0.31520711125677242</c:v>
                </c:pt>
                <c:pt idx="32">
                  <c:v>-4.5292165832661657E-2</c:v>
                </c:pt>
                <c:pt idx="33">
                  <c:v>1.7293367969032691E-2</c:v>
                </c:pt>
                <c:pt idx="34">
                  <c:v>-0.11732337169796994</c:v>
                </c:pt>
                <c:pt idx="35">
                  <c:v>0.22350500487713254</c:v>
                </c:pt>
                <c:pt idx="36">
                  <c:v>-3.9960590603623225E-2</c:v>
                </c:pt>
                <c:pt idx="37">
                  <c:v>-0.3064334654225489</c:v>
                </c:pt>
                <c:pt idx="38">
                  <c:v>-0.21294362795690325</c:v>
                </c:pt>
                <c:pt idx="39">
                  <c:v>0.76690930969401117</c:v>
                </c:pt>
                <c:pt idx="40">
                  <c:v>-8.4330250711892096E-2</c:v>
                </c:pt>
                <c:pt idx="41">
                  <c:v>-0.65239954012911028</c:v>
                </c:pt>
                <c:pt idx="42">
                  <c:v>-0.6009124220915959</c:v>
                </c:pt>
                <c:pt idx="43">
                  <c:v>0.35460342064131289</c:v>
                </c:pt>
                <c:pt idx="44">
                  <c:v>-3.7388740965164091E-3</c:v>
                </c:pt>
                <c:pt idx="45">
                  <c:v>0.19796019763416939</c:v>
                </c:pt>
                <c:pt idx="46">
                  <c:v>1.4977160280888802E-2</c:v>
                </c:pt>
                <c:pt idx="47">
                  <c:v>-0.25885721327783734</c:v>
                </c:pt>
                <c:pt idx="48">
                  <c:v>-0.47981400632741589</c:v>
                </c:pt>
                <c:pt idx="49">
                  <c:v>7.8945955193803097E-2</c:v>
                </c:pt>
                <c:pt idx="50">
                  <c:v>9.2804092664540372E-2</c:v>
                </c:pt>
                <c:pt idx="51">
                  <c:v>-0.299089091166374</c:v>
                </c:pt>
                <c:pt idx="52">
                  <c:v>7.8519965205039122E-2</c:v>
                </c:pt>
                <c:pt idx="53">
                  <c:v>-0.10448763976400462</c:v>
                </c:pt>
                <c:pt idx="54">
                  <c:v>-3.3514582115180269E-3</c:v>
                </c:pt>
                <c:pt idx="55">
                  <c:v>1.4071432065247413E-3</c:v>
                </c:pt>
                <c:pt idx="56">
                  <c:v>-0.17834217655453477</c:v>
                </c:pt>
                <c:pt idx="57">
                  <c:v>-7.9270005094057586E-2</c:v>
                </c:pt>
                <c:pt idx="58">
                  <c:v>0.47226888060806199</c:v>
                </c:pt>
                <c:pt idx="59">
                  <c:v>-0.12639602526511573</c:v>
                </c:pt>
                <c:pt idx="60">
                  <c:v>9.5294484223755971E-2</c:v>
                </c:pt>
                <c:pt idx="61">
                  <c:v>0.11932840951719553</c:v>
                </c:pt>
                <c:pt idx="62">
                  <c:v>0.18335329449594423</c:v>
                </c:pt>
                <c:pt idx="63">
                  <c:v>0.20132208863063544</c:v>
                </c:pt>
                <c:pt idx="64">
                  <c:v>0.1282537576650262</c:v>
                </c:pt>
                <c:pt idx="65">
                  <c:v>0.11326327835844857</c:v>
                </c:pt>
                <c:pt idx="66">
                  <c:v>0.14683337395966634</c:v>
                </c:pt>
                <c:pt idx="67">
                  <c:v>-1.9374818744022804E-2</c:v>
                </c:pt>
                <c:pt idx="68">
                  <c:v>0.38099011961730267</c:v>
                </c:pt>
                <c:pt idx="69">
                  <c:v>8.4394424434179438E-2</c:v>
                </c:pt>
                <c:pt idx="70">
                  <c:v>0.22993923167714347</c:v>
                </c:pt>
                <c:pt idx="71">
                  <c:v>-2.488089944121652E-2</c:v>
                </c:pt>
                <c:pt idx="72">
                  <c:v>0.57879328808894348</c:v>
                </c:pt>
                <c:pt idx="73">
                  <c:v>-0.38276936152518581</c:v>
                </c:pt>
                <c:pt idx="74">
                  <c:v>0.2403129713167198</c:v>
                </c:pt>
                <c:pt idx="75">
                  <c:v>4.8078374000053659E-2</c:v>
                </c:pt>
                <c:pt idx="76">
                  <c:v>-3.8062475890476843E-3</c:v>
                </c:pt>
                <c:pt idx="77">
                  <c:v>0.16207477254162361</c:v>
                </c:pt>
                <c:pt idx="78">
                  <c:v>0.29260533656599896</c:v>
                </c:pt>
                <c:pt idx="79">
                  <c:v>0.73093867354978226</c:v>
                </c:pt>
                <c:pt idx="80">
                  <c:v>0.2770466100073824</c:v>
                </c:pt>
                <c:pt idx="81">
                  <c:v>0.26423392084232011</c:v>
                </c:pt>
                <c:pt idx="82">
                  <c:v>-0.20360677438118879</c:v>
                </c:pt>
                <c:pt idx="83">
                  <c:v>0.66916310948501989</c:v>
                </c:pt>
                <c:pt idx="84">
                  <c:v>0.67905405196068136</c:v>
                </c:pt>
                <c:pt idx="85">
                  <c:v>-2.8061967138225508E-2</c:v>
                </c:pt>
                <c:pt idx="86">
                  <c:v>0.33541763021882787</c:v>
                </c:pt>
                <c:pt idx="87">
                  <c:v>-0.17722943328318408</c:v>
                </c:pt>
                <c:pt idx="88">
                  <c:v>9.8689113599356393E-2</c:v>
                </c:pt>
                <c:pt idx="89">
                  <c:v>-0.61039682070097978</c:v>
                </c:pt>
                <c:pt idx="90">
                  <c:v>0.84725472398390789</c:v>
                </c:pt>
                <c:pt idx="91">
                  <c:v>0.33541763021882787</c:v>
                </c:pt>
                <c:pt idx="92">
                  <c:v>-9.9402500899532509E-2</c:v>
                </c:pt>
                <c:pt idx="93">
                  <c:v>-0.32667510534679889</c:v>
                </c:pt>
                <c:pt idx="94">
                  <c:v>-0.11253212252902078</c:v>
                </c:pt>
                <c:pt idx="95">
                  <c:v>-0.18090314274046626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769-4798-8493-EA2CA15819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6417903"/>
        <c:axId val="516419151"/>
      </c:scatterChart>
      <c:valAx>
        <c:axId val="5164179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Ширина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16419151"/>
        <c:crosses val="autoZero"/>
        <c:crossBetween val="midCat"/>
      </c:valAx>
      <c:valAx>
        <c:axId val="51641915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Остатки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16417903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Аспект (Ш/В) График остатков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'Лист3 - Итог'!$C$2:$C$97</c:f>
              <c:numCache>
                <c:formatCode>General</c:formatCode>
                <c:ptCount val="96"/>
                <c:pt idx="0">
                  <c:v>1.4</c:v>
                </c:pt>
                <c:pt idx="1">
                  <c:v>1.42</c:v>
                </c:pt>
                <c:pt idx="2">
                  <c:v>1.45</c:v>
                </c:pt>
                <c:pt idx="3">
                  <c:v>1.45</c:v>
                </c:pt>
                <c:pt idx="4">
                  <c:v>1.41</c:v>
                </c:pt>
                <c:pt idx="5">
                  <c:v>1.36</c:v>
                </c:pt>
                <c:pt idx="6">
                  <c:v>1.4</c:v>
                </c:pt>
                <c:pt idx="7">
                  <c:v>1.42</c:v>
                </c:pt>
                <c:pt idx="8">
                  <c:v>1.38</c:v>
                </c:pt>
                <c:pt idx="9">
                  <c:v>1.4</c:v>
                </c:pt>
                <c:pt idx="10">
                  <c:v>1.32</c:v>
                </c:pt>
                <c:pt idx="11">
                  <c:v>1.38</c:v>
                </c:pt>
                <c:pt idx="12">
                  <c:v>1.41</c:v>
                </c:pt>
                <c:pt idx="13">
                  <c:v>1.37</c:v>
                </c:pt>
                <c:pt idx="14">
                  <c:v>1.42</c:v>
                </c:pt>
                <c:pt idx="15">
                  <c:v>1.4</c:v>
                </c:pt>
                <c:pt idx="16">
                  <c:v>1.32</c:v>
                </c:pt>
                <c:pt idx="17">
                  <c:v>1.34</c:v>
                </c:pt>
                <c:pt idx="18">
                  <c:v>1.47</c:v>
                </c:pt>
                <c:pt idx="19">
                  <c:v>1.4</c:v>
                </c:pt>
                <c:pt idx="20">
                  <c:v>1.42</c:v>
                </c:pt>
                <c:pt idx="21">
                  <c:v>1.42</c:v>
                </c:pt>
                <c:pt idx="22">
                  <c:v>1.36</c:v>
                </c:pt>
                <c:pt idx="23">
                  <c:v>1.41</c:v>
                </c:pt>
                <c:pt idx="24">
                  <c:v>1.39</c:v>
                </c:pt>
                <c:pt idx="25">
                  <c:v>1.42</c:v>
                </c:pt>
                <c:pt idx="26">
                  <c:v>1.35</c:v>
                </c:pt>
                <c:pt idx="27">
                  <c:v>1.41</c:v>
                </c:pt>
                <c:pt idx="28">
                  <c:v>1.41</c:v>
                </c:pt>
                <c:pt idx="29">
                  <c:v>1.35</c:v>
                </c:pt>
                <c:pt idx="30">
                  <c:v>1.39</c:v>
                </c:pt>
                <c:pt idx="31">
                  <c:v>1.4</c:v>
                </c:pt>
                <c:pt idx="32">
                  <c:v>1.38</c:v>
                </c:pt>
                <c:pt idx="33">
                  <c:v>1.42</c:v>
                </c:pt>
                <c:pt idx="34">
                  <c:v>1.34</c:v>
                </c:pt>
                <c:pt idx="35">
                  <c:v>1.35</c:v>
                </c:pt>
                <c:pt idx="36">
                  <c:v>1.35</c:v>
                </c:pt>
                <c:pt idx="37">
                  <c:v>1.35</c:v>
                </c:pt>
                <c:pt idx="38">
                  <c:v>1.34</c:v>
                </c:pt>
                <c:pt idx="39">
                  <c:v>1.34</c:v>
                </c:pt>
                <c:pt idx="40">
                  <c:v>1.39</c:v>
                </c:pt>
                <c:pt idx="41">
                  <c:v>1.33</c:v>
                </c:pt>
                <c:pt idx="42">
                  <c:v>1.38</c:v>
                </c:pt>
                <c:pt idx="43">
                  <c:v>1.34</c:v>
                </c:pt>
                <c:pt idx="44">
                  <c:v>1.41</c:v>
                </c:pt>
                <c:pt idx="45">
                  <c:v>1.31</c:v>
                </c:pt>
                <c:pt idx="46">
                  <c:v>1.3</c:v>
                </c:pt>
                <c:pt idx="47">
                  <c:v>1.42</c:v>
                </c:pt>
                <c:pt idx="48">
                  <c:v>1.37</c:v>
                </c:pt>
                <c:pt idx="49">
                  <c:v>1.44</c:v>
                </c:pt>
                <c:pt idx="50">
                  <c:v>1.33</c:v>
                </c:pt>
                <c:pt idx="51">
                  <c:v>1.39</c:v>
                </c:pt>
                <c:pt idx="52">
                  <c:v>1.37</c:v>
                </c:pt>
                <c:pt idx="53">
                  <c:v>1.45</c:v>
                </c:pt>
                <c:pt idx="54">
                  <c:v>1.43</c:v>
                </c:pt>
                <c:pt idx="55">
                  <c:v>1.44</c:v>
                </c:pt>
                <c:pt idx="56">
                  <c:v>1.4</c:v>
                </c:pt>
                <c:pt idx="57">
                  <c:v>1.43</c:v>
                </c:pt>
                <c:pt idx="58">
                  <c:v>1.45</c:v>
                </c:pt>
                <c:pt idx="59">
                  <c:v>1.42</c:v>
                </c:pt>
                <c:pt idx="60">
                  <c:v>1.4</c:v>
                </c:pt>
                <c:pt idx="61">
                  <c:v>1.38</c:v>
                </c:pt>
                <c:pt idx="62">
                  <c:v>1.46</c:v>
                </c:pt>
                <c:pt idx="63">
                  <c:v>1.42</c:v>
                </c:pt>
                <c:pt idx="64">
                  <c:v>1.4</c:v>
                </c:pt>
                <c:pt idx="65">
                  <c:v>1.36</c:v>
                </c:pt>
                <c:pt idx="66">
                  <c:v>1.33</c:v>
                </c:pt>
                <c:pt idx="67">
                  <c:v>1.27</c:v>
                </c:pt>
                <c:pt idx="68">
                  <c:v>1.32</c:v>
                </c:pt>
                <c:pt idx="69">
                  <c:v>1.31</c:v>
                </c:pt>
                <c:pt idx="70">
                  <c:v>1.35</c:v>
                </c:pt>
                <c:pt idx="71">
                  <c:v>1.34</c:v>
                </c:pt>
                <c:pt idx="72">
                  <c:v>1.34</c:v>
                </c:pt>
                <c:pt idx="73">
                  <c:v>1.31</c:v>
                </c:pt>
                <c:pt idx="74">
                  <c:v>1.31</c:v>
                </c:pt>
                <c:pt idx="75">
                  <c:v>1.34</c:v>
                </c:pt>
                <c:pt idx="76">
                  <c:v>1.32</c:v>
                </c:pt>
                <c:pt idx="77">
                  <c:v>1.32</c:v>
                </c:pt>
                <c:pt idx="78">
                  <c:v>1.31</c:v>
                </c:pt>
                <c:pt idx="79">
                  <c:v>1.36</c:v>
                </c:pt>
                <c:pt idx="80">
                  <c:v>1.31</c:v>
                </c:pt>
                <c:pt idx="81">
                  <c:v>1.33</c:v>
                </c:pt>
                <c:pt idx="82">
                  <c:v>1.31</c:v>
                </c:pt>
                <c:pt idx="83">
                  <c:v>1.36</c:v>
                </c:pt>
                <c:pt idx="84">
                  <c:v>1.34</c:v>
                </c:pt>
                <c:pt idx="85">
                  <c:v>1.35</c:v>
                </c:pt>
                <c:pt idx="86">
                  <c:v>1.33</c:v>
                </c:pt>
                <c:pt idx="87">
                  <c:v>1.29</c:v>
                </c:pt>
                <c:pt idx="88">
                  <c:v>1.29</c:v>
                </c:pt>
                <c:pt idx="89">
                  <c:v>1.27</c:v>
                </c:pt>
                <c:pt idx="90">
                  <c:v>1.33</c:v>
                </c:pt>
                <c:pt idx="91">
                  <c:v>1.33</c:v>
                </c:pt>
                <c:pt idx="92">
                  <c:v>1.32</c:v>
                </c:pt>
                <c:pt idx="93">
                  <c:v>1.29</c:v>
                </c:pt>
                <c:pt idx="94">
                  <c:v>1.29</c:v>
                </c:pt>
                <c:pt idx="95">
                  <c:v>1.27</c:v>
                </c:pt>
              </c:numCache>
            </c:numRef>
          </c:xVal>
          <c:yVal>
            <c:numRef>
              <c:f>'Лист3 - Итог'!$T$4:$T$99</c:f>
              <c:numCache>
                <c:formatCode>General</c:formatCode>
                <c:ptCount val="96"/>
                <c:pt idx="0">
                  <c:v>4.9811701740661019E-4</c:v>
                </c:pt>
                <c:pt idx="1">
                  <c:v>0.12540354174809587</c:v>
                </c:pt>
                <c:pt idx="2">
                  <c:v>0.22500603819650888</c:v>
                </c:pt>
                <c:pt idx="3">
                  <c:v>0.39802684133809768</c:v>
                </c:pt>
                <c:pt idx="4">
                  <c:v>-7.009397670728687E-2</c:v>
                </c:pt>
                <c:pt idx="5">
                  <c:v>-0.2608661806559105</c:v>
                </c:pt>
                <c:pt idx="6">
                  <c:v>-8.1178390595169597E-2</c:v>
                </c:pt>
                <c:pt idx="7">
                  <c:v>0.34483569000829084</c:v>
                </c:pt>
                <c:pt idx="8">
                  <c:v>-0.29430825126109611</c:v>
                </c:pt>
                <c:pt idx="9">
                  <c:v>-0.1023620999716775</c:v>
                </c:pt>
                <c:pt idx="10">
                  <c:v>-0.44996211602839881</c:v>
                </c:pt>
                <c:pt idx="11">
                  <c:v>-0.20898155906681004</c:v>
                </c:pt>
                <c:pt idx="12">
                  <c:v>2.0682467081921535E-2</c:v>
                </c:pt>
                <c:pt idx="13">
                  <c:v>-0.23492386986135982</c:v>
                </c:pt>
                <c:pt idx="14">
                  <c:v>-2.9293769006068254E-2</c:v>
                </c:pt>
                <c:pt idx="15">
                  <c:v>9.5294484223755971E-2</c:v>
                </c:pt>
                <c:pt idx="16">
                  <c:v>-0.2093462583916951</c:v>
                </c:pt>
                <c:pt idx="17">
                  <c:v>-0.10331865398481563</c:v>
                </c:pt>
                <c:pt idx="18">
                  <c:v>-0.12364846244678697</c:v>
                </c:pt>
                <c:pt idx="19">
                  <c:v>-0.24228536456737054</c:v>
                </c:pt>
                <c:pt idx="20">
                  <c:v>-5.04622726785878E-2</c:v>
                </c:pt>
                <c:pt idx="21">
                  <c:v>-0.10744146953699987</c:v>
                </c:pt>
                <c:pt idx="22">
                  <c:v>0.16027120472426803</c:v>
                </c:pt>
                <c:pt idx="23">
                  <c:v>7.9672923809598339E-4</c:v>
                </c:pt>
                <c:pt idx="24">
                  <c:v>-0.49002724237513245</c:v>
                </c:pt>
                <c:pt idx="25">
                  <c:v>-9.7403942785130593E-2</c:v>
                </c:pt>
                <c:pt idx="26">
                  <c:v>-0.61083721211206399</c:v>
                </c:pt>
                <c:pt idx="27">
                  <c:v>-0.4381426207860315</c:v>
                </c:pt>
                <c:pt idx="28">
                  <c:v>-0.24808109108571377</c:v>
                </c:pt>
                <c:pt idx="29">
                  <c:v>-0.33022135447536116</c:v>
                </c:pt>
                <c:pt idx="30">
                  <c:v>-5.1087892351004971E-2</c:v>
                </c:pt>
                <c:pt idx="31">
                  <c:v>-0.31520711125677242</c:v>
                </c:pt>
                <c:pt idx="32">
                  <c:v>-4.5292165832661657E-2</c:v>
                </c:pt>
                <c:pt idx="33">
                  <c:v>1.7293367969032691E-2</c:v>
                </c:pt>
                <c:pt idx="34">
                  <c:v>-0.11732337169796994</c:v>
                </c:pt>
                <c:pt idx="35">
                  <c:v>0.22350500487713254</c:v>
                </c:pt>
                <c:pt idx="36">
                  <c:v>-3.9960590603623225E-2</c:v>
                </c:pt>
                <c:pt idx="37">
                  <c:v>-0.3064334654225489</c:v>
                </c:pt>
                <c:pt idx="38">
                  <c:v>-0.21294362795690325</c:v>
                </c:pt>
                <c:pt idx="39">
                  <c:v>0.76690930969401117</c:v>
                </c:pt>
                <c:pt idx="40">
                  <c:v>-8.4330250711892096E-2</c:v>
                </c:pt>
                <c:pt idx="41">
                  <c:v>-0.65239954012911028</c:v>
                </c:pt>
                <c:pt idx="42">
                  <c:v>-0.6009124220915959</c:v>
                </c:pt>
                <c:pt idx="43">
                  <c:v>0.35460342064131289</c:v>
                </c:pt>
                <c:pt idx="44">
                  <c:v>-3.7388740965164091E-3</c:v>
                </c:pt>
                <c:pt idx="45">
                  <c:v>0.19796019763416939</c:v>
                </c:pt>
                <c:pt idx="46">
                  <c:v>1.4977160280888802E-2</c:v>
                </c:pt>
                <c:pt idx="47">
                  <c:v>-0.25885721327783734</c:v>
                </c:pt>
                <c:pt idx="48">
                  <c:v>-0.47981400632741589</c:v>
                </c:pt>
                <c:pt idx="49">
                  <c:v>7.8945955193803097E-2</c:v>
                </c:pt>
                <c:pt idx="50">
                  <c:v>9.2804092664540372E-2</c:v>
                </c:pt>
                <c:pt idx="51">
                  <c:v>-0.299089091166374</c:v>
                </c:pt>
                <c:pt idx="52">
                  <c:v>7.8519965205039122E-2</c:v>
                </c:pt>
                <c:pt idx="53">
                  <c:v>-0.10448763976400462</c:v>
                </c:pt>
                <c:pt idx="54">
                  <c:v>-3.3514582115180269E-3</c:v>
                </c:pt>
                <c:pt idx="55">
                  <c:v>1.4071432065247413E-3</c:v>
                </c:pt>
                <c:pt idx="56">
                  <c:v>-0.17834217655453477</c:v>
                </c:pt>
                <c:pt idx="57">
                  <c:v>-7.9270005094057586E-2</c:v>
                </c:pt>
                <c:pt idx="58">
                  <c:v>0.47226888060806199</c:v>
                </c:pt>
                <c:pt idx="59">
                  <c:v>-0.12639602526511573</c:v>
                </c:pt>
                <c:pt idx="60">
                  <c:v>9.5294484223755971E-2</c:v>
                </c:pt>
                <c:pt idx="61">
                  <c:v>0.11932840951719553</c:v>
                </c:pt>
                <c:pt idx="62">
                  <c:v>0.18335329449594423</c:v>
                </c:pt>
                <c:pt idx="63">
                  <c:v>0.20132208863063544</c:v>
                </c:pt>
                <c:pt idx="64">
                  <c:v>0.1282537576650262</c:v>
                </c:pt>
                <c:pt idx="65">
                  <c:v>0.11326327835844857</c:v>
                </c:pt>
                <c:pt idx="66">
                  <c:v>0.14683337395966634</c:v>
                </c:pt>
                <c:pt idx="67">
                  <c:v>-1.9374818744022804E-2</c:v>
                </c:pt>
                <c:pt idx="68">
                  <c:v>0.38099011961730267</c:v>
                </c:pt>
                <c:pt idx="69">
                  <c:v>8.4394424434179438E-2</c:v>
                </c:pt>
                <c:pt idx="70">
                  <c:v>0.22993923167714347</c:v>
                </c:pt>
                <c:pt idx="71">
                  <c:v>-2.488089944121652E-2</c:v>
                </c:pt>
                <c:pt idx="72">
                  <c:v>0.57879328808894348</c:v>
                </c:pt>
                <c:pt idx="73">
                  <c:v>-0.38276936152518581</c:v>
                </c:pt>
                <c:pt idx="74">
                  <c:v>0.2403129713167198</c:v>
                </c:pt>
                <c:pt idx="75">
                  <c:v>4.8078374000053659E-2</c:v>
                </c:pt>
                <c:pt idx="76">
                  <c:v>-3.8062475890476843E-3</c:v>
                </c:pt>
                <c:pt idx="77">
                  <c:v>0.16207477254162361</c:v>
                </c:pt>
                <c:pt idx="78">
                  <c:v>0.29260533656599896</c:v>
                </c:pt>
                <c:pt idx="79">
                  <c:v>0.73093867354978226</c:v>
                </c:pt>
                <c:pt idx="80">
                  <c:v>0.2770466100073824</c:v>
                </c:pt>
                <c:pt idx="81">
                  <c:v>0.26423392084232011</c:v>
                </c:pt>
                <c:pt idx="82">
                  <c:v>-0.20360677438118879</c:v>
                </c:pt>
                <c:pt idx="83">
                  <c:v>0.66916310948501989</c:v>
                </c:pt>
                <c:pt idx="84">
                  <c:v>0.67905405196068136</c:v>
                </c:pt>
                <c:pt idx="85">
                  <c:v>-2.8061967138225508E-2</c:v>
                </c:pt>
                <c:pt idx="86">
                  <c:v>0.33541763021882787</c:v>
                </c:pt>
                <c:pt idx="87">
                  <c:v>-0.17722943328318408</c:v>
                </c:pt>
                <c:pt idx="88">
                  <c:v>9.8689113599356393E-2</c:v>
                </c:pt>
                <c:pt idx="89">
                  <c:v>-0.61039682070097978</c:v>
                </c:pt>
                <c:pt idx="90">
                  <c:v>0.84725472398390789</c:v>
                </c:pt>
                <c:pt idx="91">
                  <c:v>0.33541763021882787</c:v>
                </c:pt>
                <c:pt idx="92">
                  <c:v>-9.9402500899532509E-2</c:v>
                </c:pt>
                <c:pt idx="93">
                  <c:v>-0.32667510534679889</c:v>
                </c:pt>
                <c:pt idx="94">
                  <c:v>-0.11253212252902078</c:v>
                </c:pt>
                <c:pt idx="95">
                  <c:v>-0.18090314274046626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D46-487C-9B22-0745A3AF1D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8173359"/>
        <c:axId val="408173775"/>
      </c:scatterChart>
      <c:valAx>
        <c:axId val="4081733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Аспект (Ш/В)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08173775"/>
        <c:crosses val="autoZero"/>
        <c:crossBetween val="midCat"/>
      </c:valAx>
      <c:valAx>
        <c:axId val="40817377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Остатки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08173359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Качество фото График остатков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'Лист3 - Итог'!$D$2:$D$97</c:f>
              <c:numCache>
                <c:formatCode>General</c:formatCode>
                <c:ptCount val="9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3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2</c:v>
                </c:pt>
                <c:pt idx="30">
                  <c:v>1</c:v>
                </c:pt>
                <c:pt idx="31">
                  <c:v>1</c:v>
                </c:pt>
                <c:pt idx="32">
                  <c:v>2</c:v>
                </c:pt>
                <c:pt idx="33">
                  <c:v>2</c:v>
                </c:pt>
                <c:pt idx="34">
                  <c:v>3</c:v>
                </c:pt>
                <c:pt idx="35">
                  <c:v>1</c:v>
                </c:pt>
                <c:pt idx="36">
                  <c:v>2</c:v>
                </c:pt>
                <c:pt idx="37">
                  <c:v>1</c:v>
                </c:pt>
                <c:pt idx="38">
                  <c:v>2</c:v>
                </c:pt>
                <c:pt idx="39">
                  <c:v>1</c:v>
                </c:pt>
                <c:pt idx="40">
                  <c:v>3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2</c:v>
                </c:pt>
                <c:pt idx="52">
                  <c:v>3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2</c:v>
                </c:pt>
                <c:pt idx="61">
                  <c:v>2</c:v>
                </c:pt>
                <c:pt idx="62">
                  <c:v>1</c:v>
                </c:pt>
                <c:pt idx="63">
                  <c:v>2</c:v>
                </c:pt>
                <c:pt idx="64">
                  <c:v>2</c:v>
                </c:pt>
                <c:pt idx="65">
                  <c:v>3</c:v>
                </c:pt>
                <c:pt idx="66">
                  <c:v>2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2</c:v>
                </c:pt>
                <c:pt idx="78">
                  <c:v>3</c:v>
                </c:pt>
                <c:pt idx="79">
                  <c:v>1</c:v>
                </c:pt>
                <c:pt idx="80">
                  <c:v>2</c:v>
                </c:pt>
                <c:pt idx="81">
                  <c:v>1</c:v>
                </c:pt>
                <c:pt idx="82">
                  <c:v>2</c:v>
                </c:pt>
                <c:pt idx="83">
                  <c:v>1</c:v>
                </c:pt>
                <c:pt idx="84">
                  <c:v>1</c:v>
                </c:pt>
                <c:pt idx="85">
                  <c:v>2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2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2</c:v>
                </c:pt>
                <c:pt idx="94">
                  <c:v>2</c:v>
                </c:pt>
                <c:pt idx="95">
                  <c:v>3</c:v>
                </c:pt>
              </c:numCache>
            </c:numRef>
          </c:xVal>
          <c:yVal>
            <c:numRef>
              <c:f>'Лист3 - Итог'!$T$4:$T$99</c:f>
              <c:numCache>
                <c:formatCode>General</c:formatCode>
                <c:ptCount val="96"/>
                <c:pt idx="0">
                  <c:v>4.9811701740661019E-4</c:v>
                </c:pt>
                <c:pt idx="1">
                  <c:v>0.12540354174809587</c:v>
                </c:pt>
                <c:pt idx="2">
                  <c:v>0.22500603819650888</c:v>
                </c:pt>
                <c:pt idx="3">
                  <c:v>0.39802684133809768</c:v>
                </c:pt>
                <c:pt idx="4">
                  <c:v>-7.009397670728687E-2</c:v>
                </c:pt>
                <c:pt idx="5">
                  <c:v>-0.2608661806559105</c:v>
                </c:pt>
                <c:pt idx="6">
                  <c:v>-8.1178390595169597E-2</c:v>
                </c:pt>
                <c:pt idx="7">
                  <c:v>0.34483569000829084</c:v>
                </c:pt>
                <c:pt idx="8">
                  <c:v>-0.29430825126109611</c:v>
                </c:pt>
                <c:pt idx="9">
                  <c:v>-0.1023620999716775</c:v>
                </c:pt>
                <c:pt idx="10">
                  <c:v>-0.44996211602839881</c:v>
                </c:pt>
                <c:pt idx="11">
                  <c:v>-0.20898155906681004</c:v>
                </c:pt>
                <c:pt idx="12">
                  <c:v>2.0682467081921535E-2</c:v>
                </c:pt>
                <c:pt idx="13">
                  <c:v>-0.23492386986135982</c:v>
                </c:pt>
                <c:pt idx="14">
                  <c:v>-2.9293769006068254E-2</c:v>
                </c:pt>
                <c:pt idx="15">
                  <c:v>9.5294484223755971E-2</c:v>
                </c:pt>
                <c:pt idx="16">
                  <c:v>-0.2093462583916951</c:v>
                </c:pt>
                <c:pt idx="17">
                  <c:v>-0.10331865398481563</c:v>
                </c:pt>
                <c:pt idx="18">
                  <c:v>-0.12364846244678697</c:v>
                </c:pt>
                <c:pt idx="19">
                  <c:v>-0.24228536456737054</c:v>
                </c:pt>
                <c:pt idx="20">
                  <c:v>-5.04622726785878E-2</c:v>
                </c:pt>
                <c:pt idx="21">
                  <c:v>-0.10744146953699987</c:v>
                </c:pt>
                <c:pt idx="22">
                  <c:v>0.16027120472426803</c:v>
                </c:pt>
                <c:pt idx="23">
                  <c:v>7.9672923809598339E-4</c:v>
                </c:pt>
                <c:pt idx="24">
                  <c:v>-0.49002724237513245</c:v>
                </c:pt>
                <c:pt idx="25">
                  <c:v>-9.7403942785130593E-2</c:v>
                </c:pt>
                <c:pt idx="26">
                  <c:v>-0.61083721211206399</c:v>
                </c:pt>
                <c:pt idx="27">
                  <c:v>-0.4381426207860315</c:v>
                </c:pt>
                <c:pt idx="28">
                  <c:v>-0.24808109108571377</c:v>
                </c:pt>
                <c:pt idx="29">
                  <c:v>-0.33022135447536116</c:v>
                </c:pt>
                <c:pt idx="30">
                  <c:v>-5.1087892351004971E-2</c:v>
                </c:pt>
                <c:pt idx="31">
                  <c:v>-0.31520711125677242</c:v>
                </c:pt>
                <c:pt idx="32">
                  <c:v>-4.5292165832661657E-2</c:v>
                </c:pt>
                <c:pt idx="33">
                  <c:v>1.7293367969032691E-2</c:v>
                </c:pt>
                <c:pt idx="34">
                  <c:v>-0.11732337169796994</c:v>
                </c:pt>
                <c:pt idx="35">
                  <c:v>0.22350500487713254</c:v>
                </c:pt>
                <c:pt idx="36">
                  <c:v>-3.9960590603623225E-2</c:v>
                </c:pt>
                <c:pt idx="37">
                  <c:v>-0.3064334654225489</c:v>
                </c:pt>
                <c:pt idx="38">
                  <c:v>-0.21294362795690325</c:v>
                </c:pt>
                <c:pt idx="39">
                  <c:v>0.76690930969401117</c:v>
                </c:pt>
                <c:pt idx="40">
                  <c:v>-8.4330250711892096E-2</c:v>
                </c:pt>
                <c:pt idx="41">
                  <c:v>-0.65239954012911028</c:v>
                </c:pt>
                <c:pt idx="42">
                  <c:v>-0.6009124220915959</c:v>
                </c:pt>
                <c:pt idx="43">
                  <c:v>0.35460342064131289</c:v>
                </c:pt>
                <c:pt idx="44">
                  <c:v>-3.7388740965164091E-3</c:v>
                </c:pt>
                <c:pt idx="45">
                  <c:v>0.19796019763416939</c:v>
                </c:pt>
                <c:pt idx="46">
                  <c:v>1.4977160280888802E-2</c:v>
                </c:pt>
                <c:pt idx="47">
                  <c:v>-0.25885721327783734</c:v>
                </c:pt>
                <c:pt idx="48">
                  <c:v>-0.47981400632741589</c:v>
                </c:pt>
                <c:pt idx="49">
                  <c:v>7.8945955193803097E-2</c:v>
                </c:pt>
                <c:pt idx="50">
                  <c:v>9.2804092664540372E-2</c:v>
                </c:pt>
                <c:pt idx="51">
                  <c:v>-0.299089091166374</c:v>
                </c:pt>
                <c:pt idx="52">
                  <c:v>7.8519965205039122E-2</c:v>
                </c:pt>
                <c:pt idx="53">
                  <c:v>-0.10448763976400462</c:v>
                </c:pt>
                <c:pt idx="54">
                  <c:v>-3.3514582115180269E-3</c:v>
                </c:pt>
                <c:pt idx="55">
                  <c:v>1.4071432065247413E-3</c:v>
                </c:pt>
                <c:pt idx="56">
                  <c:v>-0.17834217655453477</c:v>
                </c:pt>
                <c:pt idx="57">
                  <c:v>-7.9270005094057586E-2</c:v>
                </c:pt>
                <c:pt idx="58">
                  <c:v>0.47226888060806199</c:v>
                </c:pt>
                <c:pt idx="59">
                  <c:v>-0.12639602526511573</c:v>
                </c:pt>
                <c:pt idx="60">
                  <c:v>9.5294484223755971E-2</c:v>
                </c:pt>
                <c:pt idx="61">
                  <c:v>0.11932840951719553</c:v>
                </c:pt>
                <c:pt idx="62">
                  <c:v>0.18335329449594423</c:v>
                </c:pt>
                <c:pt idx="63">
                  <c:v>0.20132208863063544</c:v>
                </c:pt>
                <c:pt idx="64">
                  <c:v>0.1282537576650262</c:v>
                </c:pt>
                <c:pt idx="65">
                  <c:v>0.11326327835844857</c:v>
                </c:pt>
                <c:pt idx="66">
                  <c:v>0.14683337395966634</c:v>
                </c:pt>
                <c:pt idx="67">
                  <c:v>-1.9374818744022804E-2</c:v>
                </c:pt>
                <c:pt idx="68">
                  <c:v>0.38099011961730267</c:v>
                </c:pt>
                <c:pt idx="69">
                  <c:v>8.4394424434179438E-2</c:v>
                </c:pt>
                <c:pt idx="70">
                  <c:v>0.22993923167714347</c:v>
                </c:pt>
                <c:pt idx="71">
                  <c:v>-2.488089944121652E-2</c:v>
                </c:pt>
                <c:pt idx="72">
                  <c:v>0.57879328808894348</c:v>
                </c:pt>
                <c:pt idx="73">
                  <c:v>-0.38276936152518581</c:v>
                </c:pt>
                <c:pt idx="74">
                  <c:v>0.2403129713167198</c:v>
                </c:pt>
                <c:pt idx="75">
                  <c:v>4.8078374000053659E-2</c:v>
                </c:pt>
                <c:pt idx="76">
                  <c:v>-3.8062475890476843E-3</c:v>
                </c:pt>
                <c:pt idx="77">
                  <c:v>0.16207477254162361</c:v>
                </c:pt>
                <c:pt idx="78">
                  <c:v>0.29260533656599896</c:v>
                </c:pt>
                <c:pt idx="79">
                  <c:v>0.73093867354978226</c:v>
                </c:pt>
                <c:pt idx="80">
                  <c:v>0.2770466100073824</c:v>
                </c:pt>
                <c:pt idx="81">
                  <c:v>0.26423392084232011</c:v>
                </c:pt>
                <c:pt idx="82">
                  <c:v>-0.20360677438118879</c:v>
                </c:pt>
                <c:pt idx="83">
                  <c:v>0.66916310948501989</c:v>
                </c:pt>
                <c:pt idx="84">
                  <c:v>0.67905405196068136</c:v>
                </c:pt>
                <c:pt idx="85">
                  <c:v>-2.8061967138225508E-2</c:v>
                </c:pt>
                <c:pt idx="86">
                  <c:v>0.33541763021882787</c:v>
                </c:pt>
                <c:pt idx="87">
                  <c:v>-0.17722943328318408</c:v>
                </c:pt>
                <c:pt idx="88">
                  <c:v>9.8689113599356393E-2</c:v>
                </c:pt>
                <c:pt idx="89">
                  <c:v>-0.61039682070097978</c:v>
                </c:pt>
                <c:pt idx="90">
                  <c:v>0.84725472398390789</c:v>
                </c:pt>
                <c:pt idx="91">
                  <c:v>0.33541763021882787</c:v>
                </c:pt>
                <c:pt idx="92">
                  <c:v>-9.9402500899532509E-2</c:v>
                </c:pt>
                <c:pt idx="93">
                  <c:v>-0.32667510534679889</c:v>
                </c:pt>
                <c:pt idx="94">
                  <c:v>-0.11253212252902078</c:v>
                </c:pt>
                <c:pt idx="95">
                  <c:v>-0.18090314274046626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702-41E6-AC52-16D1C80603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8173359"/>
        <c:axId val="408174191"/>
      </c:scatterChart>
      <c:valAx>
        <c:axId val="4081733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Качество фото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08174191"/>
        <c:crosses val="autoZero"/>
        <c:crossBetween val="midCat"/>
      </c:valAx>
      <c:valAx>
        <c:axId val="40817419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Остатки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08173359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Ширина (%) График подбора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Абс дист</c:v>
          </c:tx>
          <c:spPr>
            <a:ln w="19050">
              <a:noFill/>
            </a:ln>
          </c:spPr>
          <c:xVal>
            <c:numRef>
              <c:f>'Лист3 - Итог'!$B$2:$B$97</c:f>
              <c:numCache>
                <c:formatCode>General</c:formatCode>
                <c:ptCount val="96"/>
                <c:pt idx="0">
                  <c:v>13.59</c:v>
                </c:pt>
                <c:pt idx="1">
                  <c:v>13.81</c:v>
                </c:pt>
                <c:pt idx="2">
                  <c:v>13.84</c:v>
                </c:pt>
                <c:pt idx="3">
                  <c:v>14.06</c:v>
                </c:pt>
                <c:pt idx="4">
                  <c:v>13.44</c:v>
                </c:pt>
                <c:pt idx="5">
                  <c:v>13.76</c:v>
                </c:pt>
                <c:pt idx="6">
                  <c:v>13.86</c:v>
                </c:pt>
                <c:pt idx="7">
                  <c:v>13.84</c:v>
                </c:pt>
                <c:pt idx="8">
                  <c:v>13.67</c:v>
                </c:pt>
                <c:pt idx="9">
                  <c:v>13.84</c:v>
                </c:pt>
                <c:pt idx="10">
                  <c:v>13.67</c:v>
                </c:pt>
                <c:pt idx="11">
                  <c:v>13.76</c:v>
                </c:pt>
                <c:pt idx="12">
                  <c:v>13.96</c:v>
                </c:pt>
                <c:pt idx="13">
                  <c:v>13.76</c:v>
                </c:pt>
                <c:pt idx="14">
                  <c:v>13.86</c:v>
                </c:pt>
                <c:pt idx="15">
                  <c:v>13.84</c:v>
                </c:pt>
                <c:pt idx="16">
                  <c:v>13.72</c:v>
                </c:pt>
                <c:pt idx="17">
                  <c:v>13.79</c:v>
                </c:pt>
                <c:pt idx="18">
                  <c:v>9.1</c:v>
                </c:pt>
                <c:pt idx="19">
                  <c:v>9.15</c:v>
                </c:pt>
                <c:pt idx="20">
                  <c:v>8.98</c:v>
                </c:pt>
                <c:pt idx="21">
                  <c:v>9.1999999999999993</c:v>
                </c:pt>
                <c:pt idx="22">
                  <c:v>8.75</c:v>
                </c:pt>
                <c:pt idx="23">
                  <c:v>9.4</c:v>
                </c:pt>
                <c:pt idx="24">
                  <c:v>9.08</c:v>
                </c:pt>
                <c:pt idx="25">
                  <c:v>9.33</c:v>
                </c:pt>
                <c:pt idx="26">
                  <c:v>9.1300000000000008</c:v>
                </c:pt>
                <c:pt idx="27">
                  <c:v>9.08</c:v>
                </c:pt>
                <c:pt idx="28">
                  <c:v>9.25</c:v>
                </c:pt>
                <c:pt idx="29">
                  <c:v>9.18</c:v>
                </c:pt>
                <c:pt idx="30">
                  <c:v>9.4</c:v>
                </c:pt>
                <c:pt idx="31">
                  <c:v>9.23</c:v>
                </c:pt>
                <c:pt idx="32">
                  <c:v>9.3000000000000007</c:v>
                </c:pt>
                <c:pt idx="33">
                  <c:v>9.2799999999999994</c:v>
                </c:pt>
                <c:pt idx="34">
                  <c:v>9.1999999999999993</c:v>
                </c:pt>
                <c:pt idx="35">
                  <c:v>6.5</c:v>
                </c:pt>
                <c:pt idx="36">
                  <c:v>6.65</c:v>
                </c:pt>
                <c:pt idx="37">
                  <c:v>6.67</c:v>
                </c:pt>
                <c:pt idx="38">
                  <c:v>6.7</c:v>
                </c:pt>
                <c:pt idx="39">
                  <c:v>6.32</c:v>
                </c:pt>
                <c:pt idx="40">
                  <c:v>6.89</c:v>
                </c:pt>
                <c:pt idx="41">
                  <c:v>6.77</c:v>
                </c:pt>
                <c:pt idx="42">
                  <c:v>6.8</c:v>
                </c:pt>
                <c:pt idx="43">
                  <c:v>6.45</c:v>
                </c:pt>
                <c:pt idx="44">
                  <c:v>6.62</c:v>
                </c:pt>
                <c:pt idx="45">
                  <c:v>6.47</c:v>
                </c:pt>
                <c:pt idx="46">
                  <c:v>6.52</c:v>
                </c:pt>
                <c:pt idx="47">
                  <c:v>6.94</c:v>
                </c:pt>
                <c:pt idx="48">
                  <c:v>6.75</c:v>
                </c:pt>
                <c:pt idx="49">
                  <c:v>7.04</c:v>
                </c:pt>
                <c:pt idx="50">
                  <c:v>6.52</c:v>
                </c:pt>
                <c:pt idx="51">
                  <c:v>6.77</c:v>
                </c:pt>
                <c:pt idx="52">
                  <c:v>6.97</c:v>
                </c:pt>
                <c:pt idx="53">
                  <c:v>13.64</c:v>
                </c:pt>
                <c:pt idx="54">
                  <c:v>13.86</c:v>
                </c:pt>
                <c:pt idx="55">
                  <c:v>13.84</c:v>
                </c:pt>
                <c:pt idx="56">
                  <c:v>13.57</c:v>
                </c:pt>
                <c:pt idx="57">
                  <c:v>13.76</c:v>
                </c:pt>
                <c:pt idx="58">
                  <c:v>14.43</c:v>
                </c:pt>
                <c:pt idx="59">
                  <c:v>13.74</c:v>
                </c:pt>
                <c:pt idx="60">
                  <c:v>13.84</c:v>
                </c:pt>
                <c:pt idx="61">
                  <c:v>13.94</c:v>
                </c:pt>
                <c:pt idx="62">
                  <c:v>14.01</c:v>
                </c:pt>
                <c:pt idx="63">
                  <c:v>13.91</c:v>
                </c:pt>
                <c:pt idx="64">
                  <c:v>13.89</c:v>
                </c:pt>
                <c:pt idx="65">
                  <c:v>13.74</c:v>
                </c:pt>
                <c:pt idx="66">
                  <c:v>9.5</c:v>
                </c:pt>
                <c:pt idx="67">
                  <c:v>9.6199999999999992</c:v>
                </c:pt>
                <c:pt idx="68">
                  <c:v>9.8000000000000007</c:v>
                </c:pt>
                <c:pt idx="69">
                  <c:v>9.6199999999999992</c:v>
                </c:pt>
                <c:pt idx="70">
                  <c:v>9.65</c:v>
                </c:pt>
                <c:pt idx="71">
                  <c:v>9.5</c:v>
                </c:pt>
                <c:pt idx="72">
                  <c:v>9.9</c:v>
                </c:pt>
                <c:pt idx="73">
                  <c:v>9.33</c:v>
                </c:pt>
                <c:pt idx="74">
                  <c:v>9.7200000000000006</c:v>
                </c:pt>
                <c:pt idx="75">
                  <c:v>9.5500000000000007</c:v>
                </c:pt>
                <c:pt idx="76">
                  <c:v>9.5500000000000007</c:v>
                </c:pt>
                <c:pt idx="77">
                  <c:v>9.52</c:v>
                </c:pt>
                <c:pt idx="78">
                  <c:v>9.5</c:v>
                </c:pt>
                <c:pt idx="79">
                  <c:v>7.37</c:v>
                </c:pt>
                <c:pt idx="80">
                  <c:v>7.17</c:v>
                </c:pt>
                <c:pt idx="81">
                  <c:v>7.22</c:v>
                </c:pt>
                <c:pt idx="82">
                  <c:v>6.99</c:v>
                </c:pt>
                <c:pt idx="83">
                  <c:v>7.34</c:v>
                </c:pt>
                <c:pt idx="84">
                  <c:v>7.37</c:v>
                </c:pt>
                <c:pt idx="85">
                  <c:v>7.02</c:v>
                </c:pt>
                <c:pt idx="86">
                  <c:v>7.24</c:v>
                </c:pt>
                <c:pt idx="87">
                  <c:v>7.09</c:v>
                </c:pt>
                <c:pt idx="88">
                  <c:v>7.19</c:v>
                </c:pt>
                <c:pt idx="89">
                  <c:v>6.77</c:v>
                </c:pt>
                <c:pt idx="90">
                  <c:v>7.44</c:v>
                </c:pt>
                <c:pt idx="91">
                  <c:v>7.24</c:v>
                </c:pt>
                <c:pt idx="92">
                  <c:v>7.09</c:v>
                </c:pt>
                <c:pt idx="93">
                  <c:v>6.97</c:v>
                </c:pt>
                <c:pt idx="94">
                  <c:v>7.04</c:v>
                </c:pt>
                <c:pt idx="95">
                  <c:v>6.97</c:v>
                </c:pt>
              </c:numCache>
            </c:numRef>
          </c:xVal>
          <c:yVal>
            <c:numRef>
              <c:f>'Лист3 - Итог'!$E$2:$E$97</c:f>
              <c:numCache>
                <c:formatCode>General</c:formatCode>
                <c:ptCount val="96"/>
                <c:pt idx="0">
                  <c:v>0.05</c:v>
                </c:pt>
                <c:pt idx="1">
                  <c:v>0.11</c:v>
                </c:pt>
                <c:pt idx="2">
                  <c:v>0.13</c:v>
                </c:pt>
                <c:pt idx="3">
                  <c:v>0.28999999999999998</c:v>
                </c:pt>
                <c:pt idx="4">
                  <c:v>0.16</c:v>
                </c:pt>
                <c:pt idx="5">
                  <c:v>0.08</c:v>
                </c:pt>
                <c:pt idx="6">
                  <c:v>0.15</c:v>
                </c:pt>
                <c:pt idx="7">
                  <c:v>0.13</c:v>
                </c:pt>
                <c:pt idx="8">
                  <c:v>0</c:v>
                </c:pt>
                <c:pt idx="9">
                  <c:v>0.13</c:v>
                </c:pt>
                <c:pt idx="10">
                  <c:v>0</c:v>
                </c:pt>
                <c:pt idx="11">
                  <c:v>0.08</c:v>
                </c:pt>
                <c:pt idx="12">
                  <c:v>0.22</c:v>
                </c:pt>
                <c:pt idx="13">
                  <c:v>0.08</c:v>
                </c:pt>
                <c:pt idx="14">
                  <c:v>0.15</c:v>
                </c:pt>
                <c:pt idx="15">
                  <c:v>0.13</c:v>
                </c:pt>
                <c:pt idx="16">
                  <c:v>0.04</c:v>
                </c:pt>
                <c:pt idx="17">
                  <c:v>0.09</c:v>
                </c:pt>
                <c:pt idx="18">
                  <c:v>0.01</c:v>
                </c:pt>
                <c:pt idx="19">
                  <c:v>7.0000000000000007E-2</c:v>
                </c:pt>
                <c:pt idx="20">
                  <c:v>0.22</c:v>
                </c:pt>
                <c:pt idx="21">
                  <c:v>0.15</c:v>
                </c:pt>
                <c:pt idx="22">
                  <c:v>0.6</c:v>
                </c:pt>
                <c:pt idx="23">
                  <c:v>0.47</c:v>
                </c:pt>
                <c:pt idx="24">
                  <c:v>0.05</c:v>
                </c:pt>
                <c:pt idx="25">
                  <c:v>0.35</c:v>
                </c:pt>
                <c:pt idx="26">
                  <c:v>0.03</c:v>
                </c:pt>
                <c:pt idx="27">
                  <c:v>0.05</c:v>
                </c:pt>
                <c:pt idx="28">
                  <c:v>0.23</c:v>
                </c:pt>
                <c:pt idx="29">
                  <c:v>0.11</c:v>
                </c:pt>
                <c:pt idx="30">
                  <c:v>0.47</c:v>
                </c:pt>
                <c:pt idx="31">
                  <c:v>0.19</c:v>
                </c:pt>
                <c:pt idx="32">
                  <c:v>0.31</c:v>
                </c:pt>
                <c:pt idx="33">
                  <c:v>0.27</c:v>
                </c:pt>
                <c:pt idx="34">
                  <c:v>0.15</c:v>
                </c:pt>
                <c:pt idx="35">
                  <c:v>1.02</c:v>
                </c:pt>
                <c:pt idx="36">
                  <c:v>0.55000000000000004</c:v>
                </c:pt>
                <c:pt idx="37">
                  <c:v>0.48</c:v>
                </c:pt>
                <c:pt idx="38">
                  <c:v>0.4</c:v>
                </c:pt>
                <c:pt idx="39">
                  <c:v>1.6</c:v>
                </c:pt>
                <c:pt idx="40">
                  <c:v>0.19</c:v>
                </c:pt>
                <c:pt idx="41">
                  <c:v>0.18</c:v>
                </c:pt>
                <c:pt idx="42">
                  <c:v>0.1</c:v>
                </c:pt>
                <c:pt idx="43">
                  <c:v>1.18</c:v>
                </c:pt>
                <c:pt idx="44">
                  <c:v>0.63</c:v>
                </c:pt>
                <c:pt idx="45">
                  <c:v>1.1000000000000001</c:v>
                </c:pt>
                <c:pt idx="46">
                  <c:v>0.94</c:v>
                </c:pt>
                <c:pt idx="47">
                  <c:v>0.33</c:v>
                </c:pt>
                <c:pt idx="48">
                  <c:v>0.25</c:v>
                </c:pt>
                <c:pt idx="49">
                  <c:v>0.61</c:v>
                </c:pt>
                <c:pt idx="50">
                  <c:v>0.94</c:v>
                </c:pt>
                <c:pt idx="51">
                  <c:v>0.18</c:v>
                </c:pt>
                <c:pt idx="52">
                  <c:v>0.4</c:v>
                </c:pt>
                <c:pt idx="53">
                  <c:v>0.01</c:v>
                </c:pt>
                <c:pt idx="54">
                  <c:v>0.15</c:v>
                </c:pt>
                <c:pt idx="55">
                  <c:v>0.13</c:v>
                </c:pt>
                <c:pt idx="56">
                  <c:v>7.0000000000000007E-2</c:v>
                </c:pt>
                <c:pt idx="57">
                  <c:v>0.08</c:v>
                </c:pt>
                <c:pt idx="58">
                  <c:v>0.54</c:v>
                </c:pt>
                <c:pt idx="59">
                  <c:v>0.06</c:v>
                </c:pt>
                <c:pt idx="60">
                  <c:v>0.13</c:v>
                </c:pt>
                <c:pt idx="61">
                  <c:v>0.2</c:v>
                </c:pt>
                <c:pt idx="62">
                  <c:v>0.25</c:v>
                </c:pt>
                <c:pt idx="63">
                  <c:v>0.18</c:v>
                </c:pt>
                <c:pt idx="64">
                  <c:v>0.16</c:v>
                </c:pt>
                <c:pt idx="65">
                  <c:v>0.06</c:v>
                </c:pt>
                <c:pt idx="66">
                  <c:v>0.62</c:v>
                </c:pt>
                <c:pt idx="67">
                  <c:v>0.8</c:v>
                </c:pt>
                <c:pt idx="68">
                  <c:v>1.06</c:v>
                </c:pt>
                <c:pt idx="69">
                  <c:v>0.8</c:v>
                </c:pt>
                <c:pt idx="70">
                  <c:v>0.84</c:v>
                </c:pt>
                <c:pt idx="71">
                  <c:v>0.62</c:v>
                </c:pt>
                <c:pt idx="72">
                  <c:v>1.2</c:v>
                </c:pt>
                <c:pt idx="73">
                  <c:v>0.35</c:v>
                </c:pt>
                <c:pt idx="74">
                  <c:v>0.95</c:v>
                </c:pt>
                <c:pt idx="75">
                  <c:v>0.69</c:v>
                </c:pt>
                <c:pt idx="76">
                  <c:v>0.69</c:v>
                </c:pt>
                <c:pt idx="77">
                  <c:v>0.66</c:v>
                </c:pt>
                <c:pt idx="78">
                  <c:v>0.62</c:v>
                </c:pt>
                <c:pt idx="79">
                  <c:v>1.45</c:v>
                </c:pt>
                <c:pt idx="80">
                  <c:v>0.94</c:v>
                </c:pt>
                <c:pt idx="81">
                  <c:v>1.07</c:v>
                </c:pt>
                <c:pt idx="82">
                  <c:v>0.47</c:v>
                </c:pt>
                <c:pt idx="83">
                  <c:v>1.39</c:v>
                </c:pt>
                <c:pt idx="84">
                  <c:v>1.45</c:v>
                </c:pt>
                <c:pt idx="85">
                  <c:v>0.54</c:v>
                </c:pt>
                <c:pt idx="86">
                  <c:v>1.1399999999999999</c:v>
                </c:pt>
                <c:pt idx="87">
                  <c:v>0.74</c:v>
                </c:pt>
                <c:pt idx="88">
                  <c:v>1.01</c:v>
                </c:pt>
                <c:pt idx="89">
                  <c:v>0.18</c:v>
                </c:pt>
                <c:pt idx="90">
                  <c:v>1.64</c:v>
                </c:pt>
                <c:pt idx="91">
                  <c:v>1.1399999999999999</c:v>
                </c:pt>
                <c:pt idx="92">
                  <c:v>0.74</c:v>
                </c:pt>
                <c:pt idx="93">
                  <c:v>0.4</c:v>
                </c:pt>
                <c:pt idx="94">
                  <c:v>0.61</c:v>
                </c:pt>
                <c:pt idx="95">
                  <c:v>0.4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393-4617-8D7E-79A0E3C2A110}"/>
            </c:ext>
          </c:extLst>
        </c:ser>
        <c:ser>
          <c:idx val="1"/>
          <c:order val="1"/>
          <c:tx>
            <c:v>Предсказанное Абс дист</c:v>
          </c:tx>
          <c:spPr>
            <a:ln w="19050">
              <a:noFill/>
            </a:ln>
          </c:spPr>
          <c:xVal>
            <c:numRef>
              <c:f>'Лист3 - Итог'!$B$2:$B$97</c:f>
              <c:numCache>
                <c:formatCode>General</c:formatCode>
                <c:ptCount val="96"/>
                <c:pt idx="0">
                  <c:v>13.59</c:v>
                </c:pt>
                <c:pt idx="1">
                  <c:v>13.81</c:v>
                </c:pt>
                <c:pt idx="2">
                  <c:v>13.84</c:v>
                </c:pt>
                <c:pt idx="3">
                  <c:v>14.06</c:v>
                </c:pt>
                <c:pt idx="4">
                  <c:v>13.44</c:v>
                </c:pt>
                <c:pt idx="5">
                  <c:v>13.76</c:v>
                </c:pt>
                <c:pt idx="6">
                  <c:v>13.86</c:v>
                </c:pt>
                <c:pt idx="7">
                  <c:v>13.84</c:v>
                </c:pt>
                <c:pt idx="8">
                  <c:v>13.67</c:v>
                </c:pt>
                <c:pt idx="9">
                  <c:v>13.84</c:v>
                </c:pt>
                <c:pt idx="10">
                  <c:v>13.67</c:v>
                </c:pt>
                <c:pt idx="11">
                  <c:v>13.76</c:v>
                </c:pt>
                <c:pt idx="12">
                  <c:v>13.96</c:v>
                </c:pt>
                <c:pt idx="13">
                  <c:v>13.76</c:v>
                </c:pt>
                <c:pt idx="14">
                  <c:v>13.86</c:v>
                </c:pt>
                <c:pt idx="15">
                  <c:v>13.84</c:v>
                </c:pt>
                <c:pt idx="16">
                  <c:v>13.72</c:v>
                </c:pt>
                <c:pt idx="17">
                  <c:v>13.79</c:v>
                </c:pt>
                <c:pt idx="18">
                  <c:v>9.1</c:v>
                </c:pt>
                <c:pt idx="19">
                  <c:v>9.15</c:v>
                </c:pt>
                <c:pt idx="20">
                  <c:v>8.98</c:v>
                </c:pt>
                <c:pt idx="21">
                  <c:v>9.1999999999999993</c:v>
                </c:pt>
                <c:pt idx="22">
                  <c:v>8.75</c:v>
                </c:pt>
                <c:pt idx="23">
                  <c:v>9.4</c:v>
                </c:pt>
                <c:pt idx="24">
                  <c:v>9.08</c:v>
                </c:pt>
                <c:pt idx="25">
                  <c:v>9.33</c:v>
                </c:pt>
                <c:pt idx="26">
                  <c:v>9.1300000000000008</c:v>
                </c:pt>
                <c:pt idx="27">
                  <c:v>9.08</c:v>
                </c:pt>
                <c:pt idx="28">
                  <c:v>9.25</c:v>
                </c:pt>
                <c:pt idx="29">
                  <c:v>9.18</c:v>
                </c:pt>
                <c:pt idx="30">
                  <c:v>9.4</c:v>
                </c:pt>
                <c:pt idx="31">
                  <c:v>9.23</c:v>
                </c:pt>
                <c:pt idx="32">
                  <c:v>9.3000000000000007</c:v>
                </c:pt>
                <c:pt idx="33">
                  <c:v>9.2799999999999994</c:v>
                </c:pt>
                <c:pt idx="34">
                  <c:v>9.1999999999999993</c:v>
                </c:pt>
                <c:pt idx="35">
                  <c:v>6.5</c:v>
                </c:pt>
                <c:pt idx="36">
                  <c:v>6.65</c:v>
                </c:pt>
                <c:pt idx="37">
                  <c:v>6.67</c:v>
                </c:pt>
                <c:pt idx="38">
                  <c:v>6.7</c:v>
                </c:pt>
                <c:pt idx="39">
                  <c:v>6.32</c:v>
                </c:pt>
                <c:pt idx="40">
                  <c:v>6.89</c:v>
                </c:pt>
                <c:pt idx="41">
                  <c:v>6.77</c:v>
                </c:pt>
                <c:pt idx="42">
                  <c:v>6.8</c:v>
                </c:pt>
                <c:pt idx="43">
                  <c:v>6.45</c:v>
                </c:pt>
                <c:pt idx="44">
                  <c:v>6.62</c:v>
                </c:pt>
                <c:pt idx="45">
                  <c:v>6.47</c:v>
                </c:pt>
                <c:pt idx="46">
                  <c:v>6.52</c:v>
                </c:pt>
                <c:pt idx="47">
                  <c:v>6.94</c:v>
                </c:pt>
                <c:pt idx="48">
                  <c:v>6.75</c:v>
                </c:pt>
                <c:pt idx="49">
                  <c:v>7.04</c:v>
                </c:pt>
                <c:pt idx="50">
                  <c:v>6.52</c:v>
                </c:pt>
                <c:pt idx="51">
                  <c:v>6.77</c:v>
                </c:pt>
                <c:pt idx="52">
                  <c:v>6.97</c:v>
                </c:pt>
                <c:pt idx="53">
                  <c:v>13.64</c:v>
                </c:pt>
                <c:pt idx="54">
                  <c:v>13.86</c:v>
                </c:pt>
                <c:pt idx="55">
                  <c:v>13.84</c:v>
                </c:pt>
                <c:pt idx="56">
                  <c:v>13.57</c:v>
                </c:pt>
                <c:pt idx="57">
                  <c:v>13.76</c:v>
                </c:pt>
                <c:pt idx="58">
                  <c:v>14.43</c:v>
                </c:pt>
                <c:pt idx="59">
                  <c:v>13.74</c:v>
                </c:pt>
                <c:pt idx="60">
                  <c:v>13.84</c:v>
                </c:pt>
                <c:pt idx="61">
                  <c:v>13.94</c:v>
                </c:pt>
                <c:pt idx="62">
                  <c:v>14.01</c:v>
                </c:pt>
                <c:pt idx="63">
                  <c:v>13.91</c:v>
                </c:pt>
                <c:pt idx="64">
                  <c:v>13.89</c:v>
                </c:pt>
                <c:pt idx="65">
                  <c:v>13.74</c:v>
                </c:pt>
                <c:pt idx="66">
                  <c:v>9.5</c:v>
                </c:pt>
                <c:pt idx="67">
                  <c:v>9.6199999999999992</c:v>
                </c:pt>
                <c:pt idx="68">
                  <c:v>9.8000000000000007</c:v>
                </c:pt>
                <c:pt idx="69">
                  <c:v>9.6199999999999992</c:v>
                </c:pt>
                <c:pt idx="70">
                  <c:v>9.65</c:v>
                </c:pt>
                <c:pt idx="71">
                  <c:v>9.5</c:v>
                </c:pt>
                <c:pt idx="72">
                  <c:v>9.9</c:v>
                </c:pt>
                <c:pt idx="73">
                  <c:v>9.33</c:v>
                </c:pt>
                <c:pt idx="74">
                  <c:v>9.7200000000000006</c:v>
                </c:pt>
                <c:pt idx="75">
                  <c:v>9.5500000000000007</c:v>
                </c:pt>
                <c:pt idx="76">
                  <c:v>9.5500000000000007</c:v>
                </c:pt>
                <c:pt idx="77">
                  <c:v>9.52</c:v>
                </c:pt>
                <c:pt idx="78">
                  <c:v>9.5</c:v>
                </c:pt>
                <c:pt idx="79">
                  <c:v>7.37</c:v>
                </c:pt>
                <c:pt idx="80">
                  <c:v>7.17</c:v>
                </c:pt>
                <c:pt idx="81">
                  <c:v>7.22</c:v>
                </c:pt>
                <c:pt idx="82">
                  <c:v>6.99</c:v>
                </c:pt>
                <c:pt idx="83">
                  <c:v>7.34</c:v>
                </c:pt>
                <c:pt idx="84">
                  <c:v>7.37</c:v>
                </c:pt>
                <c:pt idx="85">
                  <c:v>7.02</c:v>
                </c:pt>
                <c:pt idx="86">
                  <c:v>7.24</c:v>
                </c:pt>
                <c:pt idx="87">
                  <c:v>7.09</c:v>
                </c:pt>
                <c:pt idx="88">
                  <c:v>7.19</c:v>
                </c:pt>
                <c:pt idx="89">
                  <c:v>6.77</c:v>
                </c:pt>
                <c:pt idx="90">
                  <c:v>7.44</c:v>
                </c:pt>
                <c:pt idx="91">
                  <c:v>7.24</c:v>
                </c:pt>
                <c:pt idx="92">
                  <c:v>7.09</c:v>
                </c:pt>
                <c:pt idx="93">
                  <c:v>6.97</c:v>
                </c:pt>
                <c:pt idx="94">
                  <c:v>7.04</c:v>
                </c:pt>
                <c:pt idx="95">
                  <c:v>6.97</c:v>
                </c:pt>
              </c:numCache>
            </c:numRef>
          </c:xVal>
          <c:yVal>
            <c:numRef>
              <c:f>'Лист3 - Итог'!$S$4:$S$99</c:f>
              <c:numCache>
                <c:formatCode>General</c:formatCode>
                <c:ptCount val="96"/>
                <c:pt idx="0">
                  <c:v>4.9501882982593393E-2</c:v>
                </c:pt>
                <c:pt idx="1">
                  <c:v>-1.5403541748095884E-2</c:v>
                </c:pt>
                <c:pt idx="2">
                  <c:v>-9.500603819650888E-2</c:v>
                </c:pt>
                <c:pt idx="3">
                  <c:v>-0.1080268413380977</c:v>
                </c:pt>
                <c:pt idx="4">
                  <c:v>0.23009397670728687</c:v>
                </c:pt>
                <c:pt idx="5">
                  <c:v>0.34086618065591051</c:v>
                </c:pt>
                <c:pt idx="6">
                  <c:v>0.23117839059516959</c:v>
                </c:pt>
                <c:pt idx="7">
                  <c:v>-0.21483569000829084</c:v>
                </c:pt>
                <c:pt idx="8">
                  <c:v>0.29430825126109611</c:v>
                </c:pt>
                <c:pt idx="9">
                  <c:v>0.2323620999716775</c:v>
                </c:pt>
                <c:pt idx="10">
                  <c:v>0.44996211602839881</c:v>
                </c:pt>
                <c:pt idx="11">
                  <c:v>0.28898155906681006</c:v>
                </c:pt>
                <c:pt idx="12">
                  <c:v>0.19931753291807847</c:v>
                </c:pt>
                <c:pt idx="13">
                  <c:v>0.31492386986135984</c:v>
                </c:pt>
                <c:pt idx="14">
                  <c:v>0.17929376900606825</c:v>
                </c:pt>
                <c:pt idx="15">
                  <c:v>3.4705515776244034E-2</c:v>
                </c:pt>
                <c:pt idx="16">
                  <c:v>0.24934625839169511</c:v>
                </c:pt>
                <c:pt idx="17">
                  <c:v>0.19331865398481562</c:v>
                </c:pt>
                <c:pt idx="18">
                  <c:v>0.13364846244678696</c:v>
                </c:pt>
                <c:pt idx="19">
                  <c:v>0.31228536456737055</c:v>
                </c:pt>
                <c:pt idx="20">
                  <c:v>0.2704622726785878</c:v>
                </c:pt>
                <c:pt idx="21">
                  <c:v>0.25744146953699987</c:v>
                </c:pt>
                <c:pt idx="22">
                  <c:v>0.43972879527573194</c:v>
                </c:pt>
                <c:pt idx="23">
                  <c:v>0.46920327076190399</c:v>
                </c:pt>
                <c:pt idx="24">
                  <c:v>0.54002724237513244</c:v>
                </c:pt>
                <c:pt idx="25">
                  <c:v>0.44740394278513057</c:v>
                </c:pt>
                <c:pt idx="26">
                  <c:v>0.64083721211206401</c:v>
                </c:pt>
                <c:pt idx="27">
                  <c:v>0.48814262078603149</c:v>
                </c:pt>
                <c:pt idx="28">
                  <c:v>0.47808109108571378</c:v>
                </c:pt>
                <c:pt idx="29">
                  <c:v>0.44022135447536115</c:v>
                </c:pt>
                <c:pt idx="30">
                  <c:v>0.52108789235100494</c:v>
                </c:pt>
                <c:pt idx="31">
                  <c:v>0.50520711125677242</c:v>
                </c:pt>
                <c:pt idx="32">
                  <c:v>0.35529216583266165</c:v>
                </c:pt>
                <c:pt idx="33">
                  <c:v>0.25270663203096733</c:v>
                </c:pt>
                <c:pt idx="34">
                  <c:v>0.26732337169796994</c:v>
                </c:pt>
                <c:pt idx="35">
                  <c:v>0.79649499512286748</c:v>
                </c:pt>
                <c:pt idx="36">
                  <c:v>0.58996059060362327</c:v>
                </c:pt>
                <c:pt idx="37">
                  <c:v>0.78643346542254888</c:v>
                </c:pt>
                <c:pt idx="38">
                  <c:v>0.61294362795690327</c:v>
                </c:pt>
                <c:pt idx="39">
                  <c:v>0.83309069030598892</c:v>
                </c:pt>
                <c:pt idx="40">
                  <c:v>0.2743302507118921</c:v>
                </c:pt>
                <c:pt idx="41">
                  <c:v>0.83239954012911022</c:v>
                </c:pt>
                <c:pt idx="42">
                  <c:v>0.70091242209159588</c:v>
                </c:pt>
                <c:pt idx="43">
                  <c:v>0.82539657935868704</c:v>
                </c:pt>
                <c:pt idx="44">
                  <c:v>0.63373887409651641</c:v>
                </c:pt>
                <c:pt idx="45">
                  <c:v>0.9020398023658307</c:v>
                </c:pt>
                <c:pt idx="46">
                  <c:v>0.92502283971911115</c:v>
                </c:pt>
                <c:pt idx="47">
                  <c:v>0.58885721327783735</c:v>
                </c:pt>
                <c:pt idx="48">
                  <c:v>0.72981400632741589</c:v>
                </c:pt>
                <c:pt idx="49">
                  <c:v>0.53105404480619689</c:v>
                </c:pt>
                <c:pt idx="50">
                  <c:v>0.84719590733545957</c:v>
                </c:pt>
                <c:pt idx="51">
                  <c:v>0.47908909116637399</c:v>
                </c:pt>
                <c:pt idx="52">
                  <c:v>0.3214800347949609</c:v>
                </c:pt>
                <c:pt idx="53">
                  <c:v>0.11448763976400461</c:v>
                </c:pt>
                <c:pt idx="54">
                  <c:v>0.15335145821151802</c:v>
                </c:pt>
                <c:pt idx="55">
                  <c:v>0.12859285679347526</c:v>
                </c:pt>
                <c:pt idx="56">
                  <c:v>0.24834217655453478</c:v>
                </c:pt>
                <c:pt idx="57">
                  <c:v>0.15927000509405759</c:v>
                </c:pt>
                <c:pt idx="58">
                  <c:v>6.7731119391938044E-2</c:v>
                </c:pt>
                <c:pt idx="59">
                  <c:v>0.18639602526511573</c:v>
                </c:pt>
                <c:pt idx="60">
                  <c:v>3.4705515776244034E-2</c:v>
                </c:pt>
                <c:pt idx="61">
                  <c:v>8.0671590482804478E-2</c:v>
                </c:pt>
                <c:pt idx="62">
                  <c:v>6.664670550405577E-2</c:v>
                </c:pt>
                <c:pt idx="63">
                  <c:v>-2.132208863063545E-2</c:v>
                </c:pt>
                <c:pt idx="64">
                  <c:v>3.1746242334973807E-2</c:v>
                </c:pt>
                <c:pt idx="65">
                  <c:v>-5.3263278358448574E-2</c:v>
                </c:pt>
                <c:pt idx="66">
                  <c:v>0.47316662604033366</c:v>
                </c:pt>
                <c:pt idx="67">
                  <c:v>0.81937481874402285</c:v>
                </c:pt>
                <c:pt idx="68">
                  <c:v>0.67900988038269738</c:v>
                </c:pt>
                <c:pt idx="69">
                  <c:v>0.71560557556582061</c:v>
                </c:pt>
                <c:pt idx="70">
                  <c:v>0.61006076832285649</c:v>
                </c:pt>
                <c:pt idx="71">
                  <c:v>0.64488089944121652</c:v>
                </c:pt>
                <c:pt idx="72">
                  <c:v>0.62120671191105648</c:v>
                </c:pt>
                <c:pt idx="73">
                  <c:v>0.73276936152518579</c:v>
                </c:pt>
                <c:pt idx="74">
                  <c:v>0.70968702868328015</c:v>
                </c:pt>
                <c:pt idx="75">
                  <c:v>0.64192162599994629</c:v>
                </c:pt>
                <c:pt idx="76">
                  <c:v>0.69380624758904763</c:v>
                </c:pt>
                <c:pt idx="77">
                  <c:v>0.49792522745837642</c:v>
                </c:pt>
                <c:pt idx="78">
                  <c:v>0.32739466343400103</c:v>
                </c:pt>
                <c:pt idx="79">
                  <c:v>0.7190613264502177</c:v>
                </c:pt>
                <c:pt idx="80">
                  <c:v>0.66295338999261755</c:v>
                </c:pt>
                <c:pt idx="81">
                  <c:v>0.80576607915767995</c:v>
                </c:pt>
                <c:pt idx="82">
                  <c:v>0.67360677438118877</c:v>
                </c:pt>
                <c:pt idx="83">
                  <c:v>0.72083689051498001</c:v>
                </c:pt>
                <c:pt idx="84">
                  <c:v>0.7709459480393186</c:v>
                </c:pt>
                <c:pt idx="85">
                  <c:v>0.56806196713822554</c:v>
                </c:pt>
                <c:pt idx="86">
                  <c:v>0.80458236978117204</c:v>
                </c:pt>
                <c:pt idx="87">
                  <c:v>0.91722943328318407</c:v>
                </c:pt>
                <c:pt idx="88">
                  <c:v>0.91131088640064362</c:v>
                </c:pt>
                <c:pt idx="89">
                  <c:v>0.79039682070097983</c:v>
                </c:pt>
                <c:pt idx="90">
                  <c:v>0.79274527601609202</c:v>
                </c:pt>
                <c:pt idx="91">
                  <c:v>0.80458236978117204</c:v>
                </c:pt>
                <c:pt idx="92">
                  <c:v>0.8394025008995325</c:v>
                </c:pt>
                <c:pt idx="93">
                  <c:v>0.72667510534679891</c:v>
                </c:pt>
                <c:pt idx="94">
                  <c:v>0.72253212252902077</c:v>
                </c:pt>
                <c:pt idx="95">
                  <c:v>0.58090314274046628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393-4617-8D7E-79A0E3C2A1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8175439"/>
        <c:axId val="408173359"/>
      </c:scatterChart>
      <c:valAx>
        <c:axId val="4081754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Ширина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08173359"/>
        <c:crosses val="autoZero"/>
        <c:crossBetween val="midCat"/>
      </c:valAx>
      <c:valAx>
        <c:axId val="40817335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Абс дист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0817543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Аспект (Ш/В) График подбора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Абс дист</c:v>
          </c:tx>
          <c:spPr>
            <a:ln w="19050">
              <a:noFill/>
            </a:ln>
          </c:spPr>
          <c:xVal>
            <c:numRef>
              <c:f>'Лист3 - Итог'!$C$2:$C$97</c:f>
              <c:numCache>
                <c:formatCode>General</c:formatCode>
                <c:ptCount val="96"/>
                <c:pt idx="0">
                  <c:v>1.4</c:v>
                </c:pt>
                <c:pt idx="1">
                  <c:v>1.42</c:v>
                </c:pt>
                <c:pt idx="2">
                  <c:v>1.45</c:v>
                </c:pt>
                <c:pt idx="3">
                  <c:v>1.45</c:v>
                </c:pt>
                <c:pt idx="4">
                  <c:v>1.41</c:v>
                </c:pt>
                <c:pt idx="5">
                  <c:v>1.36</c:v>
                </c:pt>
                <c:pt idx="6">
                  <c:v>1.4</c:v>
                </c:pt>
                <c:pt idx="7">
                  <c:v>1.42</c:v>
                </c:pt>
                <c:pt idx="8">
                  <c:v>1.38</c:v>
                </c:pt>
                <c:pt idx="9">
                  <c:v>1.4</c:v>
                </c:pt>
                <c:pt idx="10">
                  <c:v>1.32</c:v>
                </c:pt>
                <c:pt idx="11">
                  <c:v>1.38</c:v>
                </c:pt>
                <c:pt idx="12">
                  <c:v>1.41</c:v>
                </c:pt>
                <c:pt idx="13">
                  <c:v>1.37</c:v>
                </c:pt>
                <c:pt idx="14">
                  <c:v>1.42</c:v>
                </c:pt>
                <c:pt idx="15">
                  <c:v>1.4</c:v>
                </c:pt>
                <c:pt idx="16">
                  <c:v>1.32</c:v>
                </c:pt>
                <c:pt idx="17">
                  <c:v>1.34</c:v>
                </c:pt>
                <c:pt idx="18">
                  <c:v>1.47</c:v>
                </c:pt>
                <c:pt idx="19">
                  <c:v>1.4</c:v>
                </c:pt>
                <c:pt idx="20">
                  <c:v>1.42</c:v>
                </c:pt>
                <c:pt idx="21">
                  <c:v>1.42</c:v>
                </c:pt>
                <c:pt idx="22">
                  <c:v>1.36</c:v>
                </c:pt>
                <c:pt idx="23">
                  <c:v>1.41</c:v>
                </c:pt>
                <c:pt idx="24">
                  <c:v>1.39</c:v>
                </c:pt>
                <c:pt idx="25">
                  <c:v>1.42</c:v>
                </c:pt>
                <c:pt idx="26">
                  <c:v>1.35</c:v>
                </c:pt>
                <c:pt idx="27">
                  <c:v>1.41</c:v>
                </c:pt>
                <c:pt idx="28">
                  <c:v>1.41</c:v>
                </c:pt>
                <c:pt idx="29">
                  <c:v>1.35</c:v>
                </c:pt>
                <c:pt idx="30">
                  <c:v>1.39</c:v>
                </c:pt>
                <c:pt idx="31">
                  <c:v>1.4</c:v>
                </c:pt>
                <c:pt idx="32">
                  <c:v>1.38</c:v>
                </c:pt>
                <c:pt idx="33">
                  <c:v>1.42</c:v>
                </c:pt>
                <c:pt idx="34">
                  <c:v>1.34</c:v>
                </c:pt>
                <c:pt idx="35">
                  <c:v>1.35</c:v>
                </c:pt>
                <c:pt idx="36">
                  <c:v>1.35</c:v>
                </c:pt>
                <c:pt idx="37">
                  <c:v>1.35</c:v>
                </c:pt>
                <c:pt idx="38">
                  <c:v>1.34</c:v>
                </c:pt>
                <c:pt idx="39">
                  <c:v>1.34</c:v>
                </c:pt>
                <c:pt idx="40">
                  <c:v>1.39</c:v>
                </c:pt>
                <c:pt idx="41">
                  <c:v>1.33</c:v>
                </c:pt>
                <c:pt idx="42">
                  <c:v>1.38</c:v>
                </c:pt>
                <c:pt idx="43">
                  <c:v>1.34</c:v>
                </c:pt>
                <c:pt idx="44">
                  <c:v>1.41</c:v>
                </c:pt>
                <c:pt idx="45">
                  <c:v>1.31</c:v>
                </c:pt>
                <c:pt idx="46">
                  <c:v>1.3</c:v>
                </c:pt>
                <c:pt idx="47">
                  <c:v>1.42</c:v>
                </c:pt>
                <c:pt idx="48">
                  <c:v>1.37</c:v>
                </c:pt>
                <c:pt idx="49">
                  <c:v>1.44</c:v>
                </c:pt>
                <c:pt idx="50">
                  <c:v>1.33</c:v>
                </c:pt>
                <c:pt idx="51">
                  <c:v>1.39</c:v>
                </c:pt>
                <c:pt idx="52">
                  <c:v>1.37</c:v>
                </c:pt>
                <c:pt idx="53">
                  <c:v>1.45</c:v>
                </c:pt>
                <c:pt idx="54">
                  <c:v>1.43</c:v>
                </c:pt>
                <c:pt idx="55">
                  <c:v>1.44</c:v>
                </c:pt>
                <c:pt idx="56">
                  <c:v>1.4</c:v>
                </c:pt>
                <c:pt idx="57">
                  <c:v>1.43</c:v>
                </c:pt>
                <c:pt idx="58">
                  <c:v>1.45</c:v>
                </c:pt>
                <c:pt idx="59">
                  <c:v>1.42</c:v>
                </c:pt>
                <c:pt idx="60">
                  <c:v>1.4</c:v>
                </c:pt>
                <c:pt idx="61">
                  <c:v>1.38</c:v>
                </c:pt>
                <c:pt idx="62">
                  <c:v>1.46</c:v>
                </c:pt>
                <c:pt idx="63">
                  <c:v>1.42</c:v>
                </c:pt>
                <c:pt idx="64">
                  <c:v>1.4</c:v>
                </c:pt>
                <c:pt idx="65">
                  <c:v>1.36</c:v>
                </c:pt>
                <c:pt idx="66">
                  <c:v>1.33</c:v>
                </c:pt>
                <c:pt idx="67">
                  <c:v>1.27</c:v>
                </c:pt>
                <c:pt idx="68">
                  <c:v>1.32</c:v>
                </c:pt>
                <c:pt idx="69">
                  <c:v>1.31</c:v>
                </c:pt>
                <c:pt idx="70">
                  <c:v>1.35</c:v>
                </c:pt>
                <c:pt idx="71">
                  <c:v>1.34</c:v>
                </c:pt>
                <c:pt idx="72">
                  <c:v>1.34</c:v>
                </c:pt>
                <c:pt idx="73">
                  <c:v>1.31</c:v>
                </c:pt>
                <c:pt idx="74">
                  <c:v>1.31</c:v>
                </c:pt>
                <c:pt idx="75">
                  <c:v>1.34</c:v>
                </c:pt>
                <c:pt idx="76">
                  <c:v>1.32</c:v>
                </c:pt>
                <c:pt idx="77">
                  <c:v>1.32</c:v>
                </c:pt>
                <c:pt idx="78">
                  <c:v>1.31</c:v>
                </c:pt>
                <c:pt idx="79">
                  <c:v>1.36</c:v>
                </c:pt>
                <c:pt idx="80">
                  <c:v>1.31</c:v>
                </c:pt>
                <c:pt idx="81">
                  <c:v>1.33</c:v>
                </c:pt>
                <c:pt idx="82">
                  <c:v>1.31</c:v>
                </c:pt>
                <c:pt idx="83">
                  <c:v>1.36</c:v>
                </c:pt>
                <c:pt idx="84">
                  <c:v>1.34</c:v>
                </c:pt>
                <c:pt idx="85">
                  <c:v>1.35</c:v>
                </c:pt>
                <c:pt idx="86">
                  <c:v>1.33</c:v>
                </c:pt>
                <c:pt idx="87">
                  <c:v>1.29</c:v>
                </c:pt>
                <c:pt idx="88">
                  <c:v>1.29</c:v>
                </c:pt>
                <c:pt idx="89">
                  <c:v>1.27</c:v>
                </c:pt>
                <c:pt idx="90">
                  <c:v>1.33</c:v>
                </c:pt>
                <c:pt idx="91">
                  <c:v>1.33</c:v>
                </c:pt>
                <c:pt idx="92">
                  <c:v>1.32</c:v>
                </c:pt>
                <c:pt idx="93">
                  <c:v>1.29</c:v>
                </c:pt>
                <c:pt idx="94">
                  <c:v>1.29</c:v>
                </c:pt>
                <c:pt idx="95">
                  <c:v>1.27</c:v>
                </c:pt>
              </c:numCache>
            </c:numRef>
          </c:xVal>
          <c:yVal>
            <c:numRef>
              <c:f>'Лист3 - Итог'!$E$2:$E$97</c:f>
              <c:numCache>
                <c:formatCode>General</c:formatCode>
                <c:ptCount val="96"/>
                <c:pt idx="0">
                  <c:v>0.05</c:v>
                </c:pt>
                <c:pt idx="1">
                  <c:v>0.11</c:v>
                </c:pt>
                <c:pt idx="2">
                  <c:v>0.13</c:v>
                </c:pt>
                <c:pt idx="3">
                  <c:v>0.28999999999999998</c:v>
                </c:pt>
                <c:pt idx="4">
                  <c:v>0.16</c:v>
                </c:pt>
                <c:pt idx="5">
                  <c:v>0.08</c:v>
                </c:pt>
                <c:pt idx="6">
                  <c:v>0.15</c:v>
                </c:pt>
                <c:pt idx="7">
                  <c:v>0.13</c:v>
                </c:pt>
                <c:pt idx="8">
                  <c:v>0</c:v>
                </c:pt>
                <c:pt idx="9">
                  <c:v>0.13</c:v>
                </c:pt>
                <c:pt idx="10">
                  <c:v>0</c:v>
                </c:pt>
                <c:pt idx="11">
                  <c:v>0.08</c:v>
                </c:pt>
                <c:pt idx="12">
                  <c:v>0.22</c:v>
                </c:pt>
                <c:pt idx="13">
                  <c:v>0.08</c:v>
                </c:pt>
                <c:pt idx="14">
                  <c:v>0.15</c:v>
                </c:pt>
                <c:pt idx="15">
                  <c:v>0.13</c:v>
                </c:pt>
                <c:pt idx="16">
                  <c:v>0.04</c:v>
                </c:pt>
                <c:pt idx="17">
                  <c:v>0.09</c:v>
                </c:pt>
                <c:pt idx="18">
                  <c:v>0.01</c:v>
                </c:pt>
                <c:pt idx="19">
                  <c:v>7.0000000000000007E-2</c:v>
                </c:pt>
                <c:pt idx="20">
                  <c:v>0.22</c:v>
                </c:pt>
                <c:pt idx="21">
                  <c:v>0.15</c:v>
                </c:pt>
                <c:pt idx="22">
                  <c:v>0.6</c:v>
                </c:pt>
                <c:pt idx="23">
                  <c:v>0.47</c:v>
                </c:pt>
                <c:pt idx="24">
                  <c:v>0.05</c:v>
                </c:pt>
                <c:pt idx="25">
                  <c:v>0.35</c:v>
                </c:pt>
                <c:pt idx="26">
                  <c:v>0.03</c:v>
                </c:pt>
                <c:pt idx="27">
                  <c:v>0.05</c:v>
                </c:pt>
                <c:pt idx="28">
                  <c:v>0.23</c:v>
                </c:pt>
                <c:pt idx="29">
                  <c:v>0.11</c:v>
                </c:pt>
                <c:pt idx="30">
                  <c:v>0.47</c:v>
                </c:pt>
                <c:pt idx="31">
                  <c:v>0.19</c:v>
                </c:pt>
                <c:pt idx="32">
                  <c:v>0.31</c:v>
                </c:pt>
                <c:pt idx="33">
                  <c:v>0.27</c:v>
                </c:pt>
                <c:pt idx="34">
                  <c:v>0.15</c:v>
                </c:pt>
                <c:pt idx="35">
                  <c:v>1.02</c:v>
                </c:pt>
                <c:pt idx="36">
                  <c:v>0.55000000000000004</c:v>
                </c:pt>
                <c:pt idx="37">
                  <c:v>0.48</c:v>
                </c:pt>
                <c:pt idx="38">
                  <c:v>0.4</c:v>
                </c:pt>
                <c:pt idx="39">
                  <c:v>1.6</c:v>
                </c:pt>
                <c:pt idx="40">
                  <c:v>0.19</c:v>
                </c:pt>
                <c:pt idx="41">
                  <c:v>0.18</c:v>
                </c:pt>
                <c:pt idx="42">
                  <c:v>0.1</c:v>
                </c:pt>
                <c:pt idx="43">
                  <c:v>1.18</c:v>
                </c:pt>
                <c:pt idx="44">
                  <c:v>0.63</c:v>
                </c:pt>
                <c:pt idx="45">
                  <c:v>1.1000000000000001</c:v>
                </c:pt>
                <c:pt idx="46">
                  <c:v>0.94</c:v>
                </c:pt>
                <c:pt idx="47">
                  <c:v>0.33</c:v>
                </c:pt>
                <c:pt idx="48">
                  <c:v>0.25</c:v>
                </c:pt>
                <c:pt idx="49">
                  <c:v>0.61</c:v>
                </c:pt>
                <c:pt idx="50">
                  <c:v>0.94</c:v>
                </c:pt>
                <c:pt idx="51">
                  <c:v>0.18</c:v>
                </c:pt>
                <c:pt idx="52">
                  <c:v>0.4</c:v>
                </c:pt>
                <c:pt idx="53">
                  <c:v>0.01</c:v>
                </c:pt>
                <c:pt idx="54">
                  <c:v>0.15</c:v>
                </c:pt>
                <c:pt idx="55">
                  <c:v>0.13</c:v>
                </c:pt>
                <c:pt idx="56">
                  <c:v>7.0000000000000007E-2</c:v>
                </c:pt>
                <c:pt idx="57">
                  <c:v>0.08</c:v>
                </c:pt>
                <c:pt idx="58">
                  <c:v>0.54</c:v>
                </c:pt>
                <c:pt idx="59">
                  <c:v>0.06</c:v>
                </c:pt>
                <c:pt idx="60">
                  <c:v>0.13</c:v>
                </c:pt>
                <c:pt idx="61">
                  <c:v>0.2</c:v>
                </c:pt>
                <c:pt idx="62">
                  <c:v>0.25</c:v>
                </c:pt>
                <c:pt idx="63">
                  <c:v>0.18</c:v>
                </c:pt>
                <c:pt idx="64">
                  <c:v>0.16</c:v>
                </c:pt>
                <c:pt idx="65">
                  <c:v>0.06</c:v>
                </c:pt>
                <c:pt idx="66">
                  <c:v>0.62</c:v>
                </c:pt>
                <c:pt idx="67">
                  <c:v>0.8</c:v>
                </c:pt>
                <c:pt idx="68">
                  <c:v>1.06</c:v>
                </c:pt>
                <c:pt idx="69">
                  <c:v>0.8</c:v>
                </c:pt>
                <c:pt idx="70">
                  <c:v>0.84</c:v>
                </c:pt>
                <c:pt idx="71">
                  <c:v>0.62</c:v>
                </c:pt>
                <c:pt idx="72">
                  <c:v>1.2</c:v>
                </c:pt>
                <c:pt idx="73">
                  <c:v>0.35</c:v>
                </c:pt>
                <c:pt idx="74">
                  <c:v>0.95</c:v>
                </c:pt>
                <c:pt idx="75">
                  <c:v>0.69</c:v>
                </c:pt>
                <c:pt idx="76">
                  <c:v>0.69</c:v>
                </c:pt>
                <c:pt idx="77">
                  <c:v>0.66</c:v>
                </c:pt>
                <c:pt idx="78">
                  <c:v>0.62</c:v>
                </c:pt>
                <c:pt idx="79">
                  <c:v>1.45</c:v>
                </c:pt>
                <c:pt idx="80">
                  <c:v>0.94</c:v>
                </c:pt>
                <c:pt idx="81">
                  <c:v>1.07</c:v>
                </c:pt>
                <c:pt idx="82">
                  <c:v>0.47</c:v>
                </c:pt>
                <c:pt idx="83">
                  <c:v>1.39</c:v>
                </c:pt>
                <c:pt idx="84">
                  <c:v>1.45</c:v>
                </c:pt>
                <c:pt idx="85">
                  <c:v>0.54</c:v>
                </c:pt>
                <c:pt idx="86">
                  <c:v>1.1399999999999999</c:v>
                </c:pt>
                <c:pt idx="87">
                  <c:v>0.74</c:v>
                </c:pt>
                <c:pt idx="88">
                  <c:v>1.01</c:v>
                </c:pt>
                <c:pt idx="89">
                  <c:v>0.18</c:v>
                </c:pt>
                <c:pt idx="90">
                  <c:v>1.64</c:v>
                </c:pt>
                <c:pt idx="91">
                  <c:v>1.1399999999999999</c:v>
                </c:pt>
                <c:pt idx="92">
                  <c:v>0.74</c:v>
                </c:pt>
                <c:pt idx="93">
                  <c:v>0.4</c:v>
                </c:pt>
                <c:pt idx="94">
                  <c:v>0.61</c:v>
                </c:pt>
                <c:pt idx="95">
                  <c:v>0.4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598-4B5D-8B57-41C4A73F4823}"/>
            </c:ext>
          </c:extLst>
        </c:ser>
        <c:ser>
          <c:idx val="1"/>
          <c:order val="1"/>
          <c:tx>
            <c:v>Предсказанное Абс дист</c:v>
          </c:tx>
          <c:spPr>
            <a:ln w="19050">
              <a:noFill/>
            </a:ln>
          </c:spPr>
          <c:xVal>
            <c:numRef>
              <c:f>'Лист3 - Итог'!$C$2:$C$97</c:f>
              <c:numCache>
                <c:formatCode>General</c:formatCode>
                <c:ptCount val="96"/>
                <c:pt idx="0">
                  <c:v>1.4</c:v>
                </c:pt>
                <c:pt idx="1">
                  <c:v>1.42</c:v>
                </c:pt>
                <c:pt idx="2">
                  <c:v>1.45</c:v>
                </c:pt>
                <c:pt idx="3">
                  <c:v>1.45</c:v>
                </c:pt>
                <c:pt idx="4">
                  <c:v>1.41</c:v>
                </c:pt>
                <c:pt idx="5">
                  <c:v>1.36</c:v>
                </c:pt>
                <c:pt idx="6">
                  <c:v>1.4</c:v>
                </c:pt>
                <c:pt idx="7">
                  <c:v>1.42</c:v>
                </c:pt>
                <c:pt idx="8">
                  <c:v>1.38</c:v>
                </c:pt>
                <c:pt idx="9">
                  <c:v>1.4</c:v>
                </c:pt>
                <c:pt idx="10">
                  <c:v>1.32</c:v>
                </c:pt>
                <c:pt idx="11">
                  <c:v>1.38</c:v>
                </c:pt>
                <c:pt idx="12">
                  <c:v>1.41</c:v>
                </c:pt>
                <c:pt idx="13">
                  <c:v>1.37</c:v>
                </c:pt>
                <c:pt idx="14">
                  <c:v>1.42</c:v>
                </c:pt>
                <c:pt idx="15">
                  <c:v>1.4</c:v>
                </c:pt>
                <c:pt idx="16">
                  <c:v>1.32</c:v>
                </c:pt>
                <c:pt idx="17">
                  <c:v>1.34</c:v>
                </c:pt>
                <c:pt idx="18">
                  <c:v>1.47</c:v>
                </c:pt>
                <c:pt idx="19">
                  <c:v>1.4</c:v>
                </c:pt>
                <c:pt idx="20">
                  <c:v>1.42</c:v>
                </c:pt>
                <c:pt idx="21">
                  <c:v>1.42</c:v>
                </c:pt>
                <c:pt idx="22">
                  <c:v>1.36</c:v>
                </c:pt>
                <c:pt idx="23">
                  <c:v>1.41</c:v>
                </c:pt>
                <c:pt idx="24">
                  <c:v>1.39</c:v>
                </c:pt>
                <c:pt idx="25">
                  <c:v>1.42</c:v>
                </c:pt>
                <c:pt idx="26">
                  <c:v>1.35</c:v>
                </c:pt>
                <c:pt idx="27">
                  <c:v>1.41</c:v>
                </c:pt>
                <c:pt idx="28">
                  <c:v>1.41</c:v>
                </c:pt>
                <c:pt idx="29">
                  <c:v>1.35</c:v>
                </c:pt>
                <c:pt idx="30">
                  <c:v>1.39</c:v>
                </c:pt>
                <c:pt idx="31">
                  <c:v>1.4</c:v>
                </c:pt>
                <c:pt idx="32">
                  <c:v>1.38</c:v>
                </c:pt>
                <c:pt idx="33">
                  <c:v>1.42</c:v>
                </c:pt>
                <c:pt idx="34">
                  <c:v>1.34</c:v>
                </c:pt>
                <c:pt idx="35">
                  <c:v>1.35</c:v>
                </c:pt>
                <c:pt idx="36">
                  <c:v>1.35</c:v>
                </c:pt>
                <c:pt idx="37">
                  <c:v>1.35</c:v>
                </c:pt>
                <c:pt idx="38">
                  <c:v>1.34</c:v>
                </c:pt>
                <c:pt idx="39">
                  <c:v>1.34</c:v>
                </c:pt>
                <c:pt idx="40">
                  <c:v>1.39</c:v>
                </c:pt>
                <c:pt idx="41">
                  <c:v>1.33</c:v>
                </c:pt>
                <c:pt idx="42">
                  <c:v>1.38</c:v>
                </c:pt>
                <c:pt idx="43">
                  <c:v>1.34</c:v>
                </c:pt>
                <c:pt idx="44">
                  <c:v>1.41</c:v>
                </c:pt>
                <c:pt idx="45">
                  <c:v>1.31</c:v>
                </c:pt>
                <c:pt idx="46">
                  <c:v>1.3</c:v>
                </c:pt>
                <c:pt idx="47">
                  <c:v>1.42</c:v>
                </c:pt>
                <c:pt idx="48">
                  <c:v>1.37</c:v>
                </c:pt>
                <c:pt idx="49">
                  <c:v>1.44</c:v>
                </c:pt>
                <c:pt idx="50">
                  <c:v>1.33</c:v>
                </c:pt>
                <c:pt idx="51">
                  <c:v>1.39</c:v>
                </c:pt>
                <c:pt idx="52">
                  <c:v>1.37</c:v>
                </c:pt>
                <c:pt idx="53">
                  <c:v>1.45</c:v>
                </c:pt>
                <c:pt idx="54">
                  <c:v>1.43</c:v>
                </c:pt>
                <c:pt idx="55">
                  <c:v>1.44</c:v>
                </c:pt>
                <c:pt idx="56">
                  <c:v>1.4</c:v>
                </c:pt>
                <c:pt idx="57">
                  <c:v>1.43</c:v>
                </c:pt>
                <c:pt idx="58">
                  <c:v>1.45</c:v>
                </c:pt>
                <c:pt idx="59">
                  <c:v>1.42</c:v>
                </c:pt>
                <c:pt idx="60">
                  <c:v>1.4</c:v>
                </c:pt>
                <c:pt idx="61">
                  <c:v>1.38</c:v>
                </c:pt>
                <c:pt idx="62">
                  <c:v>1.46</c:v>
                </c:pt>
                <c:pt idx="63">
                  <c:v>1.42</c:v>
                </c:pt>
                <c:pt idx="64">
                  <c:v>1.4</c:v>
                </c:pt>
                <c:pt idx="65">
                  <c:v>1.36</c:v>
                </c:pt>
                <c:pt idx="66">
                  <c:v>1.33</c:v>
                </c:pt>
                <c:pt idx="67">
                  <c:v>1.27</c:v>
                </c:pt>
                <c:pt idx="68">
                  <c:v>1.32</c:v>
                </c:pt>
                <c:pt idx="69">
                  <c:v>1.31</c:v>
                </c:pt>
                <c:pt idx="70">
                  <c:v>1.35</c:v>
                </c:pt>
                <c:pt idx="71">
                  <c:v>1.34</c:v>
                </c:pt>
                <c:pt idx="72">
                  <c:v>1.34</c:v>
                </c:pt>
                <c:pt idx="73">
                  <c:v>1.31</c:v>
                </c:pt>
                <c:pt idx="74">
                  <c:v>1.31</c:v>
                </c:pt>
                <c:pt idx="75">
                  <c:v>1.34</c:v>
                </c:pt>
                <c:pt idx="76">
                  <c:v>1.32</c:v>
                </c:pt>
                <c:pt idx="77">
                  <c:v>1.32</c:v>
                </c:pt>
                <c:pt idx="78">
                  <c:v>1.31</c:v>
                </c:pt>
                <c:pt idx="79">
                  <c:v>1.36</c:v>
                </c:pt>
                <c:pt idx="80">
                  <c:v>1.31</c:v>
                </c:pt>
                <c:pt idx="81">
                  <c:v>1.33</c:v>
                </c:pt>
                <c:pt idx="82">
                  <c:v>1.31</c:v>
                </c:pt>
                <c:pt idx="83">
                  <c:v>1.36</c:v>
                </c:pt>
                <c:pt idx="84">
                  <c:v>1.34</c:v>
                </c:pt>
                <c:pt idx="85">
                  <c:v>1.35</c:v>
                </c:pt>
                <c:pt idx="86">
                  <c:v>1.33</c:v>
                </c:pt>
                <c:pt idx="87">
                  <c:v>1.29</c:v>
                </c:pt>
                <c:pt idx="88">
                  <c:v>1.29</c:v>
                </c:pt>
                <c:pt idx="89">
                  <c:v>1.27</c:v>
                </c:pt>
                <c:pt idx="90">
                  <c:v>1.33</c:v>
                </c:pt>
                <c:pt idx="91">
                  <c:v>1.33</c:v>
                </c:pt>
                <c:pt idx="92">
                  <c:v>1.32</c:v>
                </c:pt>
                <c:pt idx="93">
                  <c:v>1.29</c:v>
                </c:pt>
                <c:pt idx="94">
                  <c:v>1.29</c:v>
                </c:pt>
                <c:pt idx="95">
                  <c:v>1.27</c:v>
                </c:pt>
              </c:numCache>
            </c:numRef>
          </c:xVal>
          <c:yVal>
            <c:numRef>
              <c:f>'Лист3 - Итог'!$S$4:$S$99</c:f>
              <c:numCache>
                <c:formatCode>General</c:formatCode>
                <c:ptCount val="96"/>
                <c:pt idx="0">
                  <c:v>4.9501882982593393E-2</c:v>
                </c:pt>
                <c:pt idx="1">
                  <c:v>-1.5403541748095884E-2</c:v>
                </c:pt>
                <c:pt idx="2">
                  <c:v>-9.500603819650888E-2</c:v>
                </c:pt>
                <c:pt idx="3">
                  <c:v>-0.1080268413380977</c:v>
                </c:pt>
                <c:pt idx="4">
                  <c:v>0.23009397670728687</c:v>
                </c:pt>
                <c:pt idx="5">
                  <c:v>0.34086618065591051</c:v>
                </c:pt>
                <c:pt idx="6">
                  <c:v>0.23117839059516959</c:v>
                </c:pt>
                <c:pt idx="7">
                  <c:v>-0.21483569000829084</c:v>
                </c:pt>
                <c:pt idx="8">
                  <c:v>0.29430825126109611</c:v>
                </c:pt>
                <c:pt idx="9">
                  <c:v>0.2323620999716775</c:v>
                </c:pt>
                <c:pt idx="10">
                  <c:v>0.44996211602839881</c:v>
                </c:pt>
                <c:pt idx="11">
                  <c:v>0.28898155906681006</c:v>
                </c:pt>
                <c:pt idx="12">
                  <c:v>0.19931753291807847</c:v>
                </c:pt>
                <c:pt idx="13">
                  <c:v>0.31492386986135984</c:v>
                </c:pt>
                <c:pt idx="14">
                  <c:v>0.17929376900606825</c:v>
                </c:pt>
                <c:pt idx="15">
                  <c:v>3.4705515776244034E-2</c:v>
                </c:pt>
                <c:pt idx="16">
                  <c:v>0.24934625839169511</c:v>
                </c:pt>
                <c:pt idx="17">
                  <c:v>0.19331865398481562</c:v>
                </c:pt>
                <c:pt idx="18">
                  <c:v>0.13364846244678696</c:v>
                </c:pt>
                <c:pt idx="19">
                  <c:v>0.31228536456737055</c:v>
                </c:pt>
                <c:pt idx="20">
                  <c:v>0.2704622726785878</c:v>
                </c:pt>
                <c:pt idx="21">
                  <c:v>0.25744146953699987</c:v>
                </c:pt>
                <c:pt idx="22">
                  <c:v>0.43972879527573194</c:v>
                </c:pt>
                <c:pt idx="23">
                  <c:v>0.46920327076190399</c:v>
                </c:pt>
                <c:pt idx="24">
                  <c:v>0.54002724237513244</c:v>
                </c:pt>
                <c:pt idx="25">
                  <c:v>0.44740394278513057</c:v>
                </c:pt>
                <c:pt idx="26">
                  <c:v>0.64083721211206401</c:v>
                </c:pt>
                <c:pt idx="27">
                  <c:v>0.48814262078603149</c:v>
                </c:pt>
                <c:pt idx="28">
                  <c:v>0.47808109108571378</c:v>
                </c:pt>
                <c:pt idx="29">
                  <c:v>0.44022135447536115</c:v>
                </c:pt>
                <c:pt idx="30">
                  <c:v>0.52108789235100494</c:v>
                </c:pt>
                <c:pt idx="31">
                  <c:v>0.50520711125677242</c:v>
                </c:pt>
                <c:pt idx="32">
                  <c:v>0.35529216583266165</c:v>
                </c:pt>
                <c:pt idx="33">
                  <c:v>0.25270663203096733</c:v>
                </c:pt>
                <c:pt idx="34">
                  <c:v>0.26732337169796994</c:v>
                </c:pt>
                <c:pt idx="35">
                  <c:v>0.79649499512286748</c:v>
                </c:pt>
                <c:pt idx="36">
                  <c:v>0.58996059060362327</c:v>
                </c:pt>
                <c:pt idx="37">
                  <c:v>0.78643346542254888</c:v>
                </c:pt>
                <c:pt idx="38">
                  <c:v>0.61294362795690327</c:v>
                </c:pt>
                <c:pt idx="39">
                  <c:v>0.83309069030598892</c:v>
                </c:pt>
                <c:pt idx="40">
                  <c:v>0.2743302507118921</c:v>
                </c:pt>
                <c:pt idx="41">
                  <c:v>0.83239954012911022</c:v>
                </c:pt>
                <c:pt idx="42">
                  <c:v>0.70091242209159588</c:v>
                </c:pt>
                <c:pt idx="43">
                  <c:v>0.82539657935868704</c:v>
                </c:pt>
                <c:pt idx="44">
                  <c:v>0.63373887409651641</c:v>
                </c:pt>
                <c:pt idx="45">
                  <c:v>0.9020398023658307</c:v>
                </c:pt>
                <c:pt idx="46">
                  <c:v>0.92502283971911115</c:v>
                </c:pt>
                <c:pt idx="47">
                  <c:v>0.58885721327783735</c:v>
                </c:pt>
                <c:pt idx="48">
                  <c:v>0.72981400632741589</c:v>
                </c:pt>
                <c:pt idx="49">
                  <c:v>0.53105404480619689</c:v>
                </c:pt>
                <c:pt idx="50">
                  <c:v>0.84719590733545957</c:v>
                </c:pt>
                <c:pt idx="51">
                  <c:v>0.47908909116637399</c:v>
                </c:pt>
                <c:pt idx="52">
                  <c:v>0.3214800347949609</c:v>
                </c:pt>
                <c:pt idx="53">
                  <c:v>0.11448763976400461</c:v>
                </c:pt>
                <c:pt idx="54">
                  <c:v>0.15335145821151802</c:v>
                </c:pt>
                <c:pt idx="55">
                  <c:v>0.12859285679347526</c:v>
                </c:pt>
                <c:pt idx="56">
                  <c:v>0.24834217655453478</c:v>
                </c:pt>
                <c:pt idx="57">
                  <c:v>0.15927000509405759</c:v>
                </c:pt>
                <c:pt idx="58">
                  <c:v>6.7731119391938044E-2</c:v>
                </c:pt>
                <c:pt idx="59">
                  <c:v>0.18639602526511573</c:v>
                </c:pt>
                <c:pt idx="60">
                  <c:v>3.4705515776244034E-2</c:v>
                </c:pt>
                <c:pt idx="61">
                  <c:v>8.0671590482804478E-2</c:v>
                </c:pt>
                <c:pt idx="62">
                  <c:v>6.664670550405577E-2</c:v>
                </c:pt>
                <c:pt idx="63">
                  <c:v>-2.132208863063545E-2</c:v>
                </c:pt>
                <c:pt idx="64">
                  <c:v>3.1746242334973807E-2</c:v>
                </c:pt>
                <c:pt idx="65">
                  <c:v>-5.3263278358448574E-2</c:v>
                </c:pt>
                <c:pt idx="66">
                  <c:v>0.47316662604033366</c:v>
                </c:pt>
                <c:pt idx="67">
                  <c:v>0.81937481874402285</c:v>
                </c:pt>
                <c:pt idx="68">
                  <c:v>0.67900988038269738</c:v>
                </c:pt>
                <c:pt idx="69">
                  <c:v>0.71560557556582061</c:v>
                </c:pt>
                <c:pt idx="70">
                  <c:v>0.61006076832285649</c:v>
                </c:pt>
                <c:pt idx="71">
                  <c:v>0.64488089944121652</c:v>
                </c:pt>
                <c:pt idx="72">
                  <c:v>0.62120671191105648</c:v>
                </c:pt>
                <c:pt idx="73">
                  <c:v>0.73276936152518579</c:v>
                </c:pt>
                <c:pt idx="74">
                  <c:v>0.70968702868328015</c:v>
                </c:pt>
                <c:pt idx="75">
                  <c:v>0.64192162599994629</c:v>
                </c:pt>
                <c:pt idx="76">
                  <c:v>0.69380624758904763</c:v>
                </c:pt>
                <c:pt idx="77">
                  <c:v>0.49792522745837642</c:v>
                </c:pt>
                <c:pt idx="78">
                  <c:v>0.32739466343400103</c:v>
                </c:pt>
                <c:pt idx="79">
                  <c:v>0.7190613264502177</c:v>
                </c:pt>
                <c:pt idx="80">
                  <c:v>0.66295338999261755</c:v>
                </c:pt>
                <c:pt idx="81">
                  <c:v>0.80576607915767995</c:v>
                </c:pt>
                <c:pt idx="82">
                  <c:v>0.67360677438118877</c:v>
                </c:pt>
                <c:pt idx="83">
                  <c:v>0.72083689051498001</c:v>
                </c:pt>
                <c:pt idx="84">
                  <c:v>0.7709459480393186</c:v>
                </c:pt>
                <c:pt idx="85">
                  <c:v>0.56806196713822554</c:v>
                </c:pt>
                <c:pt idx="86">
                  <c:v>0.80458236978117204</c:v>
                </c:pt>
                <c:pt idx="87">
                  <c:v>0.91722943328318407</c:v>
                </c:pt>
                <c:pt idx="88">
                  <c:v>0.91131088640064362</c:v>
                </c:pt>
                <c:pt idx="89">
                  <c:v>0.79039682070097983</c:v>
                </c:pt>
                <c:pt idx="90">
                  <c:v>0.79274527601609202</c:v>
                </c:pt>
                <c:pt idx="91">
                  <c:v>0.80458236978117204</c:v>
                </c:pt>
                <c:pt idx="92">
                  <c:v>0.8394025008995325</c:v>
                </c:pt>
                <c:pt idx="93">
                  <c:v>0.72667510534679891</c:v>
                </c:pt>
                <c:pt idx="94">
                  <c:v>0.72253212252902077</c:v>
                </c:pt>
                <c:pt idx="95">
                  <c:v>0.58090314274046628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598-4B5D-8B57-41C4A73F48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6418319"/>
        <c:axId val="408174607"/>
      </c:scatterChart>
      <c:valAx>
        <c:axId val="5164183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Аспект (Ш/В)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08174607"/>
        <c:crosses val="autoZero"/>
        <c:crossBetween val="midCat"/>
      </c:valAx>
      <c:valAx>
        <c:axId val="40817460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Абс дист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1641831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Качество фото График подбора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Абс дист</c:v>
          </c:tx>
          <c:spPr>
            <a:ln w="19050">
              <a:noFill/>
            </a:ln>
          </c:spPr>
          <c:xVal>
            <c:numRef>
              <c:f>'Лист3 - Итог'!$D$2:$D$97</c:f>
              <c:numCache>
                <c:formatCode>General</c:formatCode>
                <c:ptCount val="9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3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2</c:v>
                </c:pt>
                <c:pt idx="30">
                  <c:v>1</c:v>
                </c:pt>
                <c:pt idx="31">
                  <c:v>1</c:v>
                </c:pt>
                <c:pt idx="32">
                  <c:v>2</c:v>
                </c:pt>
                <c:pt idx="33">
                  <c:v>2</c:v>
                </c:pt>
                <c:pt idx="34">
                  <c:v>3</c:v>
                </c:pt>
                <c:pt idx="35">
                  <c:v>1</c:v>
                </c:pt>
                <c:pt idx="36">
                  <c:v>2</c:v>
                </c:pt>
                <c:pt idx="37">
                  <c:v>1</c:v>
                </c:pt>
                <c:pt idx="38">
                  <c:v>2</c:v>
                </c:pt>
                <c:pt idx="39">
                  <c:v>1</c:v>
                </c:pt>
                <c:pt idx="40">
                  <c:v>3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2</c:v>
                </c:pt>
                <c:pt idx="52">
                  <c:v>3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2</c:v>
                </c:pt>
                <c:pt idx="61">
                  <c:v>2</c:v>
                </c:pt>
                <c:pt idx="62">
                  <c:v>1</c:v>
                </c:pt>
                <c:pt idx="63">
                  <c:v>2</c:v>
                </c:pt>
                <c:pt idx="64">
                  <c:v>2</c:v>
                </c:pt>
                <c:pt idx="65">
                  <c:v>3</c:v>
                </c:pt>
                <c:pt idx="66">
                  <c:v>2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2</c:v>
                </c:pt>
                <c:pt idx="78">
                  <c:v>3</c:v>
                </c:pt>
                <c:pt idx="79">
                  <c:v>1</c:v>
                </c:pt>
                <c:pt idx="80">
                  <c:v>2</c:v>
                </c:pt>
                <c:pt idx="81">
                  <c:v>1</c:v>
                </c:pt>
                <c:pt idx="82">
                  <c:v>2</c:v>
                </c:pt>
                <c:pt idx="83">
                  <c:v>1</c:v>
                </c:pt>
                <c:pt idx="84">
                  <c:v>1</c:v>
                </c:pt>
                <c:pt idx="85">
                  <c:v>2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2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2</c:v>
                </c:pt>
                <c:pt idx="94">
                  <c:v>2</c:v>
                </c:pt>
                <c:pt idx="95">
                  <c:v>3</c:v>
                </c:pt>
              </c:numCache>
            </c:numRef>
          </c:xVal>
          <c:yVal>
            <c:numRef>
              <c:f>'Лист3 - Итог'!$E$2:$E$97</c:f>
              <c:numCache>
                <c:formatCode>General</c:formatCode>
                <c:ptCount val="96"/>
                <c:pt idx="0">
                  <c:v>0.05</c:v>
                </c:pt>
                <c:pt idx="1">
                  <c:v>0.11</c:v>
                </c:pt>
                <c:pt idx="2">
                  <c:v>0.13</c:v>
                </c:pt>
                <c:pt idx="3">
                  <c:v>0.28999999999999998</c:v>
                </c:pt>
                <c:pt idx="4">
                  <c:v>0.16</c:v>
                </c:pt>
                <c:pt idx="5">
                  <c:v>0.08</c:v>
                </c:pt>
                <c:pt idx="6">
                  <c:v>0.15</c:v>
                </c:pt>
                <c:pt idx="7">
                  <c:v>0.13</c:v>
                </c:pt>
                <c:pt idx="8">
                  <c:v>0</c:v>
                </c:pt>
                <c:pt idx="9">
                  <c:v>0.13</c:v>
                </c:pt>
                <c:pt idx="10">
                  <c:v>0</c:v>
                </c:pt>
                <c:pt idx="11">
                  <c:v>0.08</c:v>
                </c:pt>
                <c:pt idx="12">
                  <c:v>0.22</c:v>
                </c:pt>
                <c:pt idx="13">
                  <c:v>0.08</c:v>
                </c:pt>
                <c:pt idx="14">
                  <c:v>0.15</c:v>
                </c:pt>
                <c:pt idx="15">
                  <c:v>0.13</c:v>
                </c:pt>
                <c:pt idx="16">
                  <c:v>0.04</c:v>
                </c:pt>
                <c:pt idx="17">
                  <c:v>0.09</c:v>
                </c:pt>
                <c:pt idx="18">
                  <c:v>0.01</c:v>
                </c:pt>
                <c:pt idx="19">
                  <c:v>7.0000000000000007E-2</c:v>
                </c:pt>
                <c:pt idx="20">
                  <c:v>0.22</c:v>
                </c:pt>
                <c:pt idx="21">
                  <c:v>0.15</c:v>
                </c:pt>
                <c:pt idx="22">
                  <c:v>0.6</c:v>
                </c:pt>
                <c:pt idx="23">
                  <c:v>0.47</c:v>
                </c:pt>
                <c:pt idx="24">
                  <c:v>0.05</c:v>
                </c:pt>
                <c:pt idx="25">
                  <c:v>0.35</c:v>
                </c:pt>
                <c:pt idx="26">
                  <c:v>0.03</c:v>
                </c:pt>
                <c:pt idx="27">
                  <c:v>0.05</c:v>
                </c:pt>
                <c:pt idx="28">
                  <c:v>0.23</c:v>
                </c:pt>
                <c:pt idx="29">
                  <c:v>0.11</c:v>
                </c:pt>
                <c:pt idx="30">
                  <c:v>0.47</c:v>
                </c:pt>
                <c:pt idx="31">
                  <c:v>0.19</c:v>
                </c:pt>
                <c:pt idx="32">
                  <c:v>0.31</c:v>
                </c:pt>
                <c:pt idx="33">
                  <c:v>0.27</c:v>
                </c:pt>
                <c:pt idx="34">
                  <c:v>0.15</c:v>
                </c:pt>
                <c:pt idx="35">
                  <c:v>1.02</c:v>
                </c:pt>
                <c:pt idx="36">
                  <c:v>0.55000000000000004</c:v>
                </c:pt>
                <c:pt idx="37">
                  <c:v>0.48</c:v>
                </c:pt>
                <c:pt idx="38">
                  <c:v>0.4</c:v>
                </c:pt>
                <c:pt idx="39">
                  <c:v>1.6</c:v>
                </c:pt>
                <c:pt idx="40">
                  <c:v>0.19</c:v>
                </c:pt>
                <c:pt idx="41">
                  <c:v>0.18</c:v>
                </c:pt>
                <c:pt idx="42">
                  <c:v>0.1</c:v>
                </c:pt>
                <c:pt idx="43">
                  <c:v>1.18</c:v>
                </c:pt>
                <c:pt idx="44">
                  <c:v>0.63</c:v>
                </c:pt>
                <c:pt idx="45">
                  <c:v>1.1000000000000001</c:v>
                </c:pt>
                <c:pt idx="46">
                  <c:v>0.94</c:v>
                </c:pt>
                <c:pt idx="47">
                  <c:v>0.33</c:v>
                </c:pt>
                <c:pt idx="48">
                  <c:v>0.25</c:v>
                </c:pt>
                <c:pt idx="49">
                  <c:v>0.61</c:v>
                </c:pt>
                <c:pt idx="50">
                  <c:v>0.94</c:v>
                </c:pt>
                <c:pt idx="51">
                  <c:v>0.18</c:v>
                </c:pt>
                <c:pt idx="52">
                  <c:v>0.4</c:v>
                </c:pt>
                <c:pt idx="53">
                  <c:v>0.01</c:v>
                </c:pt>
                <c:pt idx="54">
                  <c:v>0.15</c:v>
                </c:pt>
                <c:pt idx="55">
                  <c:v>0.13</c:v>
                </c:pt>
                <c:pt idx="56">
                  <c:v>7.0000000000000007E-2</c:v>
                </c:pt>
                <c:pt idx="57">
                  <c:v>0.08</c:v>
                </c:pt>
                <c:pt idx="58">
                  <c:v>0.54</c:v>
                </c:pt>
                <c:pt idx="59">
                  <c:v>0.06</c:v>
                </c:pt>
                <c:pt idx="60">
                  <c:v>0.13</c:v>
                </c:pt>
                <c:pt idx="61">
                  <c:v>0.2</c:v>
                </c:pt>
                <c:pt idx="62">
                  <c:v>0.25</c:v>
                </c:pt>
                <c:pt idx="63">
                  <c:v>0.18</c:v>
                </c:pt>
                <c:pt idx="64">
                  <c:v>0.16</c:v>
                </c:pt>
                <c:pt idx="65">
                  <c:v>0.06</c:v>
                </c:pt>
                <c:pt idx="66">
                  <c:v>0.62</c:v>
                </c:pt>
                <c:pt idx="67">
                  <c:v>0.8</c:v>
                </c:pt>
                <c:pt idx="68">
                  <c:v>1.06</c:v>
                </c:pt>
                <c:pt idx="69">
                  <c:v>0.8</c:v>
                </c:pt>
                <c:pt idx="70">
                  <c:v>0.84</c:v>
                </c:pt>
                <c:pt idx="71">
                  <c:v>0.62</c:v>
                </c:pt>
                <c:pt idx="72">
                  <c:v>1.2</c:v>
                </c:pt>
                <c:pt idx="73">
                  <c:v>0.35</c:v>
                </c:pt>
                <c:pt idx="74">
                  <c:v>0.95</c:v>
                </c:pt>
                <c:pt idx="75">
                  <c:v>0.69</c:v>
                </c:pt>
                <c:pt idx="76">
                  <c:v>0.69</c:v>
                </c:pt>
                <c:pt idx="77">
                  <c:v>0.66</c:v>
                </c:pt>
                <c:pt idx="78">
                  <c:v>0.62</c:v>
                </c:pt>
                <c:pt idx="79">
                  <c:v>1.45</c:v>
                </c:pt>
                <c:pt idx="80">
                  <c:v>0.94</c:v>
                </c:pt>
                <c:pt idx="81">
                  <c:v>1.07</c:v>
                </c:pt>
                <c:pt idx="82">
                  <c:v>0.47</c:v>
                </c:pt>
                <c:pt idx="83">
                  <c:v>1.39</c:v>
                </c:pt>
                <c:pt idx="84">
                  <c:v>1.45</c:v>
                </c:pt>
                <c:pt idx="85">
                  <c:v>0.54</c:v>
                </c:pt>
                <c:pt idx="86">
                  <c:v>1.1399999999999999</c:v>
                </c:pt>
                <c:pt idx="87">
                  <c:v>0.74</c:v>
                </c:pt>
                <c:pt idx="88">
                  <c:v>1.01</c:v>
                </c:pt>
                <c:pt idx="89">
                  <c:v>0.18</c:v>
                </c:pt>
                <c:pt idx="90">
                  <c:v>1.64</c:v>
                </c:pt>
                <c:pt idx="91">
                  <c:v>1.1399999999999999</c:v>
                </c:pt>
                <c:pt idx="92">
                  <c:v>0.74</c:v>
                </c:pt>
                <c:pt idx="93">
                  <c:v>0.4</c:v>
                </c:pt>
                <c:pt idx="94">
                  <c:v>0.61</c:v>
                </c:pt>
                <c:pt idx="95">
                  <c:v>0.4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457-4E56-86E4-F25CCBA826BD}"/>
            </c:ext>
          </c:extLst>
        </c:ser>
        <c:ser>
          <c:idx val="1"/>
          <c:order val="1"/>
          <c:tx>
            <c:v>Предсказанное Абс дист</c:v>
          </c:tx>
          <c:spPr>
            <a:ln w="19050">
              <a:noFill/>
            </a:ln>
          </c:spPr>
          <c:xVal>
            <c:numRef>
              <c:f>'Лист3 - Итог'!$D$2:$D$97</c:f>
              <c:numCache>
                <c:formatCode>General</c:formatCode>
                <c:ptCount val="9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3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2</c:v>
                </c:pt>
                <c:pt idx="30">
                  <c:v>1</c:v>
                </c:pt>
                <c:pt idx="31">
                  <c:v>1</c:v>
                </c:pt>
                <c:pt idx="32">
                  <c:v>2</c:v>
                </c:pt>
                <c:pt idx="33">
                  <c:v>2</c:v>
                </c:pt>
                <c:pt idx="34">
                  <c:v>3</c:v>
                </c:pt>
                <c:pt idx="35">
                  <c:v>1</c:v>
                </c:pt>
                <c:pt idx="36">
                  <c:v>2</c:v>
                </c:pt>
                <c:pt idx="37">
                  <c:v>1</c:v>
                </c:pt>
                <c:pt idx="38">
                  <c:v>2</c:v>
                </c:pt>
                <c:pt idx="39">
                  <c:v>1</c:v>
                </c:pt>
                <c:pt idx="40">
                  <c:v>3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2</c:v>
                </c:pt>
                <c:pt idx="52">
                  <c:v>3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2</c:v>
                </c:pt>
                <c:pt idx="61">
                  <c:v>2</c:v>
                </c:pt>
                <c:pt idx="62">
                  <c:v>1</c:v>
                </c:pt>
                <c:pt idx="63">
                  <c:v>2</c:v>
                </c:pt>
                <c:pt idx="64">
                  <c:v>2</c:v>
                </c:pt>
                <c:pt idx="65">
                  <c:v>3</c:v>
                </c:pt>
                <c:pt idx="66">
                  <c:v>2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2</c:v>
                </c:pt>
                <c:pt idx="78">
                  <c:v>3</c:v>
                </c:pt>
                <c:pt idx="79">
                  <c:v>1</c:v>
                </c:pt>
                <c:pt idx="80">
                  <c:v>2</c:v>
                </c:pt>
                <c:pt idx="81">
                  <c:v>1</c:v>
                </c:pt>
                <c:pt idx="82">
                  <c:v>2</c:v>
                </c:pt>
                <c:pt idx="83">
                  <c:v>1</c:v>
                </c:pt>
                <c:pt idx="84">
                  <c:v>1</c:v>
                </c:pt>
                <c:pt idx="85">
                  <c:v>2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2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2</c:v>
                </c:pt>
                <c:pt idx="94">
                  <c:v>2</c:v>
                </c:pt>
                <c:pt idx="95">
                  <c:v>3</c:v>
                </c:pt>
              </c:numCache>
            </c:numRef>
          </c:xVal>
          <c:yVal>
            <c:numRef>
              <c:f>'Лист3 - Итог'!$S$4:$S$99</c:f>
              <c:numCache>
                <c:formatCode>General</c:formatCode>
                <c:ptCount val="96"/>
                <c:pt idx="0">
                  <c:v>4.9501882982593393E-2</c:v>
                </c:pt>
                <c:pt idx="1">
                  <c:v>-1.5403541748095884E-2</c:v>
                </c:pt>
                <c:pt idx="2">
                  <c:v>-9.500603819650888E-2</c:v>
                </c:pt>
                <c:pt idx="3">
                  <c:v>-0.1080268413380977</c:v>
                </c:pt>
                <c:pt idx="4">
                  <c:v>0.23009397670728687</c:v>
                </c:pt>
                <c:pt idx="5">
                  <c:v>0.34086618065591051</c:v>
                </c:pt>
                <c:pt idx="6">
                  <c:v>0.23117839059516959</c:v>
                </c:pt>
                <c:pt idx="7">
                  <c:v>-0.21483569000829084</c:v>
                </c:pt>
                <c:pt idx="8">
                  <c:v>0.29430825126109611</c:v>
                </c:pt>
                <c:pt idx="9">
                  <c:v>0.2323620999716775</c:v>
                </c:pt>
                <c:pt idx="10">
                  <c:v>0.44996211602839881</c:v>
                </c:pt>
                <c:pt idx="11">
                  <c:v>0.28898155906681006</c:v>
                </c:pt>
                <c:pt idx="12">
                  <c:v>0.19931753291807847</c:v>
                </c:pt>
                <c:pt idx="13">
                  <c:v>0.31492386986135984</c:v>
                </c:pt>
                <c:pt idx="14">
                  <c:v>0.17929376900606825</c:v>
                </c:pt>
                <c:pt idx="15">
                  <c:v>3.4705515776244034E-2</c:v>
                </c:pt>
                <c:pt idx="16">
                  <c:v>0.24934625839169511</c:v>
                </c:pt>
                <c:pt idx="17">
                  <c:v>0.19331865398481562</c:v>
                </c:pt>
                <c:pt idx="18">
                  <c:v>0.13364846244678696</c:v>
                </c:pt>
                <c:pt idx="19">
                  <c:v>0.31228536456737055</c:v>
                </c:pt>
                <c:pt idx="20">
                  <c:v>0.2704622726785878</c:v>
                </c:pt>
                <c:pt idx="21">
                  <c:v>0.25744146953699987</c:v>
                </c:pt>
                <c:pt idx="22">
                  <c:v>0.43972879527573194</c:v>
                </c:pt>
                <c:pt idx="23">
                  <c:v>0.46920327076190399</c:v>
                </c:pt>
                <c:pt idx="24">
                  <c:v>0.54002724237513244</c:v>
                </c:pt>
                <c:pt idx="25">
                  <c:v>0.44740394278513057</c:v>
                </c:pt>
                <c:pt idx="26">
                  <c:v>0.64083721211206401</c:v>
                </c:pt>
                <c:pt idx="27">
                  <c:v>0.48814262078603149</c:v>
                </c:pt>
                <c:pt idx="28">
                  <c:v>0.47808109108571378</c:v>
                </c:pt>
                <c:pt idx="29">
                  <c:v>0.44022135447536115</c:v>
                </c:pt>
                <c:pt idx="30">
                  <c:v>0.52108789235100494</c:v>
                </c:pt>
                <c:pt idx="31">
                  <c:v>0.50520711125677242</c:v>
                </c:pt>
                <c:pt idx="32">
                  <c:v>0.35529216583266165</c:v>
                </c:pt>
                <c:pt idx="33">
                  <c:v>0.25270663203096733</c:v>
                </c:pt>
                <c:pt idx="34">
                  <c:v>0.26732337169796994</c:v>
                </c:pt>
                <c:pt idx="35">
                  <c:v>0.79649499512286748</c:v>
                </c:pt>
                <c:pt idx="36">
                  <c:v>0.58996059060362327</c:v>
                </c:pt>
                <c:pt idx="37">
                  <c:v>0.78643346542254888</c:v>
                </c:pt>
                <c:pt idx="38">
                  <c:v>0.61294362795690327</c:v>
                </c:pt>
                <c:pt idx="39">
                  <c:v>0.83309069030598892</c:v>
                </c:pt>
                <c:pt idx="40">
                  <c:v>0.2743302507118921</c:v>
                </c:pt>
                <c:pt idx="41">
                  <c:v>0.83239954012911022</c:v>
                </c:pt>
                <c:pt idx="42">
                  <c:v>0.70091242209159588</c:v>
                </c:pt>
                <c:pt idx="43">
                  <c:v>0.82539657935868704</c:v>
                </c:pt>
                <c:pt idx="44">
                  <c:v>0.63373887409651641</c:v>
                </c:pt>
                <c:pt idx="45">
                  <c:v>0.9020398023658307</c:v>
                </c:pt>
                <c:pt idx="46">
                  <c:v>0.92502283971911115</c:v>
                </c:pt>
                <c:pt idx="47">
                  <c:v>0.58885721327783735</c:v>
                </c:pt>
                <c:pt idx="48">
                  <c:v>0.72981400632741589</c:v>
                </c:pt>
                <c:pt idx="49">
                  <c:v>0.53105404480619689</c:v>
                </c:pt>
                <c:pt idx="50">
                  <c:v>0.84719590733545957</c:v>
                </c:pt>
                <c:pt idx="51">
                  <c:v>0.47908909116637399</c:v>
                </c:pt>
                <c:pt idx="52">
                  <c:v>0.3214800347949609</c:v>
                </c:pt>
                <c:pt idx="53">
                  <c:v>0.11448763976400461</c:v>
                </c:pt>
                <c:pt idx="54">
                  <c:v>0.15335145821151802</c:v>
                </c:pt>
                <c:pt idx="55">
                  <c:v>0.12859285679347526</c:v>
                </c:pt>
                <c:pt idx="56">
                  <c:v>0.24834217655453478</c:v>
                </c:pt>
                <c:pt idx="57">
                  <c:v>0.15927000509405759</c:v>
                </c:pt>
                <c:pt idx="58">
                  <c:v>6.7731119391938044E-2</c:v>
                </c:pt>
                <c:pt idx="59">
                  <c:v>0.18639602526511573</c:v>
                </c:pt>
                <c:pt idx="60">
                  <c:v>3.4705515776244034E-2</c:v>
                </c:pt>
                <c:pt idx="61">
                  <c:v>8.0671590482804478E-2</c:v>
                </c:pt>
                <c:pt idx="62">
                  <c:v>6.664670550405577E-2</c:v>
                </c:pt>
                <c:pt idx="63">
                  <c:v>-2.132208863063545E-2</c:v>
                </c:pt>
                <c:pt idx="64">
                  <c:v>3.1746242334973807E-2</c:v>
                </c:pt>
                <c:pt idx="65">
                  <c:v>-5.3263278358448574E-2</c:v>
                </c:pt>
                <c:pt idx="66">
                  <c:v>0.47316662604033366</c:v>
                </c:pt>
                <c:pt idx="67">
                  <c:v>0.81937481874402285</c:v>
                </c:pt>
                <c:pt idx="68">
                  <c:v>0.67900988038269738</c:v>
                </c:pt>
                <c:pt idx="69">
                  <c:v>0.71560557556582061</c:v>
                </c:pt>
                <c:pt idx="70">
                  <c:v>0.61006076832285649</c:v>
                </c:pt>
                <c:pt idx="71">
                  <c:v>0.64488089944121652</c:v>
                </c:pt>
                <c:pt idx="72">
                  <c:v>0.62120671191105648</c:v>
                </c:pt>
                <c:pt idx="73">
                  <c:v>0.73276936152518579</c:v>
                </c:pt>
                <c:pt idx="74">
                  <c:v>0.70968702868328015</c:v>
                </c:pt>
                <c:pt idx="75">
                  <c:v>0.64192162599994629</c:v>
                </c:pt>
                <c:pt idx="76">
                  <c:v>0.69380624758904763</c:v>
                </c:pt>
                <c:pt idx="77">
                  <c:v>0.49792522745837642</c:v>
                </c:pt>
                <c:pt idx="78">
                  <c:v>0.32739466343400103</c:v>
                </c:pt>
                <c:pt idx="79">
                  <c:v>0.7190613264502177</c:v>
                </c:pt>
                <c:pt idx="80">
                  <c:v>0.66295338999261755</c:v>
                </c:pt>
                <c:pt idx="81">
                  <c:v>0.80576607915767995</c:v>
                </c:pt>
                <c:pt idx="82">
                  <c:v>0.67360677438118877</c:v>
                </c:pt>
                <c:pt idx="83">
                  <c:v>0.72083689051498001</c:v>
                </c:pt>
                <c:pt idx="84">
                  <c:v>0.7709459480393186</c:v>
                </c:pt>
                <c:pt idx="85">
                  <c:v>0.56806196713822554</c:v>
                </c:pt>
                <c:pt idx="86">
                  <c:v>0.80458236978117204</c:v>
                </c:pt>
                <c:pt idx="87">
                  <c:v>0.91722943328318407</c:v>
                </c:pt>
                <c:pt idx="88">
                  <c:v>0.91131088640064362</c:v>
                </c:pt>
                <c:pt idx="89">
                  <c:v>0.79039682070097983</c:v>
                </c:pt>
                <c:pt idx="90">
                  <c:v>0.79274527601609202</c:v>
                </c:pt>
                <c:pt idx="91">
                  <c:v>0.80458236978117204</c:v>
                </c:pt>
                <c:pt idx="92">
                  <c:v>0.8394025008995325</c:v>
                </c:pt>
                <c:pt idx="93">
                  <c:v>0.72667510534679891</c:v>
                </c:pt>
                <c:pt idx="94">
                  <c:v>0.72253212252902077</c:v>
                </c:pt>
                <c:pt idx="95">
                  <c:v>0.58090314274046628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457-4E56-86E4-F25CCBA826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8123519"/>
        <c:axId val="516417903"/>
      </c:scatterChart>
      <c:valAx>
        <c:axId val="19481235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Качество фото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16417903"/>
        <c:crosses val="autoZero"/>
        <c:crossBetween val="midCat"/>
      </c:valAx>
      <c:valAx>
        <c:axId val="51641790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Абс дист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4812351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График нормального распределения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'Лист3 - Итог'!$W$4:$W$99</c:f>
              <c:numCache>
                <c:formatCode>General</c:formatCode>
                <c:ptCount val="96"/>
                <c:pt idx="0">
                  <c:v>0.52083333333333304</c:v>
                </c:pt>
                <c:pt idx="1">
                  <c:v>1.5625</c:v>
                </c:pt>
                <c:pt idx="2">
                  <c:v>2.604166666666667</c:v>
                </c:pt>
                <c:pt idx="3">
                  <c:v>3.6458333333333335</c:v>
                </c:pt>
                <c:pt idx="4">
                  <c:v>4.6875</c:v>
                </c:pt>
                <c:pt idx="5">
                  <c:v>5.729166666666667</c:v>
                </c:pt>
                <c:pt idx="6">
                  <c:v>6.770833333333333</c:v>
                </c:pt>
                <c:pt idx="7">
                  <c:v>7.8125</c:v>
                </c:pt>
                <c:pt idx="8">
                  <c:v>8.8541666666666679</c:v>
                </c:pt>
                <c:pt idx="9">
                  <c:v>9.8958333333333339</c:v>
                </c:pt>
                <c:pt idx="10">
                  <c:v>10.937500000000002</c:v>
                </c:pt>
                <c:pt idx="11">
                  <c:v>11.979166666666668</c:v>
                </c:pt>
                <c:pt idx="12">
                  <c:v>13.020833333333334</c:v>
                </c:pt>
                <c:pt idx="13">
                  <c:v>14.062500000000002</c:v>
                </c:pt>
                <c:pt idx="14">
                  <c:v>15.104166666666668</c:v>
                </c:pt>
                <c:pt idx="15">
                  <c:v>16.145833333333336</c:v>
                </c:pt>
                <c:pt idx="16">
                  <c:v>17.1875</c:v>
                </c:pt>
                <c:pt idx="17">
                  <c:v>18.229166666666668</c:v>
                </c:pt>
                <c:pt idx="18">
                  <c:v>19.270833333333332</c:v>
                </c:pt>
                <c:pt idx="19">
                  <c:v>20.3125</c:v>
                </c:pt>
                <c:pt idx="20">
                  <c:v>21.354166666666668</c:v>
                </c:pt>
                <c:pt idx="21">
                  <c:v>22.395833333333332</c:v>
                </c:pt>
                <c:pt idx="22">
                  <c:v>23.4375</c:v>
                </c:pt>
                <c:pt idx="23">
                  <c:v>24.479166666666668</c:v>
                </c:pt>
                <c:pt idx="24">
                  <c:v>25.520833333333332</c:v>
                </c:pt>
                <c:pt idx="25">
                  <c:v>26.5625</c:v>
                </c:pt>
                <c:pt idx="26">
                  <c:v>27.604166666666668</c:v>
                </c:pt>
                <c:pt idx="27">
                  <c:v>28.645833333333336</c:v>
                </c:pt>
                <c:pt idx="28">
                  <c:v>29.6875</c:v>
                </c:pt>
                <c:pt idx="29">
                  <c:v>30.729166666666668</c:v>
                </c:pt>
                <c:pt idx="30">
                  <c:v>31.770833333333336</c:v>
                </c:pt>
                <c:pt idx="31">
                  <c:v>32.812500000000007</c:v>
                </c:pt>
                <c:pt idx="32">
                  <c:v>33.854166666666671</c:v>
                </c:pt>
                <c:pt idx="33">
                  <c:v>34.895833333333336</c:v>
                </c:pt>
                <c:pt idx="34">
                  <c:v>35.937500000000007</c:v>
                </c:pt>
                <c:pt idx="35">
                  <c:v>36.979166666666671</c:v>
                </c:pt>
                <c:pt idx="36">
                  <c:v>38.020833333333336</c:v>
                </c:pt>
                <c:pt idx="37">
                  <c:v>39.062500000000007</c:v>
                </c:pt>
                <c:pt idx="38">
                  <c:v>40.104166666666671</c:v>
                </c:pt>
                <c:pt idx="39">
                  <c:v>41.145833333333336</c:v>
                </c:pt>
                <c:pt idx="40">
                  <c:v>42.187500000000007</c:v>
                </c:pt>
                <c:pt idx="41">
                  <c:v>43.229166666666671</c:v>
                </c:pt>
                <c:pt idx="42">
                  <c:v>44.270833333333336</c:v>
                </c:pt>
                <c:pt idx="43">
                  <c:v>45.312500000000007</c:v>
                </c:pt>
                <c:pt idx="44">
                  <c:v>46.354166666666671</c:v>
                </c:pt>
                <c:pt idx="45">
                  <c:v>47.395833333333336</c:v>
                </c:pt>
                <c:pt idx="46">
                  <c:v>48.437500000000007</c:v>
                </c:pt>
                <c:pt idx="47">
                  <c:v>49.479166666666671</c:v>
                </c:pt>
                <c:pt idx="48">
                  <c:v>50.520833333333336</c:v>
                </c:pt>
                <c:pt idx="49">
                  <c:v>51.562500000000007</c:v>
                </c:pt>
                <c:pt idx="50">
                  <c:v>52.604166666666671</c:v>
                </c:pt>
                <c:pt idx="51">
                  <c:v>53.645833333333343</c:v>
                </c:pt>
                <c:pt idx="52">
                  <c:v>54.687500000000007</c:v>
                </c:pt>
                <c:pt idx="53">
                  <c:v>55.729166666666671</c:v>
                </c:pt>
                <c:pt idx="54">
                  <c:v>56.770833333333343</c:v>
                </c:pt>
                <c:pt idx="55">
                  <c:v>57.812500000000007</c:v>
                </c:pt>
                <c:pt idx="56">
                  <c:v>58.854166666666671</c:v>
                </c:pt>
                <c:pt idx="57">
                  <c:v>59.895833333333343</c:v>
                </c:pt>
                <c:pt idx="58">
                  <c:v>60.937500000000007</c:v>
                </c:pt>
                <c:pt idx="59">
                  <c:v>61.979166666666671</c:v>
                </c:pt>
                <c:pt idx="60">
                  <c:v>63.020833333333343</c:v>
                </c:pt>
                <c:pt idx="61">
                  <c:v>64.0625</c:v>
                </c:pt>
                <c:pt idx="62">
                  <c:v>65.104166666666671</c:v>
                </c:pt>
                <c:pt idx="63">
                  <c:v>66.145833333333329</c:v>
                </c:pt>
                <c:pt idx="64">
                  <c:v>67.1875</c:v>
                </c:pt>
                <c:pt idx="65">
                  <c:v>68.229166666666671</c:v>
                </c:pt>
                <c:pt idx="66">
                  <c:v>69.270833333333329</c:v>
                </c:pt>
                <c:pt idx="67">
                  <c:v>70.3125</c:v>
                </c:pt>
                <c:pt idx="68">
                  <c:v>71.354166666666671</c:v>
                </c:pt>
                <c:pt idx="69">
                  <c:v>72.395833333333329</c:v>
                </c:pt>
                <c:pt idx="70">
                  <c:v>73.4375</c:v>
                </c:pt>
                <c:pt idx="71">
                  <c:v>74.479166666666671</c:v>
                </c:pt>
                <c:pt idx="72">
                  <c:v>75.520833333333329</c:v>
                </c:pt>
                <c:pt idx="73">
                  <c:v>76.5625</c:v>
                </c:pt>
                <c:pt idx="74">
                  <c:v>77.604166666666671</c:v>
                </c:pt>
                <c:pt idx="75">
                  <c:v>78.645833333333329</c:v>
                </c:pt>
                <c:pt idx="76">
                  <c:v>79.6875</c:v>
                </c:pt>
                <c:pt idx="77">
                  <c:v>80.729166666666671</c:v>
                </c:pt>
                <c:pt idx="78">
                  <c:v>81.770833333333329</c:v>
                </c:pt>
                <c:pt idx="79">
                  <c:v>82.8125</c:v>
                </c:pt>
                <c:pt idx="80">
                  <c:v>83.854166666666671</c:v>
                </c:pt>
                <c:pt idx="81">
                  <c:v>84.895833333333329</c:v>
                </c:pt>
                <c:pt idx="82">
                  <c:v>85.9375</c:v>
                </c:pt>
                <c:pt idx="83">
                  <c:v>86.979166666666671</c:v>
                </c:pt>
                <c:pt idx="84">
                  <c:v>88.020833333333329</c:v>
                </c:pt>
                <c:pt idx="85">
                  <c:v>89.0625</c:v>
                </c:pt>
                <c:pt idx="86">
                  <c:v>90.104166666666671</c:v>
                </c:pt>
                <c:pt idx="87">
                  <c:v>91.145833333333329</c:v>
                </c:pt>
                <c:pt idx="88">
                  <c:v>92.1875</c:v>
                </c:pt>
                <c:pt idx="89">
                  <c:v>93.229166666666671</c:v>
                </c:pt>
                <c:pt idx="90">
                  <c:v>94.270833333333329</c:v>
                </c:pt>
                <c:pt idx="91">
                  <c:v>95.3125</c:v>
                </c:pt>
                <c:pt idx="92">
                  <c:v>96.354166666666671</c:v>
                </c:pt>
                <c:pt idx="93">
                  <c:v>97.395833333333329</c:v>
                </c:pt>
                <c:pt idx="94">
                  <c:v>98.4375</c:v>
                </c:pt>
                <c:pt idx="95">
                  <c:v>99.479166666666671</c:v>
                </c:pt>
              </c:numCache>
            </c:numRef>
          </c:xVal>
          <c:yVal>
            <c:numRef>
              <c:f>'Лист3 - Итог'!$X$4:$X$99</c:f>
              <c:numCache>
                <c:formatCode>General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0.01</c:v>
                </c:pt>
                <c:pt idx="3">
                  <c:v>0.01</c:v>
                </c:pt>
                <c:pt idx="4">
                  <c:v>0.03</c:v>
                </c:pt>
                <c:pt idx="5">
                  <c:v>0.04</c:v>
                </c:pt>
                <c:pt idx="6">
                  <c:v>0.05</c:v>
                </c:pt>
                <c:pt idx="7">
                  <c:v>0.05</c:v>
                </c:pt>
                <c:pt idx="8">
                  <c:v>0.05</c:v>
                </c:pt>
                <c:pt idx="9">
                  <c:v>0.06</c:v>
                </c:pt>
                <c:pt idx="10">
                  <c:v>0.06</c:v>
                </c:pt>
                <c:pt idx="11">
                  <c:v>7.0000000000000007E-2</c:v>
                </c:pt>
                <c:pt idx="12">
                  <c:v>7.0000000000000007E-2</c:v>
                </c:pt>
                <c:pt idx="13">
                  <c:v>0.08</c:v>
                </c:pt>
                <c:pt idx="14">
                  <c:v>0.08</c:v>
                </c:pt>
                <c:pt idx="15">
                  <c:v>0.08</c:v>
                </c:pt>
                <c:pt idx="16">
                  <c:v>0.08</c:v>
                </c:pt>
                <c:pt idx="17">
                  <c:v>0.09</c:v>
                </c:pt>
                <c:pt idx="18">
                  <c:v>0.1</c:v>
                </c:pt>
                <c:pt idx="19">
                  <c:v>0.11</c:v>
                </c:pt>
                <c:pt idx="20">
                  <c:v>0.11</c:v>
                </c:pt>
                <c:pt idx="21">
                  <c:v>0.13</c:v>
                </c:pt>
                <c:pt idx="22">
                  <c:v>0.13</c:v>
                </c:pt>
                <c:pt idx="23">
                  <c:v>0.13</c:v>
                </c:pt>
                <c:pt idx="24">
                  <c:v>0.13</c:v>
                </c:pt>
                <c:pt idx="25">
                  <c:v>0.13</c:v>
                </c:pt>
                <c:pt idx="26">
                  <c:v>0.13</c:v>
                </c:pt>
                <c:pt idx="27">
                  <c:v>0.15</c:v>
                </c:pt>
                <c:pt idx="28">
                  <c:v>0.15</c:v>
                </c:pt>
                <c:pt idx="29">
                  <c:v>0.15</c:v>
                </c:pt>
                <c:pt idx="30">
                  <c:v>0.15</c:v>
                </c:pt>
                <c:pt idx="31">
                  <c:v>0.15</c:v>
                </c:pt>
                <c:pt idx="32">
                  <c:v>0.16</c:v>
                </c:pt>
                <c:pt idx="33">
                  <c:v>0.16</c:v>
                </c:pt>
                <c:pt idx="34">
                  <c:v>0.18</c:v>
                </c:pt>
                <c:pt idx="35">
                  <c:v>0.18</c:v>
                </c:pt>
                <c:pt idx="36">
                  <c:v>0.18</c:v>
                </c:pt>
                <c:pt idx="37">
                  <c:v>0.18</c:v>
                </c:pt>
                <c:pt idx="38">
                  <c:v>0.19</c:v>
                </c:pt>
                <c:pt idx="39">
                  <c:v>0.19</c:v>
                </c:pt>
                <c:pt idx="40">
                  <c:v>0.2</c:v>
                </c:pt>
                <c:pt idx="41">
                  <c:v>0.22</c:v>
                </c:pt>
                <c:pt idx="42">
                  <c:v>0.22</c:v>
                </c:pt>
                <c:pt idx="43">
                  <c:v>0.23</c:v>
                </c:pt>
                <c:pt idx="44">
                  <c:v>0.25</c:v>
                </c:pt>
                <c:pt idx="45">
                  <c:v>0.25</c:v>
                </c:pt>
                <c:pt idx="46">
                  <c:v>0.27</c:v>
                </c:pt>
                <c:pt idx="47">
                  <c:v>0.28999999999999998</c:v>
                </c:pt>
                <c:pt idx="48">
                  <c:v>0.31</c:v>
                </c:pt>
                <c:pt idx="49">
                  <c:v>0.33</c:v>
                </c:pt>
                <c:pt idx="50">
                  <c:v>0.35</c:v>
                </c:pt>
                <c:pt idx="51">
                  <c:v>0.35</c:v>
                </c:pt>
                <c:pt idx="52">
                  <c:v>0.4</c:v>
                </c:pt>
                <c:pt idx="53">
                  <c:v>0.4</c:v>
                </c:pt>
                <c:pt idx="54">
                  <c:v>0.4</c:v>
                </c:pt>
                <c:pt idx="55">
                  <c:v>0.4</c:v>
                </c:pt>
                <c:pt idx="56">
                  <c:v>0.47</c:v>
                </c:pt>
                <c:pt idx="57">
                  <c:v>0.47</c:v>
                </c:pt>
                <c:pt idx="58">
                  <c:v>0.47</c:v>
                </c:pt>
                <c:pt idx="59">
                  <c:v>0.48</c:v>
                </c:pt>
                <c:pt idx="60">
                  <c:v>0.54</c:v>
                </c:pt>
                <c:pt idx="61">
                  <c:v>0.54</c:v>
                </c:pt>
                <c:pt idx="62">
                  <c:v>0.55000000000000004</c:v>
                </c:pt>
                <c:pt idx="63">
                  <c:v>0.6</c:v>
                </c:pt>
                <c:pt idx="64">
                  <c:v>0.61</c:v>
                </c:pt>
                <c:pt idx="65">
                  <c:v>0.61</c:v>
                </c:pt>
                <c:pt idx="66">
                  <c:v>0.62</c:v>
                </c:pt>
                <c:pt idx="67">
                  <c:v>0.62</c:v>
                </c:pt>
                <c:pt idx="68">
                  <c:v>0.62</c:v>
                </c:pt>
                <c:pt idx="69">
                  <c:v>0.63</c:v>
                </c:pt>
                <c:pt idx="70">
                  <c:v>0.66</c:v>
                </c:pt>
                <c:pt idx="71">
                  <c:v>0.69</c:v>
                </c:pt>
                <c:pt idx="72">
                  <c:v>0.69</c:v>
                </c:pt>
                <c:pt idx="73">
                  <c:v>0.74</c:v>
                </c:pt>
                <c:pt idx="74">
                  <c:v>0.74</c:v>
                </c:pt>
                <c:pt idx="75">
                  <c:v>0.8</c:v>
                </c:pt>
                <c:pt idx="76">
                  <c:v>0.8</c:v>
                </c:pt>
                <c:pt idx="77">
                  <c:v>0.84</c:v>
                </c:pt>
                <c:pt idx="78">
                  <c:v>0.94</c:v>
                </c:pt>
                <c:pt idx="79">
                  <c:v>0.94</c:v>
                </c:pt>
                <c:pt idx="80">
                  <c:v>0.94</c:v>
                </c:pt>
                <c:pt idx="81">
                  <c:v>0.95</c:v>
                </c:pt>
                <c:pt idx="82">
                  <c:v>1.01</c:v>
                </c:pt>
                <c:pt idx="83">
                  <c:v>1.02</c:v>
                </c:pt>
                <c:pt idx="84">
                  <c:v>1.06</c:v>
                </c:pt>
                <c:pt idx="85">
                  <c:v>1.07</c:v>
                </c:pt>
                <c:pt idx="86">
                  <c:v>1.1000000000000001</c:v>
                </c:pt>
                <c:pt idx="87">
                  <c:v>1.1399999999999999</c:v>
                </c:pt>
                <c:pt idx="88">
                  <c:v>1.1399999999999999</c:v>
                </c:pt>
                <c:pt idx="89">
                  <c:v>1.18</c:v>
                </c:pt>
                <c:pt idx="90">
                  <c:v>1.2</c:v>
                </c:pt>
                <c:pt idx="91">
                  <c:v>1.39</c:v>
                </c:pt>
                <c:pt idx="92">
                  <c:v>1.45</c:v>
                </c:pt>
                <c:pt idx="93">
                  <c:v>1.45</c:v>
                </c:pt>
                <c:pt idx="94">
                  <c:v>1.6</c:v>
                </c:pt>
                <c:pt idx="95">
                  <c:v>1.64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10B-418A-8B63-363C23F77B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6418319"/>
        <c:axId val="1948123519"/>
      </c:scatterChart>
      <c:valAx>
        <c:axId val="516418319"/>
        <c:scaling>
          <c:orientation val="minMax"/>
          <c:max val="10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Персентиль выборки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crossAx val="1948123519"/>
        <c:crosses val="autoZero"/>
        <c:crossBetween val="midCat"/>
      </c:valAx>
      <c:valAx>
        <c:axId val="194812351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Абс дист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16418319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Фактическое и рассче</a:t>
            </a:r>
            <a:r>
              <a:rPr lang="ru-RU" baseline="0"/>
              <a:t>тное</a:t>
            </a:r>
            <a:r>
              <a:rPr lang="ru-RU"/>
              <a:t> значения</a:t>
            </a:r>
            <a:r>
              <a:rPr lang="ru-RU" baseline="0"/>
              <a:t> абсолютной ошибки дистанции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'Лист3 - Итог'!$E$1</c:f>
              <c:strCache>
                <c:ptCount val="1"/>
                <c:pt idx="0">
                  <c:v>Абс дист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'Лист3 - Итог'!$A$2:$A$99</c:f>
              <c:numCache>
                <c:formatCode>General</c:formatCode>
                <c:ptCount val="9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</c:numCache>
            </c:numRef>
          </c:cat>
          <c:val>
            <c:numRef>
              <c:f>'Лист3 - Итог'!$E$2:$E$99</c:f>
              <c:numCache>
                <c:formatCode>General</c:formatCode>
                <c:ptCount val="98"/>
                <c:pt idx="0">
                  <c:v>0.05</c:v>
                </c:pt>
                <c:pt idx="1">
                  <c:v>0.11</c:v>
                </c:pt>
                <c:pt idx="2">
                  <c:v>0.13</c:v>
                </c:pt>
                <c:pt idx="3">
                  <c:v>0.28999999999999998</c:v>
                </c:pt>
                <c:pt idx="4">
                  <c:v>0.16</c:v>
                </c:pt>
                <c:pt idx="5">
                  <c:v>0.08</c:v>
                </c:pt>
                <c:pt idx="6">
                  <c:v>0.15</c:v>
                </c:pt>
                <c:pt idx="7">
                  <c:v>0.13</c:v>
                </c:pt>
                <c:pt idx="8">
                  <c:v>0</c:v>
                </c:pt>
                <c:pt idx="9">
                  <c:v>0.13</c:v>
                </c:pt>
                <c:pt idx="10">
                  <c:v>0</c:v>
                </c:pt>
                <c:pt idx="11">
                  <c:v>0.08</c:v>
                </c:pt>
                <c:pt idx="12">
                  <c:v>0.22</c:v>
                </c:pt>
                <c:pt idx="13">
                  <c:v>0.08</c:v>
                </c:pt>
                <c:pt idx="14">
                  <c:v>0.15</c:v>
                </c:pt>
                <c:pt idx="15">
                  <c:v>0.13</c:v>
                </c:pt>
                <c:pt idx="16">
                  <c:v>0.04</c:v>
                </c:pt>
                <c:pt idx="17">
                  <c:v>0.09</c:v>
                </c:pt>
                <c:pt idx="18">
                  <c:v>0.01</c:v>
                </c:pt>
                <c:pt idx="19">
                  <c:v>7.0000000000000007E-2</c:v>
                </c:pt>
                <c:pt idx="20">
                  <c:v>0.22</c:v>
                </c:pt>
                <c:pt idx="21">
                  <c:v>0.15</c:v>
                </c:pt>
                <c:pt idx="22">
                  <c:v>0.6</c:v>
                </c:pt>
                <c:pt idx="23">
                  <c:v>0.47</c:v>
                </c:pt>
                <c:pt idx="24">
                  <c:v>0.05</c:v>
                </c:pt>
                <c:pt idx="25">
                  <c:v>0.35</c:v>
                </c:pt>
                <c:pt idx="26">
                  <c:v>0.03</c:v>
                </c:pt>
                <c:pt idx="27">
                  <c:v>0.05</c:v>
                </c:pt>
                <c:pt idx="28">
                  <c:v>0.23</c:v>
                </c:pt>
                <c:pt idx="29">
                  <c:v>0.11</c:v>
                </c:pt>
                <c:pt idx="30">
                  <c:v>0.47</c:v>
                </c:pt>
                <c:pt idx="31">
                  <c:v>0.19</c:v>
                </c:pt>
                <c:pt idx="32">
                  <c:v>0.31</c:v>
                </c:pt>
                <c:pt idx="33">
                  <c:v>0.27</c:v>
                </c:pt>
                <c:pt idx="34">
                  <c:v>0.15</c:v>
                </c:pt>
                <c:pt idx="35">
                  <c:v>1.02</c:v>
                </c:pt>
                <c:pt idx="36">
                  <c:v>0.55000000000000004</c:v>
                </c:pt>
                <c:pt idx="37">
                  <c:v>0.48</c:v>
                </c:pt>
                <c:pt idx="38">
                  <c:v>0.4</c:v>
                </c:pt>
                <c:pt idx="39">
                  <c:v>1.6</c:v>
                </c:pt>
                <c:pt idx="40">
                  <c:v>0.19</c:v>
                </c:pt>
                <c:pt idx="41">
                  <c:v>0.18</c:v>
                </c:pt>
                <c:pt idx="42">
                  <c:v>0.1</c:v>
                </c:pt>
                <c:pt idx="43">
                  <c:v>1.18</c:v>
                </c:pt>
                <c:pt idx="44">
                  <c:v>0.63</c:v>
                </c:pt>
                <c:pt idx="45">
                  <c:v>1.1000000000000001</c:v>
                </c:pt>
                <c:pt idx="46">
                  <c:v>0.94</c:v>
                </c:pt>
                <c:pt idx="47">
                  <c:v>0.33</c:v>
                </c:pt>
                <c:pt idx="48">
                  <c:v>0.25</c:v>
                </c:pt>
                <c:pt idx="49">
                  <c:v>0.61</c:v>
                </c:pt>
                <c:pt idx="50">
                  <c:v>0.94</c:v>
                </c:pt>
                <c:pt idx="51">
                  <c:v>0.18</c:v>
                </c:pt>
                <c:pt idx="52">
                  <c:v>0.4</c:v>
                </c:pt>
                <c:pt idx="53">
                  <c:v>0.01</c:v>
                </c:pt>
                <c:pt idx="54">
                  <c:v>0.15</c:v>
                </c:pt>
                <c:pt idx="55">
                  <c:v>0.13</c:v>
                </c:pt>
                <c:pt idx="56">
                  <c:v>7.0000000000000007E-2</c:v>
                </c:pt>
                <c:pt idx="57">
                  <c:v>0.08</c:v>
                </c:pt>
                <c:pt idx="58">
                  <c:v>0.54</c:v>
                </c:pt>
                <c:pt idx="59">
                  <c:v>0.06</c:v>
                </c:pt>
                <c:pt idx="60">
                  <c:v>0.13</c:v>
                </c:pt>
                <c:pt idx="61">
                  <c:v>0.2</c:v>
                </c:pt>
                <c:pt idx="62">
                  <c:v>0.25</c:v>
                </c:pt>
                <c:pt idx="63">
                  <c:v>0.18</c:v>
                </c:pt>
                <c:pt idx="64">
                  <c:v>0.16</c:v>
                </c:pt>
                <c:pt idx="65">
                  <c:v>0.06</c:v>
                </c:pt>
                <c:pt idx="66">
                  <c:v>0.62</c:v>
                </c:pt>
                <c:pt idx="67">
                  <c:v>0.8</c:v>
                </c:pt>
                <c:pt idx="68">
                  <c:v>1.06</c:v>
                </c:pt>
                <c:pt idx="69">
                  <c:v>0.8</c:v>
                </c:pt>
                <c:pt idx="70">
                  <c:v>0.84</c:v>
                </c:pt>
                <c:pt idx="71">
                  <c:v>0.62</c:v>
                </c:pt>
                <c:pt idx="72">
                  <c:v>1.2</c:v>
                </c:pt>
                <c:pt idx="73">
                  <c:v>0.35</c:v>
                </c:pt>
                <c:pt idx="74">
                  <c:v>0.95</c:v>
                </c:pt>
                <c:pt idx="75">
                  <c:v>0.69</c:v>
                </c:pt>
                <c:pt idx="76">
                  <c:v>0.69</c:v>
                </c:pt>
                <c:pt idx="77">
                  <c:v>0.66</c:v>
                </c:pt>
                <c:pt idx="78">
                  <c:v>0.62</c:v>
                </c:pt>
                <c:pt idx="79">
                  <c:v>1.45</c:v>
                </c:pt>
                <c:pt idx="80">
                  <c:v>0.94</c:v>
                </c:pt>
                <c:pt idx="81">
                  <c:v>1.07</c:v>
                </c:pt>
                <c:pt idx="82">
                  <c:v>0.47</c:v>
                </c:pt>
                <c:pt idx="83">
                  <c:v>1.39</c:v>
                </c:pt>
                <c:pt idx="84">
                  <c:v>1.45</c:v>
                </c:pt>
                <c:pt idx="85">
                  <c:v>0.54</c:v>
                </c:pt>
                <c:pt idx="86">
                  <c:v>1.1399999999999999</c:v>
                </c:pt>
                <c:pt idx="87">
                  <c:v>0.74</c:v>
                </c:pt>
                <c:pt idx="88">
                  <c:v>1.01</c:v>
                </c:pt>
                <c:pt idx="89">
                  <c:v>0.18</c:v>
                </c:pt>
                <c:pt idx="90">
                  <c:v>1.64</c:v>
                </c:pt>
                <c:pt idx="91">
                  <c:v>1.1399999999999999</c:v>
                </c:pt>
                <c:pt idx="92">
                  <c:v>0.74</c:v>
                </c:pt>
                <c:pt idx="93">
                  <c:v>0.4</c:v>
                </c:pt>
                <c:pt idx="94">
                  <c:v>0.61</c:v>
                </c:pt>
                <c:pt idx="95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FE-4FB6-A151-222CA53619DD}"/>
            </c:ext>
          </c:extLst>
        </c:ser>
        <c:ser>
          <c:idx val="1"/>
          <c:order val="1"/>
          <c:tx>
            <c:strRef>
              <c:f>'Лист3 - Итог'!$F$1</c:f>
              <c:strCache>
                <c:ptCount val="1"/>
                <c:pt idx="0">
                  <c:v>Рассчет Абс дист.</c:v>
                </c:pt>
              </c:strCache>
            </c:strRef>
          </c:tx>
          <c:spPr>
            <a:ln w="28575" cap="rnd">
              <a:solidFill>
                <a:schemeClr val="bg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'Лист3 - Итог'!$A$2:$A$99</c:f>
              <c:numCache>
                <c:formatCode>General</c:formatCode>
                <c:ptCount val="9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</c:numCache>
            </c:numRef>
          </c:cat>
          <c:val>
            <c:numRef>
              <c:f>'Лист3 - Итог'!$F$2:$F$99</c:f>
              <c:numCache>
                <c:formatCode>General</c:formatCode>
                <c:ptCount val="98"/>
                <c:pt idx="0">
                  <c:v>4.9501882982593393E-2</c:v>
                </c:pt>
                <c:pt idx="1">
                  <c:v>-1.5403541748095884E-2</c:v>
                </c:pt>
                <c:pt idx="2">
                  <c:v>-9.500603819650888E-2</c:v>
                </c:pt>
                <c:pt idx="3">
                  <c:v>-0.1080268413380977</c:v>
                </c:pt>
                <c:pt idx="4">
                  <c:v>0.23009397670728687</c:v>
                </c:pt>
                <c:pt idx="5">
                  <c:v>0.34086618065591051</c:v>
                </c:pt>
                <c:pt idx="6">
                  <c:v>0.23117839059516959</c:v>
                </c:pt>
                <c:pt idx="7">
                  <c:v>-0.21483569000829084</c:v>
                </c:pt>
                <c:pt idx="8">
                  <c:v>0.29430825126109611</c:v>
                </c:pt>
                <c:pt idx="9">
                  <c:v>0.2323620999716775</c:v>
                </c:pt>
                <c:pt idx="10">
                  <c:v>0.44996211602839881</c:v>
                </c:pt>
                <c:pt idx="11">
                  <c:v>0.28898155906681006</c:v>
                </c:pt>
                <c:pt idx="12">
                  <c:v>0.19931753291807847</c:v>
                </c:pt>
                <c:pt idx="13">
                  <c:v>0.31492386986135984</c:v>
                </c:pt>
                <c:pt idx="14">
                  <c:v>0.17929376900606825</c:v>
                </c:pt>
                <c:pt idx="15">
                  <c:v>3.4705515776244034E-2</c:v>
                </c:pt>
                <c:pt idx="16">
                  <c:v>0.24934625839169511</c:v>
                </c:pt>
                <c:pt idx="17">
                  <c:v>0.19331865398481562</c:v>
                </c:pt>
                <c:pt idx="18">
                  <c:v>0.13364846244678696</c:v>
                </c:pt>
                <c:pt idx="19">
                  <c:v>0.31228536456737055</c:v>
                </c:pt>
                <c:pt idx="20">
                  <c:v>0.2704622726785878</c:v>
                </c:pt>
                <c:pt idx="21">
                  <c:v>0.25744146953699987</c:v>
                </c:pt>
                <c:pt idx="22">
                  <c:v>0.43972879527573194</c:v>
                </c:pt>
                <c:pt idx="23">
                  <c:v>0.46920327076190399</c:v>
                </c:pt>
                <c:pt idx="24">
                  <c:v>0.54002724237513244</c:v>
                </c:pt>
                <c:pt idx="25">
                  <c:v>0.44740394278513057</c:v>
                </c:pt>
                <c:pt idx="26">
                  <c:v>0.64083721211206401</c:v>
                </c:pt>
                <c:pt idx="27">
                  <c:v>0.48814262078603149</c:v>
                </c:pt>
                <c:pt idx="28">
                  <c:v>0.47808109108571378</c:v>
                </c:pt>
                <c:pt idx="29">
                  <c:v>0.44022135447536115</c:v>
                </c:pt>
                <c:pt idx="30">
                  <c:v>0.52108789235100494</c:v>
                </c:pt>
                <c:pt idx="31">
                  <c:v>0.50520711125677242</c:v>
                </c:pt>
                <c:pt idx="32">
                  <c:v>0.35529216583266165</c:v>
                </c:pt>
                <c:pt idx="33">
                  <c:v>0.25270663203096733</c:v>
                </c:pt>
                <c:pt idx="34">
                  <c:v>0.26732337169796994</c:v>
                </c:pt>
                <c:pt idx="35">
                  <c:v>0.79649499512286748</c:v>
                </c:pt>
                <c:pt idx="36">
                  <c:v>0.58996059060362327</c:v>
                </c:pt>
                <c:pt idx="37">
                  <c:v>0.78643346542254888</c:v>
                </c:pt>
                <c:pt idx="38">
                  <c:v>0.61294362795690327</c:v>
                </c:pt>
                <c:pt idx="39">
                  <c:v>0.83309069030598892</c:v>
                </c:pt>
                <c:pt idx="40">
                  <c:v>0.2743302507118921</c:v>
                </c:pt>
                <c:pt idx="41">
                  <c:v>0.83239954012911022</c:v>
                </c:pt>
                <c:pt idx="42">
                  <c:v>0.70091242209159588</c:v>
                </c:pt>
                <c:pt idx="43">
                  <c:v>0.82539657935868704</c:v>
                </c:pt>
                <c:pt idx="44">
                  <c:v>0.63373887409651641</c:v>
                </c:pt>
                <c:pt idx="45">
                  <c:v>0.9020398023658307</c:v>
                </c:pt>
                <c:pt idx="46">
                  <c:v>0.92502283971911115</c:v>
                </c:pt>
                <c:pt idx="47">
                  <c:v>0.58885721327783735</c:v>
                </c:pt>
                <c:pt idx="48">
                  <c:v>0.72981400632741589</c:v>
                </c:pt>
                <c:pt idx="49">
                  <c:v>0.53105404480619689</c:v>
                </c:pt>
                <c:pt idx="50">
                  <c:v>0.84719590733545957</c:v>
                </c:pt>
                <c:pt idx="51">
                  <c:v>0.47908909116637399</c:v>
                </c:pt>
                <c:pt idx="52">
                  <c:v>0.3214800347949609</c:v>
                </c:pt>
                <c:pt idx="53">
                  <c:v>0.11448763976400461</c:v>
                </c:pt>
                <c:pt idx="54">
                  <c:v>0.15335145821151802</c:v>
                </c:pt>
                <c:pt idx="55">
                  <c:v>0.12859285679347526</c:v>
                </c:pt>
                <c:pt idx="56">
                  <c:v>0.24834217655453478</c:v>
                </c:pt>
                <c:pt idx="57">
                  <c:v>0.15927000509405759</c:v>
                </c:pt>
                <c:pt idx="58">
                  <c:v>6.7731119391938044E-2</c:v>
                </c:pt>
                <c:pt idx="59">
                  <c:v>0.18639602526511573</c:v>
                </c:pt>
                <c:pt idx="60">
                  <c:v>3.4705515776244034E-2</c:v>
                </c:pt>
                <c:pt idx="61">
                  <c:v>8.0671590482804478E-2</c:v>
                </c:pt>
                <c:pt idx="62">
                  <c:v>6.664670550405577E-2</c:v>
                </c:pt>
                <c:pt idx="63">
                  <c:v>-2.132208863063545E-2</c:v>
                </c:pt>
                <c:pt idx="64">
                  <c:v>3.1746242334973807E-2</c:v>
                </c:pt>
                <c:pt idx="65">
                  <c:v>-5.3263278358448574E-2</c:v>
                </c:pt>
                <c:pt idx="66">
                  <c:v>0.47316662604033366</c:v>
                </c:pt>
                <c:pt idx="67">
                  <c:v>0.81937481874402285</c:v>
                </c:pt>
                <c:pt idx="68">
                  <c:v>0.67900988038269738</c:v>
                </c:pt>
                <c:pt idx="69">
                  <c:v>0.71560557556582061</c:v>
                </c:pt>
                <c:pt idx="70">
                  <c:v>0.61006076832285649</c:v>
                </c:pt>
                <c:pt idx="71">
                  <c:v>0.64488089944121652</c:v>
                </c:pt>
                <c:pt idx="72">
                  <c:v>0.62120671191105648</c:v>
                </c:pt>
                <c:pt idx="73">
                  <c:v>0.73276936152518579</c:v>
                </c:pt>
                <c:pt idx="74">
                  <c:v>0.70968702868328015</c:v>
                </c:pt>
                <c:pt idx="75">
                  <c:v>0.64192162599994629</c:v>
                </c:pt>
                <c:pt idx="76">
                  <c:v>0.69380624758904763</c:v>
                </c:pt>
                <c:pt idx="77">
                  <c:v>0.49792522745837642</c:v>
                </c:pt>
                <c:pt idx="78">
                  <c:v>0.32739466343400103</c:v>
                </c:pt>
                <c:pt idx="79">
                  <c:v>0.7190613264502177</c:v>
                </c:pt>
                <c:pt idx="80">
                  <c:v>0.66295338999261755</c:v>
                </c:pt>
                <c:pt idx="81">
                  <c:v>0.80576607915767995</c:v>
                </c:pt>
                <c:pt idx="82">
                  <c:v>0.67360677438118877</c:v>
                </c:pt>
                <c:pt idx="83">
                  <c:v>0.72083689051498001</c:v>
                </c:pt>
                <c:pt idx="84">
                  <c:v>0.7709459480393186</c:v>
                </c:pt>
                <c:pt idx="85">
                  <c:v>0.56806196713822554</c:v>
                </c:pt>
                <c:pt idx="86">
                  <c:v>0.80458236978117204</c:v>
                </c:pt>
                <c:pt idx="87">
                  <c:v>0.91722943328318407</c:v>
                </c:pt>
                <c:pt idx="88">
                  <c:v>0.91131088640064362</c:v>
                </c:pt>
                <c:pt idx="89">
                  <c:v>0.79039682070097983</c:v>
                </c:pt>
                <c:pt idx="90">
                  <c:v>0.79274527601609202</c:v>
                </c:pt>
                <c:pt idx="91">
                  <c:v>0.80458236978117204</c:v>
                </c:pt>
                <c:pt idx="92">
                  <c:v>0.8394025008995325</c:v>
                </c:pt>
                <c:pt idx="93">
                  <c:v>0.72667510534679891</c:v>
                </c:pt>
                <c:pt idx="94">
                  <c:v>0.72253212252902077</c:v>
                </c:pt>
                <c:pt idx="95">
                  <c:v>0.58090314274046628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5FE-4FB6-A151-222CA53619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15767615"/>
        <c:axId val="1815771775"/>
      </c:lineChart>
      <c:catAx>
        <c:axId val="18157676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Номер опыта</a:t>
                </a:r>
              </a:p>
            </c:rich>
          </c:tx>
          <c:layout>
            <c:manualLayout>
              <c:xMode val="edge"/>
              <c:yMode val="edge"/>
              <c:x val="0.48247418745304921"/>
              <c:y val="0.8037350777210825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15771775"/>
        <c:crosses val="autoZero"/>
        <c:auto val="1"/>
        <c:lblAlgn val="ctr"/>
        <c:lblOffset val="100"/>
        <c:noMultiLvlLbl val="0"/>
      </c:catAx>
      <c:valAx>
        <c:axId val="1815771775"/>
        <c:scaling>
          <c:orientation val="minMax"/>
          <c:max val="1.8"/>
          <c:min val="-0.3000000000000000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Значение ошибки </a:t>
                </a:r>
                <a:r>
                  <a:rPr lang="en-US"/>
                  <a:t>y</a:t>
                </a:r>
                <a:r>
                  <a:rPr lang="en-US" baseline="-25000"/>
                  <a:t>1</a:t>
                </a:r>
                <a:endParaRPr lang="ru-RU" baseline="-25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15767615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5.xml"/><Relationship Id="rId3" Type="http://schemas.openxmlformats.org/officeDocument/2006/relationships/image" Target="../media/image5.png"/><Relationship Id="rId7" Type="http://schemas.openxmlformats.org/officeDocument/2006/relationships/chart" Target="../charts/chart4.xml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6" Type="http://schemas.openxmlformats.org/officeDocument/2006/relationships/chart" Target="../charts/chart3.xml"/><Relationship Id="rId11" Type="http://schemas.openxmlformats.org/officeDocument/2006/relationships/chart" Target="../charts/chart8.xml"/><Relationship Id="rId5" Type="http://schemas.openxmlformats.org/officeDocument/2006/relationships/chart" Target="../charts/chart2.xml"/><Relationship Id="rId10" Type="http://schemas.openxmlformats.org/officeDocument/2006/relationships/chart" Target="../charts/chart7.xml"/><Relationship Id="rId4" Type="http://schemas.openxmlformats.org/officeDocument/2006/relationships/chart" Target="../charts/chart1.xml"/><Relationship Id="rId9" Type="http://schemas.openxmlformats.org/officeDocument/2006/relationships/chart" Target="../charts/chart6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25</xdr:col>
          <xdr:colOff>579120</xdr:colOff>
          <xdr:row>0</xdr:row>
          <xdr:rowOff>0</xdr:rowOff>
        </xdr:from>
        <xdr:to>
          <xdr:col>30</xdr:col>
          <xdr:colOff>426720</xdr:colOff>
          <xdr:row>6</xdr:row>
          <xdr:rowOff>106680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3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31</xdr:col>
          <xdr:colOff>60960</xdr:colOff>
          <xdr:row>0</xdr:row>
          <xdr:rowOff>114300</xdr:rowOff>
        </xdr:from>
        <xdr:to>
          <xdr:col>35</xdr:col>
          <xdr:colOff>114300</xdr:colOff>
          <xdr:row>5</xdr:row>
          <xdr:rowOff>144780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3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160352</xdr:colOff>
      <xdr:row>29</xdr:row>
      <xdr:rowOff>125730</xdr:rowOff>
    </xdr:from>
    <xdr:to>
      <xdr:col>43</xdr:col>
      <xdr:colOff>348038</xdr:colOff>
      <xdr:row>68</xdr:row>
      <xdr:rowOff>72831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434482" y="5509426"/>
          <a:ext cx="8155557" cy="7053579"/>
        </a:xfrm>
        <a:prstGeom prst="rect">
          <a:avLst/>
        </a:prstGeom>
      </xdr:spPr>
    </xdr:pic>
    <xdr:clientData/>
  </xdr:twoCellAnchor>
  <xdr:twoCellAnchor editAs="oneCell">
    <xdr:from>
      <xdr:col>44</xdr:col>
      <xdr:colOff>136056</xdr:colOff>
      <xdr:row>29</xdr:row>
      <xdr:rowOff>119546</xdr:rowOff>
    </xdr:from>
    <xdr:to>
      <xdr:col>59</xdr:col>
      <xdr:colOff>129946</xdr:colOff>
      <xdr:row>70</xdr:row>
      <xdr:rowOff>43194</xdr:rowOff>
    </xdr:to>
    <xdr:pic>
      <xdr:nvPicPr>
        <xdr:cNvPr id="10" name="Рисунок 9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1990969" y="5503242"/>
          <a:ext cx="9187587" cy="7394561"/>
        </a:xfrm>
        <a:prstGeom prst="rect">
          <a:avLst/>
        </a:prstGeom>
      </xdr:spPr>
    </xdr:pic>
    <xdr:clientData/>
  </xdr:twoCellAnchor>
  <xdr:twoCellAnchor editAs="oneCell">
    <xdr:from>
      <xdr:col>30</xdr:col>
      <xdr:colOff>107012</xdr:colOff>
      <xdr:row>0</xdr:row>
      <xdr:rowOff>0</xdr:rowOff>
    </xdr:from>
    <xdr:to>
      <xdr:col>45</xdr:col>
      <xdr:colOff>477297</xdr:colOff>
      <xdr:row>29</xdr:row>
      <xdr:rowOff>79886</xdr:rowOff>
    </xdr:to>
    <xdr:pic>
      <xdr:nvPicPr>
        <xdr:cNvPr id="11" name="Рисунок 10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3381142" y="0"/>
          <a:ext cx="9563982" cy="5463582"/>
        </a:xfrm>
        <a:prstGeom prst="rect">
          <a:avLst/>
        </a:prstGeom>
      </xdr:spPr>
    </xdr:pic>
    <xdr:clientData/>
  </xdr:twoCellAnchor>
  <xdr:twoCellAnchor>
    <xdr:from>
      <xdr:col>11</xdr:col>
      <xdr:colOff>321243</xdr:colOff>
      <xdr:row>118</xdr:row>
      <xdr:rowOff>110067</xdr:rowOff>
    </xdr:from>
    <xdr:to>
      <xdr:col>16</xdr:col>
      <xdr:colOff>586118</xdr:colOff>
      <xdr:row>128</xdr:row>
      <xdr:rowOff>110067</xdr:rowOff>
    </xdr:to>
    <xdr:graphicFrame macro="">
      <xdr:nvGraphicFramePr>
        <xdr:cNvPr id="19" name="Диаграмма 18">
          <a:extLst>
            <a:ext uri="{FF2B5EF4-FFF2-40B4-BE49-F238E27FC236}">
              <a16:creationId xmlns:a16="http://schemas.microsoft.com/office/drawing/2014/main" id="{00000000-0008-0000-05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332130</xdr:colOff>
      <xdr:row>108</xdr:row>
      <xdr:rowOff>152767</xdr:rowOff>
    </xdr:from>
    <xdr:to>
      <xdr:col>17</xdr:col>
      <xdr:colOff>11496</xdr:colOff>
      <xdr:row>118</xdr:row>
      <xdr:rowOff>152766</xdr:rowOff>
    </xdr:to>
    <xdr:graphicFrame macro="">
      <xdr:nvGraphicFramePr>
        <xdr:cNvPr id="20" name="Диаграмма 19">
          <a:extLst>
            <a:ext uri="{FF2B5EF4-FFF2-40B4-BE49-F238E27FC236}">
              <a16:creationId xmlns:a16="http://schemas.microsoft.com/office/drawing/2014/main" id="{00000000-0008-0000-05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332130</xdr:colOff>
      <xdr:row>98</xdr:row>
      <xdr:rowOff>174619</xdr:rowOff>
    </xdr:from>
    <xdr:to>
      <xdr:col>17</xdr:col>
      <xdr:colOff>1502</xdr:colOff>
      <xdr:row>109</xdr:row>
      <xdr:rowOff>10135</xdr:rowOff>
    </xdr:to>
    <xdr:graphicFrame macro="">
      <xdr:nvGraphicFramePr>
        <xdr:cNvPr id="21" name="Диаграмма 20">
          <a:extLst>
            <a:ext uri="{FF2B5EF4-FFF2-40B4-BE49-F238E27FC236}">
              <a16:creationId xmlns:a16="http://schemas.microsoft.com/office/drawing/2014/main" id="{00000000-0008-0000-05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599872</xdr:colOff>
      <xdr:row>98</xdr:row>
      <xdr:rowOff>162127</xdr:rowOff>
    </xdr:from>
    <xdr:to>
      <xdr:col>11</xdr:col>
      <xdr:colOff>343014</xdr:colOff>
      <xdr:row>108</xdr:row>
      <xdr:rowOff>175983</xdr:rowOff>
    </xdr:to>
    <xdr:graphicFrame macro="">
      <xdr:nvGraphicFramePr>
        <xdr:cNvPr id="22" name="Диаграмма 21">
          <a:extLst>
            <a:ext uri="{FF2B5EF4-FFF2-40B4-BE49-F238E27FC236}">
              <a16:creationId xmlns:a16="http://schemas.microsoft.com/office/drawing/2014/main" id="{00000000-0008-0000-0500-00001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609864</xdr:colOff>
      <xdr:row>108</xdr:row>
      <xdr:rowOff>163490</xdr:rowOff>
    </xdr:from>
    <xdr:to>
      <xdr:col>11</xdr:col>
      <xdr:colOff>343015</xdr:colOff>
      <xdr:row>118</xdr:row>
      <xdr:rowOff>163489</xdr:rowOff>
    </xdr:to>
    <xdr:graphicFrame macro="">
      <xdr:nvGraphicFramePr>
        <xdr:cNvPr id="23" name="Диаграмма 22">
          <a:extLst>
            <a:ext uri="{FF2B5EF4-FFF2-40B4-BE49-F238E27FC236}">
              <a16:creationId xmlns:a16="http://schemas.microsoft.com/office/drawing/2014/main" id="{00000000-0008-0000-0500-00001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</xdr:col>
      <xdr:colOff>599873</xdr:colOff>
      <xdr:row>118</xdr:row>
      <xdr:rowOff>163489</xdr:rowOff>
    </xdr:from>
    <xdr:to>
      <xdr:col>11</xdr:col>
      <xdr:colOff>310357</xdr:colOff>
      <xdr:row>128</xdr:row>
      <xdr:rowOff>163489</xdr:rowOff>
    </xdr:to>
    <xdr:graphicFrame macro="">
      <xdr:nvGraphicFramePr>
        <xdr:cNvPr id="24" name="Диаграмма 23">
          <a:extLst>
            <a:ext uri="{FF2B5EF4-FFF2-40B4-BE49-F238E27FC236}">
              <a16:creationId xmlns:a16="http://schemas.microsoft.com/office/drawing/2014/main" id="{00000000-0008-0000-0500-00001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5</xdr:col>
      <xdr:colOff>599871</xdr:colOff>
      <xdr:row>128</xdr:row>
      <xdr:rowOff>97576</xdr:rowOff>
    </xdr:from>
    <xdr:to>
      <xdr:col>16</xdr:col>
      <xdr:colOff>613725</xdr:colOff>
      <xdr:row>140</xdr:row>
      <xdr:rowOff>162038</xdr:rowOff>
    </xdr:to>
    <xdr:graphicFrame macro="">
      <xdr:nvGraphicFramePr>
        <xdr:cNvPr id="25" name="Диаграмма 24"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32</xdr:col>
      <xdr:colOff>501458</xdr:colOff>
      <xdr:row>12</xdr:row>
      <xdr:rowOff>98611</xdr:rowOff>
    </xdr:from>
    <xdr:to>
      <xdr:col>48</xdr:col>
      <xdr:colOff>262147</xdr:colOff>
      <xdr:row>42</xdr:row>
      <xdr:rowOff>26098</xdr:rowOff>
    </xdr:to>
    <xdr:pic>
      <xdr:nvPicPr>
        <xdr:cNvPr id="26" name="Рисунок 25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01415" y="2334915"/>
          <a:ext cx="9567295" cy="5443705"/>
        </a:xfrm>
        <a:prstGeom prst="rect">
          <a:avLst/>
        </a:prstGeom>
      </xdr:spPr>
    </xdr:pic>
    <xdr:clientData/>
  </xdr:twoCellAnchor>
  <xdr:twoCellAnchor>
    <xdr:from>
      <xdr:col>7</xdr:col>
      <xdr:colOff>41897</xdr:colOff>
      <xdr:row>31</xdr:row>
      <xdr:rowOff>21303</xdr:rowOff>
    </xdr:from>
    <xdr:to>
      <xdr:col>16</xdr:col>
      <xdr:colOff>46893</xdr:colOff>
      <xdr:row>46</xdr:row>
      <xdr:rowOff>44245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0D045D40-A92E-4BE7-9577-82B27E625FE9}" autoFormatId="16" applyNumberFormats="0" applyBorderFormats="0" applyFontFormats="0" applyPatternFormats="0" applyAlignmentFormats="0" applyWidthHeightFormats="0">
  <queryTableRefresh nextId="27">
    <queryTableFields count="18">
      <queryTableField id="1" name="Image" tableColumnId="1"/>
      <queryTableField id="2" name="DetID" tableColumnId="2"/>
      <queryTableField id="3" name="Class" tableColumnId="3"/>
      <queryTableField id="4" name="X1" tableColumnId="4"/>
      <queryTableField id="5" name="Y1" tableColumnId="5"/>
      <queryTableField id="6" name="X2" tableColumnId="6"/>
      <queryTableField id="7" name="Y2" tableColumnId="7"/>
      <queryTableField id="8" name="РЁРёСЂРёРЅР° (px)" tableColumnId="8"/>
      <queryTableField id="9" name="Р’С‹СЃРѕС‚Р° (px)" tableColumnId="9"/>
      <queryTableField id="10" name="РЁРёСЂРёРЅР° (%)" tableColumnId="10"/>
      <queryTableField id="11" name="Р’С‹СЃРѕС‚Р° (%)" tableColumnId="11"/>
      <queryTableField id="12" name="РђСЃРїРµРєС‚ (РЁ/Р’)" tableColumnId="12"/>
      <queryTableField id="13" name="X_center" tableColumnId="13"/>
      <queryTableField id="14" name="Y_center" tableColumnId="14"/>
      <queryTableField id="15" name="Distance(m)" tableColumnId="15"/>
      <queryTableField id="16" name="Confidence" tableColumnId="16"/>
      <queryTableField id="17" name="Brightness" tableColumnId="17"/>
      <queryTableField id="22" name="CenterScore" tableColumnId="22"/>
    </queryTableFields>
    <queryTableDeletedFields count="8">
      <deletedField name="Plate_Norm"/>
      <deletedField name="Plate_Raw"/>
      <deletedField name="IsTarget"/>
      <deletedField name="OCR_Sim"/>
      <deletedField name="TrackScore"/>
      <deletedField name="SizeScore"/>
      <deletedField name="FinalScore"/>
      <deletedField name="Reason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A244988-8DFF-402E-9961-74038CC59BC0}" autoFormatId="16" applyNumberFormats="0" applyBorderFormats="0" applyFontFormats="0" applyPatternFormats="0" applyAlignmentFormats="0" applyWidthHeightFormats="0">
  <queryTableRefresh nextId="176">
    <queryTableFields count="175">
      <queryTableField id="1" name="SourceFile" tableColumnId="1"/>
      <queryTableField id="2" name="ExifToolVersion" tableColumnId="2"/>
      <queryTableField id="3" name="FileName" tableColumnId="3"/>
      <queryTableField id="4" name="Directory" tableColumnId="4"/>
      <queryTableField id="5" name="FileSize" tableColumnId="5"/>
      <queryTableField id="6" name="FileModifyDate" tableColumnId="6"/>
      <queryTableField id="7" name="FileAccessDate" tableColumnId="7"/>
      <queryTableField id="8" name="FileInodeChangeDate" tableColumnId="8"/>
      <queryTableField id="9" name="FilePermissions" tableColumnId="9"/>
      <queryTableField id="10" name="FileType" tableColumnId="10"/>
      <queryTableField id="11" name="FileTypeExtension" tableColumnId="11"/>
      <queryTableField id="12" name="MIMEType" tableColumnId="12"/>
      <queryTableField id="13" name="MajorBrand" tableColumnId="13"/>
      <queryTableField id="14" name="MinorVersion" tableColumnId="14"/>
      <queryTableField id="15" name="CompatibleBrands" tableColumnId="15"/>
      <queryTableField id="16" name="HandlerType" tableColumnId="16"/>
      <queryTableField id="17" name="PrimaryItemReference" tableColumnId="17"/>
      <queryTableField id="18" name="MetaImageSize" tableColumnId="18"/>
      <queryTableField id="19" name="ExifByteOrder" tableColumnId="19"/>
      <queryTableField id="20" name="Make" tableColumnId="20"/>
      <queryTableField id="21" name="Model" tableColumnId="21"/>
      <queryTableField id="22" name="Orientation" tableColumnId="22"/>
      <queryTableField id="23" name="XResolution" tableColumnId="23"/>
      <queryTableField id="24" name="YResolution" tableColumnId="24"/>
      <queryTableField id="25" name="ResolutionUnit" tableColumnId="25"/>
      <queryTableField id="26" name="Software" tableColumnId="26"/>
      <queryTableField id="27" name="ModifyDate" tableColumnId="27"/>
      <queryTableField id="28" name="HostComputer" tableColumnId="28"/>
      <queryTableField id="29" name="ExposureTime" tableColumnId="29"/>
      <queryTableField id="30" name="FNumber" tableColumnId="30"/>
      <queryTableField id="31" name="ExposureProgram" tableColumnId="31"/>
      <queryTableField id="32" name="ISO" tableColumnId="32"/>
      <queryTableField id="33" name="ExifVersion" tableColumnId="33"/>
      <queryTableField id="34" name="DateTimeOriginal" tableColumnId="34"/>
      <queryTableField id="35" name="CreateDate" tableColumnId="35"/>
      <queryTableField id="36" name="OffsetTime" tableColumnId="36"/>
      <queryTableField id="37" name="OffsetTimeOriginal" tableColumnId="37"/>
      <queryTableField id="38" name="OffsetTimeDigitized" tableColumnId="38"/>
      <queryTableField id="39" name="ShutterSpeedValue" tableColumnId="39"/>
      <queryTableField id="40" name="ApertureValue" tableColumnId="40"/>
      <queryTableField id="41" name="BrightnessValue" tableColumnId="41"/>
      <queryTableField id="42" name="ExposureCompensation" tableColumnId="42"/>
      <queryTableField id="43" name="MeteringMode" tableColumnId="43"/>
      <queryTableField id="44" name="Flash" tableColumnId="44"/>
      <queryTableField id="45" name="FocalLength" tableColumnId="45"/>
      <queryTableField id="46" name="SubjectArea" tableColumnId="46"/>
      <queryTableField id="47" name="RunTimeFlags" tableColumnId="47"/>
      <queryTableField id="48" name="RunTimeValue" tableColumnId="48"/>
      <queryTableField id="49" name="RunTimeScale" tableColumnId="49"/>
      <queryTableField id="50" name="RunTimeEpoch" tableColumnId="50"/>
      <queryTableField id="51" name="AccelerationVector" tableColumnId="51"/>
      <queryTableField id="52" name="Warning" tableColumnId="52"/>
      <queryTableField id="53" name="SubSecTimeOriginal" tableColumnId="53"/>
      <queryTableField id="54" name="SubSecTimeDigitized" tableColumnId="54"/>
      <queryTableField id="55" name="ColorSpace" tableColumnId="55"/>
      <queryTableField id="56" name="ExifImageWidth" tableColumnId="56"/>
      <queryTableField id="57" name="ExifImageHeight" tableColumnId="57"/>
      <queryTableField id="58" name="SensingMethod" tableColumnId="58"/>
      <queryTableField id="59" name="SceneType" tableColumnId="59"/>
      <queryTableField id="60" name="ExposureMode" tableColumnId="60"/>
      <queryTableField id="61" name="WhiteBalance" tableColumnId="61"/>
      <queryTableField id="62" name="FocalLengthIn35mmFormat" tableColumnId="62"/>
      <queryTableField id="63" name="LensInfo" tableColumnId="63"/>
      <queryTableField id="64" name="LensMake" tableColumnId="64"/>
      <queryTableField id="65" name="LensModel" tableColumnId="65"/>
      <queryTableField id="66" name="CompositeImage" tableColumnId="66"/>
      <queryTableField id="67" name="GPSLatitudeRef" tableColumnId="67"/>
      <queryTableField id="68" name="GPSLongitudeRef" tableColumnId="68"/>
      <queryTableField id="69" name="GPSAltitudeRef" tableColumnId="69"/>
      <queryTableField id="70" name="GPSTimeStamp" tableColumnId="70"/>
      <queryTableField id="71" name="GPSSpeedRef" tableColumnId="71"/>
      <queryTableField id="72" name="GPSSpeed" tableColumnId="72"/>
      <queryTableField id="73" name="GPSImgDirectionRef" tableColumnId="73"/>
      <queryTableField id="74" name="GPSImgDirection" tableColumnId="74"/>
      <queryTableField id="75" name="GPSDestBearingRef" tableColumnId="75"/>
      <queryTableField id="76" name="GPSDestBearing" tableColumnId="76"/>
      <queryTableField id="77" name="GPSDateStamp" tableColumnId="77"/>
      <queryTableField id="78" name="GPSHPositioningError" tableColumnId="78"/>
      <queryTableField id="79" name="ProfileCMMType" tableColumnId="79"/>
      <queryTableField id="80" name="ProfileVersion" tableColumnId="80"/>
      <queryTableField id="81" name="ProfileClass" tableColumnId="81"/>
      <queryTableField id="82" name="ColorSpaceData" tableColumnId="82"/>
      <queryTableField id="83" name="ProfileConnectionSpace" tableColumnId="83"/>
      <queryTableField id="84" name="ProfileDateTime" tableColumnId="84"/>
      <queryTableField id="85" name="ProfileFileSignature" tableColumnId="85"/>
      <queryTableField id="86" name="PrimaryPlatform" tableColumnId="86"/>
      <queryTableField id="87" name="CMMFlags" tableColumnId="87"/>
      <queryTableField id="88" name="DeviceManufacturer" tableColumnId="88"/>
      <queryTableField id="89" name="DeviceModel" tableColumnId="89"/>
      <queryTableField id="90" name="DeviceAttributes" tableColumnId="90"/>
      <queryTableField id="91" name="RenderingIntent" tableColumnId="91"/>
      <queryTableField id="92" name="ConnectionSpaceIlluminant" tableColumnId="92"/>
      <queryTableField id="93" name="ProfileCreator" tableColumnId="93"/>
      <queryTableField id="94" name="ProfileID" tableColumnId="94"/>
      <queryTableField id="95" name="ProfileDescription" tableColumnId="95"/>
      <queryTableField id="96" name="ProfileCopyright" tableColumnId="96"/>
      <queryTableField id="97" name="MediaWhitePoint" tableColumnId="97"/>
      <queryTableField id="98" name="RedMatrixColumn" tableColumnId="98"/>
      <queryTableField id="99" name="GreenMatrixColumn" tableColumnId="99"/>
      <queryTableField id="100" name="BlueMatrixColumn" tableColumnId="100"/>
      <queryTableField id="101" name="RedTRC" tableColumnId="101"/>
      <queryTableField id="102" name="ChromaticAdaptation" tableColumnId="102"/>
      <queryTableField id="103" name="BlueTRC" tableColumnId="103"/>
      <queryTableField id="104" name="GreenTRC" tableColumnId="104"/>
      <queryTableField id="105" name="ImageWidth" tableColumnId="105"/>
      <queryTableField id="106" name="ImageHeight" tableColumnId="106"/>
      <queryTableField id="107" name="ImageSpatialExtent" tableColumnId="107"/>
      <queryTableField id="108" name="Rotation" tableColumnId="108"/>
      <queryTableField id="109" name="ImagePixelDepth" tableColumnId="109"/>
      <queryTableField id="110" name="HEVCConfigurationVersion" tableColumnId="110"/>
      <queryTableField id="111" name="GeneralProfileSpace" tableColumnId="111"/>
      <queryTableField id="112" name="GeneralTierFlag" tableColumnId="112"/>
      <queryTableField id="113" name="GeneralProfileIDC" tableColumnId="113"/>
      <queryTableField id="114" name="GenProfileCompatibilityFlags" tableColumnId="114"/>
      <queryTableField id="115" name="ConstraintIndicatorFlags" tableColumnId="115"/>
      <queryTableField id="116" name="GeneralLevelIDC" tableColumnId="116"/>
      <queryTableField id="117" name="MinSpatialSegmentationIDC" tableColumnId="117"/>
      <queryTableField id="118" name="ParallelismType" tableColumnId="118"/>
      <queryTableField id="119" name="ChromaFormat" tableColumnId="119"/>
      <queryTableField id="120" name="BitDepthLuma" tableColumnId="120"/>
      <queryTableField id="121" name="BitDepthChroma" tableColumnId="121"/>
      <queryTableField id="122" name="AverageFrameRate" tableColumnId="122"/>
      <queryTableField id="123" name="ConstantFrameRate" tableColumnId="123"/>
      <queryTableField id="124" name="NumTemporalLayers" tableColumnId="124"/>
      <queryTableField id="125" name="TemporalIDNested" tableColumnId="125"/>
      <queryTableField id="126" name="MediaDataSize" tableColumnId="126"/>
      <queryTableField id="127" name="MediaDataOffset" tableColumnId="127"/>
      <queryTableField id="128" name="RunTimeSincePowerUp" tableColumnId="128"/>
      <queryTableField id="129" name="Aperture" tableColumnId="129"/>
      <queryTableField id="130" name="ImageSize" tableColumnId="130"/>
      <queryTableField id="131" name="Megapixels" tableColumnId="131"/>
      <queryTableField id="132" name="ScaleFactor35efl" tableColumnId="132"/>
      <queryTableField id="133" name="ShutterSpeed" tableColumnId="133"/>
      <queryTableField id="134" name="SubSecCreateDate" tableColumnId="134"/>
      <queryTableField id="135" name="SubSecDateTimeOriginal" tableColumnId="135"/>
      <queryTableField id="136" name="SubSecModifyDate" tableColumnId="136"/>
      <queryTableField id="137" name="GPSAltitude" tableColumnId="137"/>
      <queryTableField id="138" name="GPSDateTime" tableColumnId="138"/>
      <queryTableField id="139" name="GPSLatitude" tableColumnId="139"/>
      <queryTableField id="140" name="GPSLongitude" tableColumnId="140"/>
      <queryTableField id="141" name="CircleOfConfusion" tableColumnId="141"/>
      <queryTableField id="142" name="FOV" tableColumnId="142"/>
      <queryTableField id="143" name="FocalLength35efl" tableColumnId="143"/>
      <queryTableField id="144" name="GPSPosition" tableColumnId="144"/>
      <queryTableField id="145" name="HyperfocalDistance" tableColumnId="145"/>
      <queryTableField id="146" name="LightValue" tableColumnId="146"/>
      <queryTableField id="147" name="LensID" tableColumnId="147"/>
      <queryTableField id="148" name="Column1" tableColumnId="148"/>
      <queryTableField id="149" name="_1" tableColumnId="149"/>
      <queryTableField id="150" name="_2" tableColumnId="150"/>
      <queryTableField id="151" name="_3" tableColumnId="151"/>
      <queryTableField id="152" name="_4" tableColumnId="152"/>
      <queryTableField id="153" name="_5" tableColumnId="153"/>
      <queryTableField id="154" name="_6" tableColumnId="154"/>
      <queryTableField id="155" name="_7" tableColumnId="155"/>
      <queryTableField id="156" name="_8" tableColumnId="156"/>
      <queryTableField id="157" name="_9" tableColumnId="157"/>
      <queryTableField id="158" name="_10" tableColumnId="158"/>
      <queryTableField id="159" name="_11" tableColumnId="159"/>
      <queryTableField id="160" name="_12" tableColumnId="160"/>
      <queryTableField id="161" name="_13" tableColumnId="161"/>
      <queryTableField id="162" name="_14" tableColumnId="162"/>
      <queryTableField id="163" name="_15" tableColumnId="163"/>
      <queryTableField id="164" name="_16" tableColumnId="164"/>
      <queryTableField id="165" name="_17" tableColumnId="165"/>
      <queryTableField id="166" name="_18" tableColumnId="166"/>
      <queryTableField id="167" name="_19" tableColumnId="167"/>
      <queryTableField id="168" name="_20" tableColumnId="168"/>
      <queryTableField id="169" name="_21" tableColumnId="169"/>
      <queryTableField id="170" name="_22" tableColumnId="170"/>
      <queryTableField id="171" name="_23" tableColumnId="171"/>
      <queryTableField id="172" name="_24" tableColumnId="172"/>
      <queryTableField id="173" name="_25" tableColumnId="173"/>
      <queryTableField id="174" name="_26" tableColumnId="174"/>
      <queryTableField id="175" name="_27" tableColumnId="17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AD7134-2493-4932-92AA-40CB49BCCA89}" name="output_all_detections" displayName="output_all_detections" ref="A1:R629" tableType="queryTable" totalsRowShown="0">
  <autoFilter ref="A1:R629" xr:uid="{FC9AE881-52E9-47C2-967C-556770624235}"/>
  <tableColumns count="18">
    <tableColumn id="1" xr3:uid="{93914B25-A186-4D22-8158-8A1FC265E020}" uniqueName="1" name="Image" queryTableFieldId="1" dataDxfId="177"/>
    <tableColumn id="2" xr3:uid="{73BC29E5-B980-40BF-82A9-3839AC8DB318}" uniqueName="2" name="DetID" queryTableFieldId="2"/>
    <tableColumn id="3" xr3:uid="{05FA6B67-990A-4C74-A1D7-A1094D4A276E}" uniqueName="3" name="Class" queryTableFieldId="3" dataDxfId="176"/>
    <tableColumn id="4" xr3:uid="{B190AD00-EDD6-4E98-A23A-55D2275A36C1}" uniqueName="4" name="X1" queryTableFieldId="4"/>
    <tableColumn id="5" xr3:uid="{F6A26F3D-ED75-4F5D-B059-AA48BAD42526}" uniqueName="5" name="Y1" queryTableFieldId="5"/>
    <tableColumn id="6" xr3:uid="{3DFE3522-7F54-4CB9-9843-067C8A30274A}" uniqueName="6" name="X2" queryTableFieldId="6"/>
    <tableColumn id="7" xr3:uid="{1D482D0E-6EEA-4C00-B6F6-4987EF877035}" uniqueName="7" name="Y2" queryTableFieldId="7"/>
    <tableColumn id="8" xr3:uid="{D17D5763-41A8-447D-9665-5D3F6291D329}" uniqueName="8" name="РЁРёСЂРёРЅР° (px)" queryTableFieldId="8"/>
    <tableColumn id="9" xr3:uid="{83DACD00-915D-4724-BF84-BBDA9608BB22}" uniqueName="9" name="Р’С‹СЃРѕС‚Р° (px)" queryTableFieldId="9"/>
    <tableColumn id="10" xr3:uid="{E8A718AD-796A-4F95-9B35-8F3F713E09D1}" uniqueName="10" name="РЁРёСЂРёРЅР° (%)" queryTableFieldId="10" dataDxfId="175"/>
    <tableColumn id="11" xr3:uid="{82D766F3-7670-45F9-9E40-604CC52C98AE}" uniqueName="11" name="Р’С‹СЃРѕС‚Р° (%)" queryTableFieldId="11" dataDxfId="174"/>
    <tableColumn id="12" xr3:uid="{873333D1-8429-4461-B9F9-AE6DDA05BAE0}" uniqueName="12" name="РђСЃРїРµРєС‚ (РЁ/Р’)" queryTableFieldId="12" dataDxfId="173"/>
    <tableColumn id="13" xr3:uid="{80286CB6-A351-4494-9E5F-C5D861CA4546}" uniqueName="13" name="X_center" queryTableFieldId="13"/>
    <tableColumn id="14" xr3:uid="{608C21F6-D6DB-442D-BA74-B402E9F19BF9}" uniqueName="14" name="Y_center" queryTableFieldId="14"/>
    <tableColumn id="15" xr3:uid="{71100CF1-6A2F-4D8B-879B-3D3A32F9CCE2}" uniqueName="15" name="Distance(m)" queryTableFieldId="15" dataDxfId="172"/>
    <tableColumn id="16" xr3:uid="{7F0BEBEA-B0A6-481F-A973-FDBACF7B6FE1}" uniqueName="16" name="Confidence" queryTableFieldId="16" dataDxfId="171"/>
    <tableColumn id="17" xr3:uid="{B8CB501A-538A-46E1-B346-15FF754C2EB8}" uniqueName="17" name="Brightness" queryTableFieldId="17" dataDxfId="170"/>
    <tableColumn id="22" xr3:uid="{7A1E28D0-5549-4BA2-B152-F0E5E7B6E10E}" uniqueName="22" name="CenterScore" queryTableFieldId="22" dataDxfId="16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E510A7F-F672-41DE-8CA4-B6FE65A8AE02}" name="merged_exif__1" displayName="merged_exif__1" ref="A1:FS1100" tableType="queryTable" totalsRowShown="0">
  <autoFilter ref="A1:FS1100" xr:uid="{7E510A7F-F672-41DE-8CA4-B6FE65A8AE02}"/>
  <tableColumns count="175">
    <tableColumn id="1" xr3:uid="{CE752049-40AC-479A-8591-F582E3DDFD78}" uniqueName="1" name="SourceFile" queryTableFieldId="1" dataDxfId="168"/>
    <tableColumn id="2" xr3:uid="{720E2EA2-A76A-4EFD-A131-E6021AE7F526}" uniqueName="2" name="ExifToolVersion" queryTableFieldId="2" dataDxfId="167"/>
    <tableColumn id="3" xr3:uid="{F4590A25-BB86-4300-BD76-2F40490E1C6E}" uniqueName="3" name="FileName" queryTableFieldId="3" dataDxfId="166"/>
    <tableColumn id="4" xr3:uid="{2950E9EF-EA32-4DE7-A027-086CB4AE8942}" uniqueName="4" name="Directory" queryTableFieldId="4" dataDxfId="165"/>
    <tableColumn id="5" xr3:uid="{ADDAD5B7-0F94-44A4-824C-8AEDBFF09BA2}" uniqueName="5" name="FileSize" queryTableFieldId="5" dataDxfId="164"/>
    <tableColumn id="6" xr3:uid="{DC5E7772-0CB4-458C-AA9A-1E2AD134C325}" uniqueName="6" name="FileModifyDate" queryTableFieldId="6" dataDxfId="163"/>
    <tableColumn id="7" xr3:uid="{85B72C5B-F6DF-4976-8D75-243DE83713B3}" uniqueName="7" name="FileAccessDate" queryTableFieldId="7" dataDxfId="162"/>
    <tableColumn id="8" xr3:uid="{F8DF4892-9BE1-44FC-B4B6-2A0FEE9CB4A9}" uniqueName="8" name="FileInodeChangeDate" queryTableFieldId="8" dataDxfId="161"/>
    <tableColumn id="9" xr3:uid="{5CDAE2D9-5967-41D4-8657-BFFC739F2DCE}" uniqueName="9" name="FilePermissions" queryTableFieldId="9" dataDxfId="160"/>
    <tableColumn id="10" xr3:uid="{2383A8B3-69E6-4722-A2AB-9795630C7230}" uniqueName="10" name="FileType" queryTableFieldId="10" dataDxfId="159"/>
    <tableColumn id="11" xr3:uid="{C5DA067E-4A67-4A32-90D3-1E5A0B553EFD}" uniqueName="11" name="FileTypeExtension" queryTableFieldId="11" dataDxfId="158"/>
    <tableColumn id="12" xr3:uid="{B32E0AD8-F1C4-4331-B4C6-259513699EAE}" uniqueName="12" name="MIMEType" queryTableFieldId="12" dataDxfId="157"/>
    <tableColumn id="13" xr3:uid="{14CE5959-0095-458E-995C-7D9317AFB8C2}" uniqueName="13" name="MajorBrand" queryTableFieldId="13" dataDxfId="156"/>
    <tableColumn id="14" xr3:uid="{DC54DE18-95D5-4908-897D-65317D517FC0}" uniqueName="14" name="MinorVersion" queryTableFieldId="14" dataDxfId="155"/>
    <tableColumn id="15" xr3:uid="{6A1357A2-681D-4AFC-AE0C-563ECEB837CB}" uniqueName="15" name="CompatibleBrands" queryTableFieldId="15" dataDxfId="154"/>
    <tableColumn id="16" xr3:uid="{2C4CDE84-ED80-47DB-9926-DDD0149C13E8}" uniqueName="16" name="HandlerType" queryTableFieldId="16" dataDxfId="153"/>
    <tableColumn id="17" xr3:uid="{C4C3CEBA-E4AF-4A12-9361-713FD8FC167F}" uniqueName="17" name="PrimaryItemReference" queryTableFieldId="17"/>
    <tableColumn id="18" xr3:uid="{5B79B63B-4BFE-4A7D-B420-D3B7974AF88C}" uniqueName="18" name="MetaImageSize" queryTableFieldId="18" dataDxfId="152"/>
    <tableColumn id="19" xr3:uid="{34D6230F-2394-485D-BB74-3B9949EF373E}" uniqueName="19" name="ExifByteOrder" queryTableFieldId="19" dataDxfId="151"/>
    <tableColumn id="20" xr3:uid="{B43FF7DB-7104-44BF-A8C3-1D0D9B27B3EB}" uniqueName="20" name="Make" queryTableFieldId="20" dataDxfId="150"/>
    <tableColumn id="21" xr3:uid="{926249BC-1009-4E9B-8E67-9A148C5F054C}" uniqueName="21" name="Model" queryTableFieldId="21" dataDxfId="149"/>
    <tableColumn id="22" xr3:uid="{97D222F5-37D9-4B0C-81B5-982163ED4F76}" uniqueName="22" name="Orientation" queryTableFieldId="22" dataDxfId="148"/>
    <tableColumn id="23" xr3:uid="{B3D001C1-57A0-4B7A-84F0-C4E0DA928FA8}" uniqueName="23" name="XResolution" queryTableFieldId="23"/>
    <tableColumn id="24" xr3:uid="{9C91012B-5620-401C-AAA4-B0C853D21AC0}" uniqueName="24" name="YResolution" queryTableFieldId="24"/>
    <tableColumn id="25" xr3:uid="{4A14B8AF-79FC-4032-B4EA-C5C98A0EBF12}" uniqueName="25" name="ResolutionUnit" queryTableFieldId="25" dataDxfId="147"/>
    <tableColumn id="26" xr3:uid="{4181B8E2-F249-429B-910E-0346C6417C4B}" uniqueName="26" name="Software" queryTableFieldId="26" dataDxfId="146"/>
    <tableColumn id="27" xr3:uid="{59CD9CC4-783B-4B3E-9699-68C7136ECD93}" uniqueName="27" name="ModifyDate" queryTableFieldId="27" dataDxfId="145"/>
    <tableColumn id="28" xr3:uid="{5019A485-7754-401D-861D-5F5B227BFDB1}" uniqueName="28" name="HostComputer" queryTableFieldId="28" dataDxfId="144"/>
    <tableColumn id="29" xr3:uid="{467D2C27-960E-4137-800E-D1BBC41AC8D2}" uniqueName="29" name="ExposureTime" queryTableFieldId="29" dataDxfId="143"/>
    <tableColumn id="30" xr3:uid="{8AA7C17B-1AA9-484E-B2E4-A68C73CF4D72}" uniqueName="30" name="FNumber" queryTableFieldId="30" dataDxfId="142"/>
    <tableColumn id="31" xr3:uid="{307AB870-1B92-450D-B611-7A55CF1ECAFA}" uniqueName="31" name="ExposureProgram" queryTableFieldId="31" dataDxfId="141"/>
    <tableColumn id="32" xr3:uid="{CE25CF9A-7E34-45C6-933A-DFD6331DE3EE}" uniqueName="32" name="ISO" queryTableFieldId="32" dataDxfId="140"/>
    <tableColumn id="33" xr3:uid="{209290CF-AE46-49DD-984D-3E6AB1D1B403}" uniqueName="33" name="ExifVersion" queryTableFieldId="33" dataDxfId="139"/>
    <tableColumn id="34" xr3:uid="{7448EBBF-81FA-40AD-8DAE-95BB9EA327D2}" uniqueName="34" name="DateTimeOriginal" queryTableFieldId="34" dataDxfId="138"/>
    <tableColumn id="35" xr3:uid="{B0CEBF93-8155-4C9A-8423-59896EEE26B5}" uniqueName="35" name="CreateDate" queryTableFieldId="35" dataDxfId="137"/>
    <tableColumn id="36" xr3:uid="{D0DEEC2C-72CE-41FB-98F1-EB6F29257B7D}" uniqueName="36" name="OffsetTime" queryTableFieldId="36" dataDxfId="136"/>
    <tableColumn id="37" xr3:uid="{EE16B018-57C5-4904-839E-2BAD61D5CD00}" uniqueName="37" name="OffsetTimeOriginal" queryTableFieldId="37" dataDxfId="135"/>
    <tableColumn id="38" xr3:uid="{FC6DD934-BAF1-4083-A9E2-DCD729E3457B}" uniqueName="38" name="OffsetTimeDigitized" queryTableFieldId="38" dataDxfId="134"/>
    <tableColumn id="39" xr3:uid="{8F06FC46-FC48-4FD7-A72B-3999E3BEFEDC}" uniqueName="39" name="ShutterSpeedValue" queryTableFieldId="39" dataDxfId="133"/>
    <tableColumn id="40" xr3:uid="{F98B20D1-DD8E-47D4-A92E-B4C721E869F0}" uniqueName="40" name="ApertureValue" queryTableFieldId="40" dataDxfId="132"/>
    <tableColumn id="41" xr3:uid="{DA33CC28-199C-406E-9931-3F3DAE83BBA1}" uniqueName="41" name="BrightnessValue" queryTableFieldId="41" dataDxfId="131"/>
    <tableColumn id="42" xr3:uid="{E22B16C3-C1A2-4E1B-9C62-50831837F103}" uniqueName="42" name="ExposureCompensation" queryTableFieldId="42" dataDxfId="130"/>
    <tableColumn id="43" xr3:uid="{93B6CE45-53C7-40D7-BB57-9EC6FED290DB}" uniqueName="43" name="MeteringMode" queryTableFieldId="43" dataDxfId="129"/>
    <tableColumn id="44" xr3:uid="{C403C8D7-9C99-4A25-BF75-7A380055A428}" uniqueName="44" name="Flash" queryTableFieldId="44" dataDxfId="128"/>
    <tableColumn id="45" xr3:uid="{7DC71250-25C0-4C8E-85C6-7348F0AADB2F}" uniqueName="45" name="FocalLength" queryTableFieldId="45" dataDxfId="127"/>
    <tableColumn id="46" xr3:uid="{59B08096-1EDB-424D-A08F-91E11510F340}" uniqueName="46" name="SubjectArea" queryTableFieldId="46"/>
    <tableColumn id="47" xr3:uid="{97CEAE63-54DD-453B-BE80-04688B4DF76B}" uniqueName="47" name="RunTimeFlags" queryTableFieldId="47" dataDxfId="126"/>
    <tableColumn id="48" xr3:uid="{A68992F2-D136-41DD-8DD9-FC34D38D8435}" uniqueName="48" name="RunTimeValue" queryTableFieldId="48"/>
    <tableColumn id="49" xr3:uid="{EB362EE6-051C-4AA4-8028-53CF1DFBACCA}" uniqueName="49" name="RunTimeScale" queryTableFieldId="49" dataDxfId="125"/>
    <tableColumn id="50" xr3:uid="{79017437-2172-42F6-AA06-8FBB14D0FC29}" uniqueName="50" name="RunTimeEpoch" queryTableFieldId="50" dataDxfId="124"/>
    <tableColumn id="51" xr3:uid="{CA878129-FD72-42BD-88CC-9C53DCFE3F64}" uniqueName="51" name="AccelerationVector" queryTableFieldId="51" dataDxfId="123"/>
    <tableColumn id="52" xr3:uid="{D00CF39E-BB77-4D18-9433-08E542DF462C}" uniqueName="52" name="Warning" queryTableFieldId="52" dataDxfId="122"/>
    <tableColumn id="53" xr3:uid="{0CB7312B-09FE-4D16-B590-04F97DBE3589}" uniqueName="53" name="SubSecTimeOriginal" queryTableFieldId="53" dataDxfId="121"/>
    <tableColumn id="54" xr3:uid="{EAEBA729-BEB1-43B8-9A64-90DC157FD96B}" uniqueName="54" name="SubSecTimeDigitized" queryTableFieldId="54"/>
    <tableColumn id="55" xr3:uid="{9859C761-DEDB-4431-BBA7-AA96E7EFD52D}" uniqueName="55" name="ColorSpace" queryTableFieldId="55" dataDxfId="120"/>
    <tableColumn id="56" xr3:uid="{7466FDF8-FFF4-4E53-A49D-281AE1AE9097}" uniqueName="56" name="ExifImageWidth" queryTableFieldId="56" dataDxfId="119"/>
    <tableColumn id="57" xr3:uid="{C6D3669B-E361-4C99-9A44-08DFAD0E3C9A}" uniqueName="57" name="ExifImageHeight" queryTableFieldId="57" dataDxfId="118"/>
    <tableColumn id="58" xr3:uid="{D93836CB-D8E5-4637-84C7-0069E6DB3C5C}" uniqueName="58" name="SensingMethod" queryTableFieldId="58" dataDxfId="117"/>
    <tableColumn id="59" xr3:uid="{6A939DCC-694B-4086-84B6-FF3A05E0842F}" uniqueName="59" name="SceneType" queryTableFieldId="59" dataDxfId="116"/>
    <tableColumn id="60" xr3:uid="{4453D737-FD15-4D1C-83BF-633F08E2E76F}" uniqueName="60" name="ExposureMode" queryTableFieldId="60" dataDxfId="115"/>
    <tableColumn id="61" xr3:uid="{9585E985-EE15-4363-A295-AE40F1F0935A}" uniqueName="61" name="WhiteBalance" queryTableFieldId="61" dataDxfId="114"/>
    <tableColumn id="62" xr3:uid="{2EEAA575-6E38-4F5E-B09E-4D55EE92D0E6}" uniqueName="62" name="FocalLengthIn35mmFormat" queryTableFieldId="62" dataDxfId="113"/>
    <tableColumn id="63" xr3:uid="{C0226B65-FB72-4519-B279-38359AF6A06A}" uniqueName="63" name="LensInfo" queryTableFieldId="63" dataDxfId="112"/>
    <tableColumn id="64" xr3:uid="{B20D5880-90A8-4C98-966B-6E73519B0FD9}" uniqueName="64" name="LensMake" queryTableFieldId="64" dataDxfId="111"/>
    <tableColumn id="65" xr3:uid="{C85ED842-3EC2-40C3-A4DA-C157FE3A32C4}" uniqueName="65" name="LensModel" queryTableFieldId="65" dataDxfId="110"/>
    <tableColumn id="66" xr3:uid="{D7DC93BB-C1CA-4AAF-BD8A-AB05A844DE9C}" uniqueName="66" name="CompositeImage" queryTableFieldId="66" dataDxfId="109"/>
    <tableColumn id="67" xr3:uid="{5D47BEFC-F1A0-41EF-8C4D-C83FCB2EDB2E}" uniqueName="67" name="GPSLatitudeRef" queryTableFieldId="67" dataDxfId="108"/>
    <tableColumn id="68" xr3:uid="{1AD913B0-99B0-4406-8613-5B281F35EEBD}" uniqueName="68" name="GPSLongitudeRef" queryTableFieldId="68" dataDxfId="107"/>
    <tableColumn id="69" xr3:uid="{FEEF68CF-C46E-4660-A113-5F3149BF3376}" uniqueName="69" name="GPSAltitudeRef" queryTableFieldId="69" dataDxfId="106"/>
    <tableColumn id="70" xr3:uid="{E8C0D8F1-80A2-471A-B3B2-C08423F4072C}" uniqueName="70" name="GPSTimeStamp" queryTableFieldId="70" dataDxfId="105"/>
    <tableColumn id="71" xr3:uid="{E817583C-5E69-4068-A60A-7A2FA5672AE5}" uniqueName="71" name="GPSSpeedRef" queryTableFieldId="71" dataDxfId="104"/>
    <tableColumn id="72" xr3:uid="{4A93FF85-8B8E-4E01-82BA-8FC2D2C629A4}" uniqueName="72" name="GPSSpeed" queryTableFieldId="72" dataDxfId="103"/>
    <tableColumn id="73" xr3:uid="{2DE4A23E-01C4-4549-BDDA-6E649BF4F7C5}" uniqueName="73" name="GPSImgDirectionRef" queryTableFieldId="73" dataDxfId="102"/>
    <tableColumn id="74" xr3:uid="{14B7F905-E3CA-4F6D-AF30-4993AC9DB0A0}" uniqueName="74" name="GPSImgDirection" queryTableFieldId="74" dataDxfId="101"/>
    <tableColumn id="75" xr3:uid="{8FABE3FC-E297-412F-A8FC-79239141FE2E}" uniqueName="75" name="GPSDestBearingRef" queryTableFieldId="75" dataDxfId="100"/>
    <tableColumn id="76" xr3:uid="{6739B384-E871-4031-BC7F-81711CC6BD47}" uniqueName="76" name="GPSDestBearing" queryTableFieldId="76" dataDxfId="99"/>
    <tableColumn id="77" xr3:uid="{C754DB58-7455-4E52-8233-F618A94C47A2}" uniqueName="77" name="GPSDateStamp" queryTableFieldId="77" dataDxfId="98"/>
    <tableColumn id="78" xr3:uid="{DF6C4613-F4F1-41BB-A6D8-F0E050ADC9FC}" uniqueName="78" name="GPSHPositioningError" queryTableFieldId="78" dataDxfId="97"/>
    <tableColumn id="79" xr3:uid="{760FFE97-AB2A-48DB-A0CD-6681C91E9EC4}" uniqueName="79" name="ProfileCMMType" queryTableFieldId="79" dataDxfId="96"/>
    <tableColumn id="80" xr3:uid="{1B9817C1-0385-4AFC-9B2C-9153620CAEA3}" uniqueName="80" name="ProfileVersion" queryTableFieldId="80" dataDxfId="95"/>
    <tableColumn id="81" xr3:uid="{F8349B2E-4988-415D-B73E-F22D3E72583D}" uniqueName="81" name="ProfileClass" queryTableFieldId="81" dataDxfId="94"/>
    <tableColumn id="82" xr3:uid="{A7B60F48-0606-4739-B975-84F4313688F0}" uniqueName="82" name="ColorSpaceData" queryTableFieldId="82" dataDxfId="93"/>
    <tableColumn id="83" xr3:uid="{8FB001C5-3A63-4A42-A12D-D6DD387193F7}" uniqueName="83" name="ProfileConnectionSpace" queryTableFieldId="83" dataDxfId="92"/>
    <tableColumn id="84" xr3:uid="{70DC600A-99A9-48CB-A0EF-947D66617158}" uniqueName="84" name="ProfileDateTime" queryTableFieldId="84" dataDxfId="91"/>
    <tableColumn id="85" xr3:uid="{656D289C-24E4-4E02-A004-981395E58F16}" uniqueName="85" name="ProfileFileSignature" queryTableFieldId="85" dataDxfId="90"/>
    <tableColumn id="86" xr3:uid="{6B3A8EDA-AFC8-4C7E-BB79-5210229F3953}" uniqueName="86" name="PrimaryPlatform" queryTableFieldId="86" dataDxfId="89"/>
    <tableColumn id="87" xr3:uid="{3DB8466D-2929-4747-B88B-E1F25A8340F6}" uniqueName="87" name="CMMFlags" queryTableFieldId="87" dataDxfId="88"/>
    <tableColumn id="88" xr3:uid="{32F763D3-0118-4271-8548-727607FD52F0}" uniqueName="88" name="DeviceManufacturer" queryTableFieldId="88" dataDxfId="87"/>
    <tableColumn id="89" xr3:uid="{8461B6F6-638D-4251-82CC-3C7622160FEB}" uniqueName="89" name="DeviceModel" queryTableFieldId="89" dataDxfId="86"/>
    <tableColumn id="90" xr3:uid="{477765E2-2224-45C3-B282-858C40EDA6A2}" uniqueName="90" name="DeviceAttributes" queryTableFieldId="90" dataDxfId="85"/>
    <tableColumn id="91" xr3:uid="{306FF4CC-6484-4C99-8477-AFBF3DE2E0F3}" uniqueName="91" name="RenderingIntent" queryTableFieldId="91" dataDxfId="84"/>
    <tableColumn id="92" xr3:uid="{85793709-1BA0-43C1-955D-70ADA33053BA}" uniqueName="92" name="ConnectionSpaceIlluminant" queryTableFieldId="92" dataDxfId="83"/>
    <tableColumn id="93" xr3:uid="{EFF8C799-13F1-46CE-B6C0-D7299AD332C2}" uniqueName="93" name="ProfileCreator" queryTableFieldId="93" dataDxfId="82"/>
    <tableColumn id="94" xr3:uid="{48EFD857-6F58-4401-ACAD-F2B4FD157DDA}" uniqueName="94" name="ProfileID" queryTableFieldId="94" dataDxfId="81"/>
    <tableColumn id="95" xr3:uid="{3BA01394-DEC6-44A5-BFC6-E72CB59D4028}" uniqueName="95" name="ProfileDescription" queryTableFieldId="95" dataDxfId="80"/>
    <tableColumn id="96" xr3:uid="{786D87DD-443F-43AA-915E-738CDA14716D}" uniqueName="96" name="ProfileCopyright" queryTableFieldId="96" dataDxfId="79"/>
    <tableColumn id="97" xr3:uid="{F2EEA726-7F2F-4D71-A7D3-2D9A9DFFC8FD}" uniqueName="97" name="MediaWhitePoint" queryTableFieldId="97" dataDxfId="78"/>
    <tableColumn id="98" xr3:uid="{EE4A4D8C-A504-43DD-9252-B1F421EAF674}" uniqueName="98" name="RedMatrixColumn" queryTableFieldId="98" dataDxfId="77"/>
    <tableColumn id="99" xr3:uid="{1D4788CD-CDBF-4D3B-9402-B615AA59CB51}" uniqueName="99" name="GreenMatrixColumn" queryTableFieldId="99" dataDxfId="76"/>
    <tableColumn id="100" xr3:uid="{386E836B-DC4F-4B90-9BA7-4A8C231DA258}" uniqueName="100" name="BlueMatrixColumn" queryTableFieldId="100" dataDxfId="75"/>
    <tableColumn id="101" xr3:uid="{5702A7A6-A458-43D8-B023-B471D2393F55}" uniqueName="101" name="RedTRC" queryTableFieldId="101" dataDxfId="74"/>
    <tableColumn id="102" xr3:uid="{314DBD11-48B5-4E38-911C-47ED57B7C2F8}" uniqueName="102" name="ChromaticAdaptation" queryTableFieldId="102" dataDxfId="73"/>
    <tableColumn id="103" xr3:uid="{254B67BC-5EBF-449A-A0A2-1B13AD9C22C7}" uniqueName="103" name="BlueTRC" queryTableFieldId="103" dataDxfId="72"/>
    <tableColumn id="104" xr3:uid="{389C2B17-D444-4A48-B643-9F4AD387D088}" uniqueName="104" name="GreenTRC" queryTableFieldId="104" dataDxfId="71"/>
    <tableColumn id="105" xr3:uid="{55AC1EED-BADB-41C3-BEBA-47FA8B43EFFD}" uniqueName="105" name="ImageWidth" queryTableFieldId="105" dataDxfId="70"/>
    <tableColumn id="106" xr3:uid="{1F34C942-0164-42D4-9C96-A4D061ADE61C}" uniqueName="106" name="ImageHeight" queryTableFieldId="106" dataDxfId="69"/>
    <tableColumn id="107" xr3:uid="{26902C59-97B0-4CA8-A03A-196E9830A10A}" uniqueName="107" name="ImageSpatialExtent" queryTableFieldId="107" dataDxfId="68"/>
    <tableColumn id="108" xr3:uid="{0AF8B826-C45B-4759-9B72-0B483B618FD1}" uniqueName="108" name="Rotation" queryTableFieldId="108" dataDxfId="67"/>
    <tableColumn id="109" xr3:uid="{FA534D19-BB74-473F-98EE-85E3C1F2AFDA}" uniqueName="109" name="ImagePixelDepth" queryTableFieldId="109" dataDxfId="66"/>
    <tableColumn id="110" xr3:uid="{509075E4-342D-4C97-AFF8-C53D9A3B9E76}" uniqueName="110" name="HEVCConfigurationVersion" queryTableFieldId="110" dataDxfId="65"/>
    <tableColumn id="111" xr3:uid="{2A143109-D5EB-4892-97A3-12EC865FD3A6}" uniqueName="111" name="GeneralProfileSpace" queryTableFieldId="111" dataDxfId="64"/>
    <tableColumn id="112" xr3:uid="{E408FF5C-3E21-4FF9-B07A-D2135933B048}" uniqueName="112" name="GeneralTierFlag" queryTableFieldId="112" dataDxfId="63"/>
    <tableColumn id="113" xr3:uid="{6AD5E30C-AF0A-4C1C-A7F2-ED794D535574}" uniqueName="113" name="GeneralProfileIDC" queryTableFieldId="113" dataDxfId="62"/>
    <tableColumn id="114" xr3:uid="{D3881785-A554-45C4-B488-1E82285EBFC7}" uniqueName="114" name="GenProfileCompatibilityFlags" queryTableFieldId="114" dataDxfId="61"/>
    <tableColumn id="115" xr3:uid="{75C38275-0224-45E0-B1EB-6AB29D9C8CEF}" uniqueName="115" name="ConstraintIndicatorFlags" queryTableFieldId="115" dataDxfId="60"/>
    <tableColumn id="116" xr3:uid="{C8153F38-21C9-4BFD-9876-E28CD49197E4}" uniqueName="116" name="GeneralLevelIDC" queryTableFieldId="116" dataDxfId="59"/>
    <tableColumn id="117" xr3:uid="{3DBE61BF-AAF3-454C-ADD8-8A9E3883C257}" uniqueName="117" name="MinSpatialSegmentationIDC" queryTableFieldId="117" dataDxfId="58"/>
    <tableColumn id="118" xr3:uid="{A37B93F6-B32C-4758-A4BF-A851989E3797}" uniqueName="118" name="ParallelismType" queryTableFieldId="118" dataDxfId="57"/>
    <tableColumn id="119" xr3:uid="{387B5A14-3B27-4C74-B2B5-45575E7123A8}" uniqueName="119" name="ChromaFormat" queryTableFieldId="119" dataDxfId="56"/>
    <tableColumn id="120" xr3:uid="{A0B1BD76-09D0-470A-833C-4AB5A8F1C9C6}" uniqueName="120" name="BitDepthLuma" queryTableFieldId="120" dataDxfId="55"/>
    <tableColumn id="121" xr3:uid="{18A20797-D22A-4307-AC6A-EF31BB21E9C4}" uniqueName="121" name="BitDepthChroma" queryTableFieldId="121" dataDxfId="54"/>
    <tableColumn id="122" xr3:uid="{F9D4AF61-9271-4687-9229-6FB144D52403}" uniqueName="122" name="AverageFrameRate" queryTableFieldId="122" dataDxfId="53"/>
    <tableColumn id="123" xr3:uid="{C5704097-6756-41D8-837F-4321E107D73C}" uniqueName="123" name="ConstantFrameRate" queryTableFieldId="123" dataDxfId="52"/>
    <tableColumn id="124" xr3:uid="{E5B45CB9-A9E7-49C4-B487-8CCA8281F114}" uniqueName="124" name="NumTemporalLayers" queryTableFieldId="124" dataDxfId="51"/>
    <tableColumn id="125" xr3:uid="{4E3F7F3F-9463-485A-B67B-B3E7843698C6}" uniqueName="125" name="TemporalIDNested" queryTableFieldId="125" dataDxfId="50"/>
    <tableColumn id="126" xr3:uid="{015F3782-8B2D-4AE3-B20C-7BBECC35B64F}" uniqueName="126" name="MediaDataSize" queryTableFieldId="126" dataDxfId="49"/>
    <tableColumn id="127" xr3:uid="{FFAA0561-670D-440A-B39B-F117AEB59DB8}" uniqueName="127" name="MediaDataOffset" queryTableFieldId="127" dataDxfId="48"/>
    <tableColumn id="128" xr3:uid="{EBAE4BAA-643F-42B6-9E0B-D66FB9185228}" uniqueName="128" name="RunTimeSincePowerUp" queryTableFieldId="128" dataDxfId="47"/>
    <tableColumn id="129" xr3:uid="{7FE4D2F2-65CF-42BA-AFE8-ACF702BAE56D}" uniqueName="129" name="Aperture" queryTableFieldId="129" dataDxfId="46"/>
    <tableColumn id="130" xr3:uid="{173032C8-9D6D-4642-B1DE-2900E4BC71DE}" uniqueName="130" name="ImageSize" queryTableFieldId="130" dataDxfId="45"/>
    <tableColumn id="131" xr3:uid="{67E8C4FE-D316-4C8F-95FE-7361FF48CAE8}" uniqueName="131" name="Megapixels" queryTableFieldId="131" dataDxfId="44"/>
    <tableColumn id="132" xr3:uid="{439CEB5D-F9A4-4167-B483-9A123B452EA0}" uniqueName="132" name="ScaleFactor35efl" queryTableFieldId="132" dataDxfId="43"/>
    <tableColumn id="133" xr3:uid="{6C469A2E-45E9-4D65-92BC-B69FE0524C47}" uniqueName="133" name="ShutterSpeed" queryTableFieldId="133" dataDxfId="42"/>
    <tableColumn id="134" xr3:uid="{888797BE-7972-4A20-9BCF-072D9BDC1250}" uniqueName="134" name="SubSecCreateDate" queryTableFieldId="134" dataDxfId="41"/>
    <tableColumn id="135" xr3:uid="{A34B3BBE-B46D-4ED4-B773-9BA48BC22D94}" uniqueName="135" name="SubSecDateTimeOriginal" queryTableFieldId="135" dataDxfId="40"/>
    <tableColumn id="136" xr3:uid="{11020084-E37E-4F95-B2F9-8D27E88C6E74}" uniqueName="136" name="SubSecModifyDate" queryTableFieldId="136" dataDxfId="39"/>
    <tableColumn id="137" xr3:uid="{2B761A35-BADF-4DCC-99BE-E28E0D08757B}" uniqueName="137" name="GPSAltitude" queryTableFieldId="137" dataDxfId="38"/>
    <tableColumn id="138" xr3:uid="{C812E09C-D2C4-486A-81A2-13D1ECA3A0B1}" uniqueName="138" name="GPSDateTime" queryTableFieldId="138" dataDxfId="37"/>
    <tableColumn id="139" xr3:uid="{9F7FD4D4-60DA-4D30-99C5-886EFE64E22A}" uniqueName="139" name="GPSLatitude" queryTableFieldId="139" dataDxfId="36"/>
    <tableColumn id="140" xr3:uid="{A48714CF-0541-4F8B-B938-3179C8D2CF45}" uniqueName="140" name="GPSLongitude" queryTableFieldId="140" dataDxfId="35"/>
    <tableColumn id="141" xr3:uid="{7DA1E63D-7239-48E8-8819-2116221CD9B3}" uniqueName="141" name="CircleOfConfusion" queryTableFieldId="141" dataDxfId="34"/>
    <tableColumn id="142" xr3:uid="{86C0FDBE-6ACA-4B8D-B1CE-6A5D9E41C4F1}" uniqueName="142" name="FOV" queryTableFieldId="142" dataDxfId="33"/>
    <tableColumn id="143" xr3:uid="{C8EBC8F6-4212-4BD5-9C9D-4C2792311ABF}" uniqueName="143" name="FocalLength35efl" queryTableFieldId="143" dataDxfId="32"/>
    <tableColumn id="144" xr3:uid="{AA8831F2-E7B2-49D4-B539-A209755BD34A}" uniqueName="144" name="GPSPosition" queryTableFieldId="144" dataDxfId="31"/>
    <tableColumn id="145" xr3:uid="{6B898C84-82FA-48C9-B8AC-207FD11822A8}" uniqueName="145" name="HyperfocalDistance" queryTableFieldId="145" dataDxfId="30"/>
    <tableColumn id="146" xr3:uid="{14A512B0-B061-4355-B274-32188AECF582}" uniqueName="146" name="LightValue" queryTableFieldId="146" dataDxfId="29"/>
    <tableColumn id="147" xr3:uid="{9FE64519-BB45-488A-BEF8-3321E7FBF96E}" uniqueName="147" name="LensID" queryTableFieldId="147" dataDxfId="28"/>
    <tableColumn id="148" xr3:uid="{1B6787A5-D7E4-40A6-B08D-5B1739832DE6}" uniqueName="148" name="Column1" queryTableFieldId="148" dataDxfId="27"/>
    <tableColumn id="149" xr3:uid="{D2B8A5AF-9EC0-48A9-87D6-1A35538DFD5C}" uniqueName="149" name="_1" queryTableFieldId="149" dataDxfId="26"/>
    <tableColumn id="150" xr3:uid="{6980CAF0-301E-4510-B484-D81A3D6EFBA3}" uniqueName="150" name="_2" queryTableFieldId="150" dataDxfId="25"/>
    <tableColumn id="151" xr3:uid="{F346B20D-9AD5-410A-8135-8C7ABC9B458F}" uniqueName="151" name="_3" queryTableFieldId="151" dataDxfId="24"/>
    <tableColumn id="152" xr3:uid="{CDE63BC8-47B1-4E0E-8FC0-B212848B6B4D}" uniqueName="152" name="_4" queryTableFieldId="152" dataDxfId="23"/>
    <tableColumn id="153" xr3:uid="{7F84D732-9F25-4E1A-9379-42B53E5212DA}" uniqueName="153" name="_5" queryTableFieldId="153" dataDxfId="22"/>
    <tableColumn id="154" xr3:uid="{6B978595-2865-4688-AE24-B390BDABEB6A}" uniqueName="154" name="_6" queryTableFieldId="154" dataDxfId="21"/>
    <tableColumn id="155" xr3:uid="{C6C82B55-0E60-4684-AE48-7F6DAC6DA723}" uniqueName="155" name="_7" queryTableFieldId="155" dataDxfId="20"/>
    <tableColumn id="156" xr3:uid="{3F55E032-F3E9-48C5-9439-983351909BBC}" uniqueName="156" name="_8" queryTableFieldId="156" dataDxfId="19"/>
    <tableColumn id="157" xr3:uid="{9E32FA6D-8120-4B03-9D5C-CCEE3278EF20}" uniqueName="157" name="_9" queryTableFieldId="157" dataDxfId="18"/>
    <tableColumn id="158" xr3:uid="{43AEB79F-C105-4748-8CE1-114C3F2540CA}" uniqueName="158" name="_10" queryTableFieldId="158" dataDxfId="17"/>
    <tableColumn id="159" xr3:uid="{541C0545-0585-496E-BF3F-64C9F34EF267}" uniqueName="159" name="_11" queryTableFieldId="159" dataDxfId="16"/>
    <tableColumn id="160" xr3:uid="{C9AA4F9B-8023-4BF6-BEF8-34E82A3605E2}" uniqueName="160" name="_12" queryTableFieldId="160" dataDxfId="15"/>
    <tableColumn id="161" xr3:uid="{2C4C0216-4C6C-4DD0-9E9F-5BEE080CE5AC}" uniqueName="161" name="_13" queryTableFieldId="161" dataDxfId="14"/>
    <tableColumn id="162" xr3:uid="{8E0C840B-B278-41FB-8665-4B858B986012}" uniqueName="162" name="_14" queryTableFieldId="162" dataDxfId="13"/>
    <tableColumn id="163" xr3:uid="{AFF6B8C9-632F-47CE-9518-380169A12D99}" uniqueName="163" name="_15" queryTableFieldId="163" dataDxfId="12"/>
    <tableColumn id="164" xr3:uid="{59C7BFE6-B47D-4EEA-BF7A-710A098082B2}" uniqueName="164" name="_16" queryTableFieldId="164" dataDxfId="11"/>
    <tableColumn id="165" xr3:uid="{4C58ABC0-4F83-4EB8-9599-98CE7B372CA3}" uniqueName="165" name="_17" queryTableFieldId="165" dataDxfId="10"/>
    <tableColumn id="166" xr3:uid="{C75514D7-C9D1-4E1A-9EE7-B985F58018E9}" uniqueName="166" name="_18" queryTableFieldId="166" dataDxfId="9"/>
    <tableColumn id="167" xr3:uid="{3C0555B6-F87D-4BC4-8B51-268B6D1A5BFF}" uniqueName="167" name="_19" queryTableFieldId="167" dataDxfId="8"/>
    <tableColumn id="168" xr3:uid="{E9878346-FAE2-496B-95F8-D42270103795}" uniqueName="168" name="_20" queryTableFieldId="168" dataDxfId="7"/>
    <tableColumn id="169" xr3:uid="{32AA7EE2-4204-449F-AA51-AAE407CB8BDA}" uniqueName="169" name="_21" queryTableFieldId="169" dataDxfId="6"/>
    <tableColumn id="170" xr3:uid="{63D3D111-C6F9-4EC2-BE49-BE34E2EB0D25}" uniqueName="170" name="_22" queryTableFieldId="170" dataDxfId="5"/>
    <tableColumn id="171" xr3:uid="{F02E0873-F16B-4FF6-AF1F-4C609A1DB6C5}" uniqueName="171" name="_23" queryTableFieldId="171" dataDxfId="4"/>
    <tableColumn id="172" xr3:uid="{FEBAB815-0B3F-4567-830B-8D709BB1275A}" uniqueName="172" name="_24" queryTableFieldId="172" dataDxfId="3"/>
    <tableColumn id="173" xr3:uid="{B8AAB493-7DF9-4A82-AA9F-D5A6F4AA4268}" uniqueName="173" name="_25" queryTableFieldId="173" dataDxfId="2"/>
    <tableColumn id="174" xr3:uid="{58C3EA1A-794F-4AA1-A04E-247B15947BF5}" uniqueName="174" name="_26" queryTableFieldId="174" dataDxfId="1"/>
    <tableColumn id="175" xr3:uid="{AA0B330E-F9A1-4DA3-80B5-76332F47E7DB}" uniqueName="175" name="_27" queryTableFieldId="17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image" Target="../media/image2.emf"/><Relationship Id="rId5" Type="http://schemas.openxmlformats.org/officeDocument/2006/relationships/oleObject" Target="../embeddings/oleObject2.bin"/><Relationship Id="rId4" Type="http://schemas.openxmlformats.org/officeDocument/2006/relationships/image" Target="../media/image1.emf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29"/>
  <sheetViews>
    <sheetView topLeftCell="C1" zoomScaleNormal="100" workbookViewId="0">
      <selection activeCell="A2" sqref="A1:R2"/>
    </sheetView>
  </sheetViews>
  <sheetFormatPr defaultRowHeight="14.4" x14ac:dyDescent="0.3"/>
  <cols>
    <col min="1" max="1" width="14" bestFit="1" customWidth="1"/>
    <col min="2" max="2" width="7.88671875" bestFit="1" customWidth="1"/>
    <col min="3" max="3" width="7.33203125" bestFit="1" customWidth="1"/>
    <col min="4" max="4" width="5.33203125" bestFit="1" customWidth="1"/>
    <col min="5" max="5" width="5.21875" bestFit="1" customWidth="1"/>
    <col min="6" max="6" width="5.33203125" bestFit="1" customWidth="1"/>
    <col min="7" max="7" width="5.21875" bestFit="1" customWidth="1"/>
    <col min="8" max="8" width="19.77734375" bestFit="1" customWidth="1"/>
    <col min="9" max="9" width="17.88671875" bestFit="1" customWidth="1"/>
    <col min="10" max="10" width="19.109375" bestFit="1" customWidth="1"/>
    <col min="11" max="11" width="17.33203125" bestFit="1" customWidth="1"/>
    <col min="12" max="12" width="21.5546875" bestFit="1" customWidth="1"/>
    <col min="13" max="13" width="10.6640625" bestFit="1" customWidth="1"/>
    <col min="14" max="14" width="10.5546875" bestFit="1" customWidth="1"/>
    <col min="15" max="15" width="13.33203125" bestFit="1" customWidth="1"/>
    <col min="16" max="16" width="12.77734375" bestFit="1" customWidth="1"/>
    <col min="17" max="17" width="11.88671875" bestFit="1" customWidth="1"/>
    <col min="18" max="18" width="13.44140625" bestFit="1" customWidth="1"/>
  </cols>
  <sheetData>
    <row r="1" spans="1:18" x14ac:dyDescent="0.3">
      <c r="A1" t="s">
        <v>1562</v>
      </c>
      <c r="B1" t="s">
        <v>1561</v>
      </c>
      <c r="C1" t="s">
        <v>1560</v>
      </c>
      <c r="D1" t="s">
        <v>1559</v>
      </c>
      <c r="E1" t="s">
        <v>1558</v>
      </c>
      <c r="F1" t="s">
        <v>1557</v>
      </c>
      <c r="G1" t="s">
        <v>1556</v>
      </c>
      <c r="H1" t="s">
        <v>1555</v>
      </c>
      <c r="I1" t="s">
        <v>1554</v>
      </c>
      <c r="J1" t="s">
        <v>1553</v>
      </c>
      <c r="K1" t="s">
        <v>1552</v>
      </c>
      <c r="L1" t="s">
        <v>1551</v>
      </c>
      <c r="M1" t="s">
        <v>1550</v>
      </c>
      <c r="N1" t="s">
        <v>1549</v>
      </c>
      <c r="O1" t="s">
        <v>1548</v>
      </c>
      <c r="P1" t="s">
        <v>1547</v>
      </c>
      <c r="Q1" t="s">
        <v>1546</v>
      </c>
      <c r="R1" t="s">
        <v>1545</v>
      </c>
    </row>
    <row r="2" spans="1:18" x14ac:dyDescent="0.3">
      <c r="A2" t="s">
        <v>0</v>
      </c>
      <c r="B2">
        <v>0</v>
      </c>
      <c r="C2" t="s">
        <v>1</v>
      </c>
      <c r="D2">
        <v>2346</v>
      </c>
      <c r="E2">
        <v>1200</v>
      </c>
      <c r="F2">
        <v>2968</v>
      </c>
      <c r="G2">
        <v>1587</v>
      </c>
      <c r="H2">
        <v>622</v>
      </c>
      <c r="I2">
        <v>387</v>
      </c>
      <c r="J2" t="s">
        <v>2</v>
      </c>
      <c r="K2" t="s">
        <v>3</v>
      </c>
      <c r="L2" t="s">
        <v>4</v>
      </c>
      <c r="M2">
        <v>2657</v>
      </c>
      <c r="N2">
        <v>1393</v>
      </c>
      <c r="O2" t="s">
        <v>5</v>
      </c>
      <c r="P2" t="s">
        <v>6</v>
      </c>
      <c r="Q2" t="s">
        <v>7</v>
      </c>
      <c r="R2" t="s">
        <v>8</v>
      </c>
    </row>
    <row r="3" spans="1:18" x14ac:dyDescent="0.3">
      <c r="A3" t="s">
        <v>0</v>
      </c>
      <c r="B3">
        <v>1</v>
      </c>
      <c r="C3" t="s">
        <v>1</v>
      </c>
      <c r="D3">
        <v>1760</v>
      </c>
      <c r="E3">
        <v>1186</v>
      </c>
      <c r="F3">
        <v>2308</v>
      </c>
      <c r="G3">
        <v>1578</v>
      </c>
      <c r="H3">
        <v>548</v>
      </c>
      <c r="I3">
        <v>392</v>
      </c>
      <c r="J3" t="s">
        <v>9</v>
      </c>
      <c r="K3" t="s">
        <v>10</v>
      </c>
      <c r="L3" t="s">
        <v>11</v>
      </c>
      <c r="M3">
        <v>2034</v>
      </c>
      <c r="N3">
        <v>1382</v>
      </c>
      <c r="O3" t="s">
        <v>12</v>
      </c>
      <c r="P3" t="s">
        <v>13</v>
      </c>
      <c r="Q3" t="s">
        <v>7</v>
      </c>
      <c r="R3" t="s">
        <v>14</v>
      </c>
    </row>
    <row r="4" spans="1:18" x14ac:dyDescent="0.3">
      <c r="A4" t="s">
        <v>0</v>
      </c>
      <c r="B4">
        <v>2</v>
      </c>
      <c r="C4" t="s">
        <v>1</v>
      </c>
      <c r="D4">
        <v>2953</v>
      </c>
      <c r="E4">
        <v>1197</v>
      </c>
      <c r="F4">
        <v>3810</v>
      </c>
      <c r="G4">
        <v>1631</v>
      </c>
      <c r="H4">
        <v>857</v>
      </c>
      <c r="I4">
        <v>434</v>
      </c>
      <c r="J4" t="s">
        <v>15</v>
      </c>
      <c r="K4" t="s">
        <v>16</v>
      </c>
      <c r="L4" t="s">
        <v>17</v>
      </c>
      <c r="M4">
        <v>3381</v>
      </c>
      <c r="N4">
        <v>1414</v>
      </c>
      <c r="O4" t="s">
        <v>18</v>
      </c>
      <c r="P4" t="s">
        <v>19</v>
      </c>
      <c r="Q4" t="s">
        <v>7</v>
      </c>
      <c r="R4" t="s">
        <v>20</v>
      </c>
    </row>
    <row r="5" spans="1:18" x14ac:dyDescent="0.3">
      <c r="A5" t="s">
        <v>0</v>
      </c>
      <c r="B5">
        <v>3</v>
      </c>
      <c r="C5" t="s">
        <v>1</v>
      </c>
      <c r="D5">
        <v>137</v>
      </c>
      <c r="E5">
        <v>1125</v>
      </c>
      <c r="F5">
        <v>890</v>
      </c>
      <c r="G5">
        <v>1577</v>
      </c>
      <c r="H5">
        <v>753</v>
      </c>
      <c r="I5">
        <v>452</v>
      </c>
      <c r="J5" t="s">
        <v>21</v>
      </c>
      <c r="K5" t="s">
        <v>22</v>
      </c>
      <c r="L5" t="s">
        <v>23</v>
      </c>
      <c r="M5">
        <v>513</v>
      </c>
      <c r="N5">
        <v>1351</v>
      </c>
      <c r="O5" t="s">
        <v>24</v>
      </c>
      <c r="P5" t="s">
        <v>19</v>
      </c>
      <c r="Q5" t="s">
        <v>7</v>
      </c>
      <c r="R5" t="s">
        <v>25</v>
      </c>
    </row>
    <row r="6" spans="1:18" x14ac:dyDescent="0.3">
      <c r="A6" t="s">
        <v>0</v>
      </c>
      <c r="B6">
        <v>4</v>
      </c>
      <c r="C6" t="s">
        <v>1</v>
      </c>
      <c r="D6">
        <v>3751</v>
      </c>
      <c r="E6">
        <v>1118</v>
      </c>
      <c r="F6">
        <v>4029</v>
      </c>
      <c r="G6">
        <v>1603</v>
      </c>
      <c r="H6">
        <v>278</v>
      </c>
      <c r="I6">
        <v>485</v>
      </c>
      <c r="J6" t="s">
        <v>26</v>
      </c>
      <c r="K6" t="s">
        <v>27</v>
      </c>
      <c r="L6" t="s">
        <v>28</v>
      </c>
      <c r="M6">
        <v>3890</v>
      </c>
      <c r="N6">
        <v>1360</v>
      </c>
      <c r="O6" t="s">
        <v>29</v>
      </c>
      <c r="P6" t="s">
        <v>30</v>
      </c>
      <c r="Q6" t="s">
        <v>7</v>
      </c>
      <c r="R6" t="s">
        <v>31</v>
      </c>
    </row>
    <row r="7" spans="1:18" x14ac:dyDescent="0.3">
      <c r="A7" t="s">
        <v>0</v>
      </c>
      <c r="B7">
        <v>5</v>
      </c>
      <c r="C7" t="s">
        <v>1</v>
      </c>
      <c r="D7">
        <v>899</v>
      </c>
      <c r="E7">
        <v>1141</v>
      </c>
      <c r="F7">
        <v>1598</v>
      </c>
      <c r="G7">
        <v>1565</v>
      </c>
      <c r="H7">
        <v>699</v>
      </c>
      <c r="I7">
        <v>424</v>
      </c>
      <c r="J7" t="s">
        <v>32</v>
      </c>
      <c r="K7" t="s">
        <v>33</v>
      </c>
      <c r="L7" t="s">
        <v>34</v>
      </c>
      <c r="M7">
        <v>1248</v>
      </c>
      <c r="N7">
        <v>1353</v>
      </c>
      <c r="O7" t="s">
        <v>35</v>
      </c>
      <c r="P7" t="s">
        <v>36</v>
      </c>
      <c r="Q7" t="s">
        <v>7</v>
      </c>
      <c r="R7" t="s">
        <v>37</v>
      </c>
    </row>
    <row r="8" spans="1:18" x14ac:dyDescent="0.3">
      <c r="A8" t="s">
        <v>38</v>
      </c>
      <c r="B8">
        <v>0</v>
      </c>
      <c r="C8" t="s">
        <v>1</v>
      </c>
      <c r="D8">
        <v>2410</v>
      </c>
      <c r="E8">
        <v>1312</v>
      </c>
      <c r="F8">
        <v>3044</v>
      </c>
      <c r="G8">
        <v>1701</v>
      </c>
      <c r="H8">
        <v>634</v>
      </c>
      <c r="I8">
        <v>389</v>
      </c>
      <c r="J8" t="s">
        <v>39</v>
      </c>
      <c r="K8" t="s">
        <v>40</v>
      </c>
      <c r="L8" t="s">
        <v>41</v>
      </c>
      <c r="M8">
        <v>2727</v>
      </c>
      <c r="N8">
        <v>1506</v>
      </c>
      <c r="O8" t="s">
        <v>42</v>
      </c>
      <c r="P8" t="s">
        <v>6</v>
      </c>
      <c r="Q8" t="s">
        <v>43</v>
      </c>
      <c r="R8" t="s">
        <v>44</v>
      </c>
    </row>
    <row r="9" spans="1:18" x14ac:dyDescent="0.3">
      <c r="A9" t="s">
        <v>38</v>
      </c>
      <c r="B9">
        <v>1</v>
      </c>
      <c r="C9" t="s">
        <v>1</v>
      </c>
      <c r="D9">
        <v>1809</v>
      </c>
      <c r="E9">
        <v>1310</v>
      </c>
      <c r="F9">
        <v>2366</v>
      </c>
      <c r="G9">
        <v>1701</v>
      </c>
      <c r="H9">
        <v>557</v>
      </c>
      <c r="I9">
        <v>391</v>
      </c>
      <c r="J9" t="s">
        <v>45</v>
      </c>
      <c r="K9" t="s">
        <v>46</v>
      </c>
      <c r="L9" t="s">
        <v>47</v>
      </c>
      <c r="M9">
        <v>2087</v>
      </c>
      <c r="N9">
        <v>1505</v>
      </c>
      <c r="O9" t="s">
        <v>48</v>
      </c>
      <c r="P9" t="s">
        <v>13</v>
      </c>
      <c r="Q9" t="s">
        <v>43</v>
      </c>
      <c r="R9" t="s">
        <v>49</v>
      </c>
    </row>
    <row r="10" spans="1:18" x14ac:dyDescent="0.3">
      <c r="A10" t="s">
        <v>38</v>
      </c>
      <c r="B10">
        <v>2</v>
      </c>
      <c r="C10" t="s">
        <v>1</v>
      </c>
      <c r="D10">
        <v>3030</v>
      </c>
      <c r="E10">
        <v>1308</v>
      </c>
      <c r="F10">
        <v>3914</v>
      </c>
      <c r="G10">
        <v>1742</v>
      </c>
      <c r="H10">
        <v>884</v>
      </c>
      <c r="I10">
        <v>434</v>
      </c>
      <c r="J10" t="s">
        <v>50</v>
      </c>
      <c r="K10" t="s">
        <v>16</v>
      </c>
      <c r="L10" t="s">
        <v>51</v>
      </c>
      <c r="M10">
        <v>3472</v>
      </c>
      <c r="N10">
        <v>1525</v>
      </c>
      <c r="O10" t="s">
        <v>52</v>
      </c>
      <c r="P10" t="s">
        <v>19</v>
      </c>
      <c r="Q10" t="s">
        <v>43</v>
      </c>
      <c r="R10" t="s">
        <v>53</v>
      </c>
    </row>
    <row r="11" spans="1:18" x14ac:dyDescent="0.3">
      <c r="A11" t="s">
        <v>38</v>
      </c>
      <c r="B11">
        <v>3</v>
      </c>
      <c r="C11" t="s">
        <v>1</v>
      </c>
      <c r="D11">
        <v>213</v>
      </c>
      <c r="E11">
        <v>1256</v>
      </c>
      <c r="F11">
        <v>973</v>
      </c>
      <c r="G11">
        <v>1712</v>
      </c>
      <c r="H11">
        <v>760</v>
      </c>
      <c r="I11">
        <v>456</v>
      </c>
      <c r="J11" t="s">
        <v>54</v>
      </c>
      <c r="K11" t="s">
        <v>55</v>
      </c>
      <c r="L11" t="s">
        <v>23</v>
      </c>
      <c r="M11">
        <v>593</v>
      </c>
      <c r="N11">
        <v>1484</v>
      </c>
      <c r="O11" t="s">
        <v>56</v>
      </c>
      <c r="P11" t="s">
        <v>57</v>
      </c>
      <c r="Q11" t="s">
        <v>43</v>
      </c>
      <c r="R11" t="s">
        <v>58</v>
      </c>
    </row>
    <row r="12" spans="1:18" x14ac:dyDescent="0.3">
      <c r="A12" t="s">
        <v>38</v>
      </c>
      <c r="B12">
        <v>4</v>
      </c>
      <c r="C12" t="s">
        <v>1</v>
      </c>
      <c r="D12">
        <v>967</v>
      </c>
      <c r="E12">
        <v>1264</v>
      </c>
      <c r="F12">
        <v>1679</v>
      </c>
      <c r="G12">
        <v>1692</v>
      </c>
      <c r="H12">
        <v>712</v>
      </c>
      <c r="I12">
        <v>428</v>
      </c>
      <c r="J12" t="s">
        <v>59</v>
      </c>
      <c r="K12" t="s">
        <v>60</v>
      </c>
      <c r="L12" t="s">
        <v>61</v>
      </c>
      <c r="M12">
        <v>1323</v>
      </c>
      <c r="N12">
        <v>1478</v>
      </c>
      <c r="O12" t="s">
        <v>62</v>
      </c>
      <c r="P12" t="s">
        <v>63</v>
      </c>
      <c r="Q12" t="s">
        <v>43</v>
      </c>
      <c r="R12" t="s">
        <v>64</v>
      </c>
    </row>
    <row r="13" spans="1:18" x14ac:dyDescent="0.3">
      <c r="A13" t="s">
        <v>38</v>
      </c>
      <c r="B13">
        <v>5</v>
      </c>
      <c r="C13" t="s">
        <v>1</v>
      </c>
      <c r="D13">
        <v>1</v>
      </c>
      <c r="E13">
        <v>1341</v>
      </c>
      <c r="F13">
        <v>341</v>
      </c>
      <c r="G13">
        <v>1696</v>
      </c>
      <c r="H13">
        <v>340</v>
      </c>
      <c r="I13">
        <v>355</v>
      </c>
      <c r="J13" t="s">
        <v>65</v>
      </c>
      <c r="K13" t="s">
        <v>66</v>
      </c>
      <c r="L13" t="s">
        <v>67</v>
      </c>
      <c r="M13">
        <v>171</v>
      </c>
      <c r="N13">
        <v>1518</v>
      </c>
      <c r="O13" t="s">
        <v>68</v>
      </c>
      <c r="P13" t="s">
        <v>69</v>
      </c>
      <c r="Q13" t="s">
        <v>43</v>
      </c>
      <c r="R13" t="s">
        <v>70</v>
      </c>
    </row>
    <row r="14" spans="1:18" x14ac:dyDescent="0.3">
      <c r="A14" t="s">
        <v>38</v>
      </c>
      <c r="B14">
        <v>6</v>
      </c>
      <c r="C14" t="s">
        <v>1</v>
      </c>
      <c r="D14">
        <v>3833</v>
      </c>
      <c r="E14">
        <v>1248</v>
      </c>
      <c r="F14">
        <v>4030</v>
      </c>
      <c r="G14">
        <v>1665</v>
      </c>
      <c r="H14">
        <v>197</v>
      </c>
      <c r="I14">
        <v>417</v>
      </c>
      <c r="J14" t="s">
        <v>71</v>
      </c>
      <c r="K14" t="s">
        <v>72</v>
      </c>
      <c r="L14" t="s">
        <v>73</v>
      </c>
      <c r="M14">
        <v>3931</v>
      </c>
      <c r="N14">
        <v>1456</v>
      </c>
      <c r="O14" t="s">
        <v>74</v>
      </c>
      <c r="P14" t="s">
        <v>75</v>
      </c>
      <c r="Q14" t="s">
        <v>43</v>
      </c>
      <c r="R14" t="s">
        <v>76</v>
      </c>
    </row>
    <row r="15" spans="1:18" x14ac:dyDescent="0.3">
      <c r="A15" t="s">
        <v>77</v>
      </c>
      <c r="B15">
        <v>0</v>
      </c>
      <c r="C15" t="s">
        <v>1</v>
      </c>
      <c r="D15">
        <v>2397</v>
      </c>
      <c r="E15">
        <v>1194</v>
      </c>
      <c r="F15">
        <v>3038</v>
      </c>
      <c r="G15">
        <v>1581</v>
      </c>
      <c r="H15">
        <v>641</v>
      </c>
      <c r="I15">
        <v>387</v>
      </c>
      <c r="J15" t="s">
        <v>78</v>
      </c>
      <c r="K15" t="s">
        <v>3</v>
      </c>
      <c r="L15" t="s">
        <v>61</v>
      </c>
      <c r="M15">
        <v>2717</v>
      </c>
      <c r="N15">
        <v>1387</v>
      </c>
      <c r="O15" t="s">
        <v>79</v>
      </c>
      <c r="P15" t="s">
        <v>80</v>
      </c>
      <c r="Q15" t="s">
        <v>81</v>
      </c>
      <c r="R15" t="s">
        <v>82</v>
      </c>
    </row>
    <row r="16" spans="1:18" x14ac:dyDescent="0.3">
      <c r="A16" t="s">
        <v>77</v>
      </c>
      <c r="B16">
        <v>1</v>
      </c>
      <c r="C16" t="s">
        <v>1</v>
      </c>
      <c r="D16">
        <v>1801</v>
      </c>
      <c r="E16">
        <v>1186</v>
      </c>
      <c r="F16">
        <v>2359</v>
      </c>
      <c r="G16">
        <v>1572</v>
      </c>
      <c r="H16">
        <v>558</v>
      </c>
      <c r="I16">
        <v>386</v>
      </c>
      <c r="J16" t="s">
        <v>83</v>
      </c>
      <c r="K16" t="s">
        <v>84</v>
      </c>
      <c r="L16" t="s">
        <v>85</v>
      </c>
      <c r="M16">
        <v>2080</v>
      </c>
      <c r="N16">
        <v>1379</v>
      </c>
      <c r="O16" t="s">
        <v>86</v>
      </c>
      <c r="P16" t="s">
        <v>80</v>
      </c>
      <c r="Q16" t="s">
        <v>81</v>
      </c>
      <c r="R16" t="s">
        <v>87</v>
      </c>
    </row>
    <row r="17" spans="1:18" x14ac:dyDescent="0.3">
      <c r="A17" t="s">
        <v>77</v>
      </c>
      <c r="B17">
        <v>2</v>
      </c>
      <c r="C17" t="s">
        <v>1</v>
      </c>
      <c r="D17">
        <v>3025</v>
      </c>
      <c r="E17">
        <v>1197</v>
      </c>
      <c r="F17">
        <v>3884</v>
      </c>
      <c r="G17">
        <v>1631</v>
      </c>
      <c r="H17">
        <v>859</v>
      </c>
      <c r="I17">
        <v>434</v>
      </c>
      <c r="J17" t="s">
        <v>88</v>
      </c>
      <c r="K17" t="s">
        <v>16</v>
      </c>
      <c r="L17" t="s">
        <v>89</v>
      </c>
      <c r="M17">
        <v>3454</v>
      </c>
      <c r="N17">
        <v>1414</v>
      </c>
      <c r="O17" t="s">
        <v>90</v>
      </c>
      <c r="P17" t="s">
        <v>19</v>
      </c>
      <c r="Q17" t="s">
        <v>81</v>
      </c>
      <c r="R17" t="s">
        <v>91</v>
      </c>
    </row>
    <row r="18" spans="1:18" x14ac:dyDescent="0.3">
      <c r="A18" t="s">
        <v>77</v>
      </c>
      <c r="B18">
        <v>3</v>
      </c>
      <c r="C18" t="s">
        <v>1</v>
      </c>
      <c r="D18">
        <v>227</v>
      </c>
      <c r="E18">
        <v>1110</v>
      </c>
      <c r="F18">
        <v>937</v>
      </c>
      <c r="G18">
        <v>1561</v>
      </c>
      <c r="H18">
        <v>710</v>
      </c>
      <c r="I18">
        <v>451</v>
      </c>
      <c r="J18" t="s">
        <v>92</v>
      </c>
      <c r="K18" t="s">
        <v>93</v>
      </c>
      <c r="L18" t="s">
        <v>94</v>
      </c>
      <c r="M18">
        <v>582</v>
      </c>
      <c r="N18">
        <v>1335</v>
      </c>
      <c r="O18" t="s">
        <v>95</v>
      </c>
      <c r="P18" t="s">
        <v>63</v>
      </c>
      <c r="Q18" t="s">
        <v>81</v>
      </c>
      <c r="R18" t="s">
        <v>96</v>
      </c>
    </row>
    <row r="19" spans="1:18" hidden="1" x14ac:dyDescent="0.3">
      <c r="A19" t="s">
        <v>77</v>
      </c>
      <c r="B19">
        <v>4</v>
      </c>
      <c r="C19" t="s">
        <v>97</v>
      </c>
      <c r="D19">
        <v>953</v>
      </c>
      <c r="E19">
        <v>1131</v>
      </c>
      <c r="F19">
        <v>1663</v>
      </c>
      <c r="G19">
        <v>1555</v>
      </c>
      <c r="H19">
        <v>710</v>
      </c>
      <c r="I19">
        <v>424</v>
      </c>
      <c r="J19" t="s">
        <v>92</v>
      </c>
      <c r="K19" t="s">
        <v>33</v>
      </c>
      <c r="L19" t="s">
        <v>23</v>
      </c>
      <c r="M19">
        <v>1308</v>
      </c>
      <c r="N19">
        <v>1343</v>
      </c>
      <c r="O19" t="s">
        <v>98</v>
      </c>
      <c r="P19" t="s">
        <v>36</v>
      </c>
      <c r="Q19" t="s">
        <v>81</v>
      </c>
      <c r="R19" t="s">
        <v>99</v>
      </c>
    </row>
    <row r="20" spans="1:18" x14ac:dyDescent="0.3">
      <c r="A20" t="s">
        <v>77</v>
      </c>
      <c r="B20">
        <v>5</v>
      </c>
      <c r="C20" t="s">
        <v>1</v>
      </c>
      <c r="D20">
        <v>0</v>
      </c>
      <c r="E20">
        <v>1189</v>
      </c>
      <c r="F20">
        <v>316</v>
      </c>
      <c r="G20">
        <v>1548</v>
      </c>
      <c r="H20">
        <v>316</v>
      </c>
      <c r="I20">
        <v>359</v>
      </c>
      <c r="J20" t="s">
        <v>100</v>
      </c>
      <c r="K20" t="s">
        <v>101</v>
      </c>
      <c r="L20" t="s">
        <v>102</v>
      </c>
      <c r="M20">
        <v>158</v>
      </c>
      <c r="N20">
        <v>1368</v>
      </c>
      <c r="O20" t="s">
        <v>103</v>
      </c>
      <c r="P20" t="s">
        <v>104</v>
      </c>
      <c r="Q20" t="s">
        <v>81</v>
      </c>
      <c r="R20" t="s">
        <v>105</v>
      </c>
    </row>
    <row r="21" spans="1:18" x14ac:dyDescent="0.3">
      <c r="A21" t="s">
        <v>77</v>
      </c>
      <c r="B21">
        <v>6</v>
      </c>
      <c r="C21" t="s">
        <v>1</v>
      </c>
      <c r="D21">
        <v>3828</v>
      </c>
      <c r="E21">
        <v>1160</v>
      </c>
      <c r="F21">
        <v>4030</v>
      </c>
      <c r="G21">
        <v>1602</v>
      </c>
      <c r="H21">
        <v>202</v>
      </c>
      <c r="I21">
        <v>442</v>
      </c>
      <c r="J21" t="s">
        <v>106</v>
      </c>
      <c r="K21" t="s">
        <v>107</v>
      </c>
      <c r="L21" t="s">
        <v>108</v>
      </c>
      <c r="M21">
        <v>3929</v>
      </c>
      <c r="N21">
        <v>1381</v>
      </c>
      <c r="O21" t="s">
        <v>109</v>
      </c>
      <c r="P21" t="s">
        <v>110</v>
      </c>
      <c r="Q21" t="s">
        <v>81</v>
      </c>
      <c r="R21" t="s">
        <v>111</v>
      </c>
    </row>
    <row r="22" spans="1:18" x14ac:dyDescent="0.3">
      <c r="A22" t="s">
        <v>77</v>
      </c>
      <c r="B22">
        <v>7</v>
      </c>
      <c r="C22" t="s">
        <v>1</v>
      </c>
      <c r="D22">
        <v>953</v>
      </c>
      <c r="E22">
        <v>1129</v>
      </c>
      <c r="F22">
        <v>1664</v>
      </c>
      <c r="G22">
        <v>1553</v>
      </c>
      <c r="H22">
        <v>711</v>
      </c>
      <c r="I22">
        <v>424</v>
      </c>
      <c r="J22" t="s">
        <v>112</v>
      </c>
      <c r="K22" t="s">
        <v>33</v>
      </c>
      <c r="L22" t="s">
        <v>113</v>
      </c>
      <c r="M22">
        <v>1308</v>
      </c>
      <c r="N22">
        <v>1341</v>
      </c>
      <c r="O22" t="s">
        <v>114</v>
      </c>
      <c r="P22" t="s">
        <v>115</v>
      </c>
      <c r="Q22" t="s">
        <v>81</v>
      </c>
      <c r="R22" t="s">
        <v>99</v>
      </c>
    </row>
    <row r="23" spans="1:18" x14ac:dyDescent="0.3">
      <c r="A23" t="s">
        <v>116</v>
      </c>
      <c r="B23">
        <v>0</v>
      </c>
      <c r="C23" t="s">
        <v>1</v>
      </c>
      <c r="D23">
        <v>2190</v>
      </c>
      <c r="E23">
        <v>1298</v>
      </c>
      <c r="F23">
        <v>2819</v>
      </c>
      <c r="G23">
        <v>1683</v>
      </c>
      <c r="H23">
        <v>629</v>
      </c>
      <c r="I23">
        <v>385</v>
      </c>
      <c r="J23" t="s">
        <v>117</v>
      </c>
      <c r="K23" t="s">
        <v>118</v>
      </c>
      <c r="L23" t="s">
        <v>41</v>
      </c>
      <c r="M23">
        <v>2504</v>
      </c>
      <c r="N23">
        <v>1490</v>
      </c>
      <c r="O23" t="s">
        <v>119</v>
      </c>
      <c r="P23" t="s">
        <v>80</v>
      </c>
      <c r="Q23" t="s">
        <v>120</v>
      </c>
      <c r="R23" t="s">
        <v>121</v>
      </c>
    </row>
    <row r="24" spans="1:18" x14ac:dyDescent="0.3">
      <c r="A24" t="s">
        <v>116</v>
      </c>
      <c r="B24">
        <v>1</v>
      </c>
      <c r="C24" t="s">
        <v>1</v>
      </c>
      <c r="D24">
        <v>681</v>
      </c>
      <c r="E24">
        <v>1247</v>
      </c>
      <c r="F24">
        <v>1404</v>
      </c>
      <c r="G24">
        <v>1654</v>
      </c>
      <c r="H24">
        <v>723</v>
      </c>
      <c r="I24">
        <v>407</v>
      </c>
      <c r="J24" t="s">
        <v>122</v>
      </c>
      <c r="K24" t="s">
        <v>123</v>
      </c>
      <c r="L24" t="s">
        <v>124</v>
      </c>
      <c r="M24">
        <v>1042</v>
      </c>
      <c r="N24">
        <v>1450</v>
      </c>
      <c r="O24" t="s">
        <v>125</v>
      </c>
      <c r="P24" t="s">
        <v>13</v>
      </c>
      <c r="Q24" t="s">
        <v>120</v>
      </c>
      <c r="R24" t="s">
        <v>126</v>
      </c>
    </row>
    <row r="25" spans="1:18" x14ac:dyDescent="0.3">
      <c r="A25" t="s">
        <v>116</v>
      </c>
      <c r="B25">
        <v>2</v>
      </c>
      <c r="C25" t="s">
        <v>1</v>
      </c>
      <c r="D25">
        <v>1</v>
      </c>
      <c r="E25">
        <v>1183</v>
      </c>
      <c r="F25">
        <v>682</v>
      </c>
      <c r="G25">
        <v>1653</v>
      </c>
      <c r="H25">
        <v>681</v>
      </c>
      <c r="I25">
        <v>470</v>
      </c>
      <c r="J25" t="s">
        <v>127</v>
      </c>
      <c r="K25" t="s">
        <v>128</v>
      </c>
      <c r="L25" t="s">
        <v>85</v>
      </c>
      <c r="M25">
        <v>341</v>
      </c>
      <c r="N25">
        <v>1418</v>
      </c>
      <c r="O25" t="s">
        <v>129</v>
      </c>
      <c r="P25" t="s">
        <v>130</v>
      </c>
      <c r="Q25" t="s">
        <v>120</v>
      </c>
      <c r="R25" t="s">
        <v>131</v>
      </c>
    </row>
    <row r="26" spans="1:18" x14ac:dyDescent="0.3">
      <c r="A26" t="s">
        <v>116</v>
      </c>
      <c r="B26">
        <v>3</v>
      </c>
      <c r="C26" t="s">
        <v>1</v>
      </c>
      <c r="D26">
        <v>1588</v>
      </c>
      <c r="E26">
        <v>1282</v>
      </c>
      <c r="F26">
        <v>2155</v>
      </c>
      <c r="G26">
        <v>1674</v>
      </c>
      <c r="H26">
        <v>567</v>
      </c>
      <c r="I26">
        <v>392</v>
      </c>
      <c r="J26" t="s">
        <v>132</v>
      </c>
      <c r="K26" t="s">
        <v>10</v>
      </c>
      <c r="L26" t="s">
        <v>85</v>
      </c>
      <c r="M26">
        <v>1871</v>
      </c>
      <c r="N26">
        <v>1478</v>
      </c>
      <c r="O26" t="s">
        <v>133</v>
      </c>
      <c r="P26" t="s">
        <v>130</v>
      </c>
      <c r="Q26" t="s">
        <v>120</v>
      </c>
      <c r="R26" t="s">
        <v>134</v>
      </c>
    </row>
    <row r="27" spans="1:18" x14ac:dyDescent="0.3">
      <c r="A27" t="s">
        <v>135</v>
      </c>
      <c r="B27">
        <v>0</v>
      </c>
      <c r="C27" t="s">
        <v>1</v>
      </c>
      <c r="D27">
        <v>1169</v>
      </c>
      <c r="E27">
        <v>1274</v>
      </c>
      <c r="F27">
        <v>1742</v>
      </c>
      <c r="G27">
        <v>1652</v>
      </c>
      <c r="H27">
        <v>573</v>
      </c>
      <c r="I27">
        <v>378</v>
      </c>
      <c r="J27" t="s">
        <v>136</v>
      </c>
      <c r="K27" t="s">
        <v>137</v>
      </c>
      <c r="L27" t="s">
        <v>138</v>
      </c>
      <c r="M27">
        <v>1455</v>
      </c>
      <c r="N27">
        <v>1463</v>
      </c>
      <c r="O27" t="s">
        <v>139</v>
      </c>
      <c r="P27" t="s">
        <v>80</v>
      </c>
      <c r="Q27" t="s">
        <v>140</v>
      </c>
      <c r="R27" t="s">
        <v>141</v>
      </c>
    </row>
    <row r="28" spans="1:18" x14ac:dyDescent="0.3">
      <c r="A28" t="s">
        <v>135</v>
      </c>
      <c r="B28">
        <v>1</v>
      </c>
      <c r="C28" t="s">
        <v>1</v>
      </c>
      <c r="D28">
        <v>1</v>
      </c>
      <c r="E28">
        <v>1254</v>
      </c>
      <c r="F28">
        <v>449</v>
      </c>
      <c r="G28">
        <v>1662</v>
      </c>
      <c r="H28">
        <v>448</v>
      </c>
      <c r="I28">
        <v>408</v>
      </c>
      <c r="J28" t="s">
        <v>142</v>
      </c>
      <c r="K28" t="s">
        <v>143</v>
      </c>
      <c r="L28" t="s">
        <v>144</v>
      </c>
      <c r="M28">
        <v>225</v>
      </c>
      <c r="N28">
        <v>1458</v>
      </c>
      <c r="O28" t="s">
        <v>145</v>
      </c>
      <c r="P28" t="s">
        <v>19</v>
      </c>
      <c r="Q28" t="s">
        <v>140</v>
      </c>
      <c r="R28" t="s">
        <v>146</v>
      </c>
    </row>
    <row r="29" spans="1:18" x14ac:dyDescent="0.3">
      <c r="A29" t="s">
        <v>135</v>
      </c>
      <c r="B29">
        <v>2</v>
      </c>
      <c r="C29" t="s">
        <v>1</v>
      </c>
      <c r="D29">
        <v>1934</v>
      </c>
      <c r="E29">
        <v>1286</v>
      </c>
      <c r="F29">
        <v>2476</v>
      </c>
      <c r="G29">
        <v>1671</v>
      </c>
      <c r="H29">
        <v>542</v>
      </c>
      <c r="I29">
        <v>385</v>
      </c>
      <c r="J29" t="s">
        <v>147</v>
      </c>
      <c r="K29" t="s">
        <v>118</v>
      </c>
      <c r="L29" t="s">
        <v>148</v>
      </c>
      <c r="M29">
        <v>2205</v>
      </c>
      <c r="N29">
        <v>1478</v>
      </c>
      <c r="O29" t="s">
        <v>149</v>
      </c>
      <c r="P29" t="s">
        <v>19</v>
      </c>
      <c r="Q29" t="s">
        <v>140</v>
      </c>
      <c r="R29" t="s">
        <v>150</v>
      </c>
    </row>
    <row r="30" spans="1:18" x14ac:dyDescent="0.3">
      <c r="A30" t="s">
        <v>151</v>
      </c>
      <c r="B30">
        <v>0</v>
      </c>
      <c r="C30" t="s">
        <v>1</v>
      </c>
      <c r="D30">
        <v>2576</v>
      </c>
      <c r="E30">
        <v>1413</v>
      </c>
      <c r="F30">
        <v>3286</v>
      </c>
      <c r="G30">
        <v>1826</v>
      </c>
      <c r="H30">
        <v>710</v>
      </c>
      <c r="I30">
        <v>413</v>
      </c>
      <c r="J30" t="s">
        <v>92</v>
      </c>
      <c r="K30" t="s">
        <v>152</v>
      </c>
      <c r="L30" t="s">
        <v>153</v>
      </c>
      <c r="M30">
        <v>2931</v>
      </c>
      <c r="N30">
        <v>1619</v>
      </c>
      <c r="O30" t="s">
        <v>95</v>
      </c>
      <c r="P30" t="s">
        <v>6</v>
      </c>
      <c r="Q30" t="s">
        <v>154</v>
      </c>
      <c r="R30" t="s">
        <v>155</v>
      </c>
    </row>
    <row r="31" spans="1:18" x14ac:dyDescent="0.3">
      <c r="A31" t="s">
        <v>151</v>
      </c>
      <c r="B31">
        <v>1</v>
      </c>
      <c r="C31" t="s">
        <v>1</v>
      </c>
      <c r="D31">
        <v>1062</v>
      </c>
      <c r="E31">
        <v>1406</v>
      </c>
      <c r="F31">
        <v>1646</v>
      </c>
      <c r="G31">
        <v>1790</v>
      </c>
      <c r="H31">
        <v>584</v>
      </c>
      <c r="I31">
        <v>384</v>
      </c>
      <c r="J31" t="s">
        <v>156</v>
      </c>
      <c r="K31" t="s">
        <v>157</v>
      </c>
      <c r="L31" t="s">
        <v>138</v>
      </c>
      <c r="M31">
        <v>1354</v>
      </c>
      <c r="N31">
        <v>1598</v>
      </c>
      <c r="O31" t="s">
        <v>158</v>
      </c>
      <c r="P31" t="s">
        <v>6</v>
      </c>
      <c r="Q31" t="s">
        <v>154</v>
      </c>
      <c r="R31" t="s">
        <v>159</v>
      </c>
    </row>
    <row r="32" spans="1:18" x14ac:dyDescent="0.3">
      <c r="A32" t="s">
        <v>151</v>
      </c>
      <c r="B32">
        <v>2</v>
      </c>
      <c r="C32" t="s">
        <v>1</v>
      </c>
      <c r="D32">
        <v>222</v>
      </c>
      <c r="E32">
        <v>1332</v>
      </c>
      <c r="F32">
        <v>978</v>
      </c>
      <c r="G32">
        <v>1798</v>
      </c>
      <c r="H32">
        <v>756</v>
      </c>
      <c r="I32">
        <v>466</v>
      </c>
      <c r="J32" t="s">
        <v>160</v>
      </c>
      <c r="K32" t="s">
        <v>161</v>
      </c>
      <c r="L32" t="s">
        <v>162</v>
      </c>
      <c r="M32">
        <v>600</v>
      </c>
      <c r="N32">
        <v>1565</v>
      </c>
      <c r="O32" t="s">
        <v>163</v>
      </c>
      <c r="P32" t="s">
        <v>19</v>
      </c>
      <c r="Q32" t="s">
        <v>154</v>
      </c>
      <c r="R32" t="s">
        <v>164</v>
      </c>
    </row>
    <row r="33" spans="1:18" x14ac:dyDescent="0.3">
      <c r="A33" t="s">
        <v>151</v>
      </c>
      <c r="B33">
        <v>3</v>
      </c>
      <c r="C33" t="s">
        <v>1</v>
      </c>
      <c r="D33">
        <v>1829</v>
      </c>
      <c r="E33">
        <v>1405</v>
      </c>
      <c r="F33">
        <v>2384</v>
      </c>
      <c r="G33">
        <v>1812</v>
      </c>
      <c r="H33">
        <v>555</v>
      </c>
      <c r="I33">
        <v>407</v>
      </c>
      <c r="J33" t="s">
        <v>165</v>
      </c>
      <c r="K33" t="s">
        <v>123</v>
      </c>
      <c r="L33" t="s">
        <v>166</v>
      </c>
      <c r="M33">
        <v>2106</v>
      </c>
      <c r="N33">
        <v>1608</v>
      </c>
      <c r="O33" t="s">
        <v>167</v>
      </c>
      <c r="P33" t="s">
        <v>102</v>
      </c>
      <c r="Q33" t="s">
        <v>154</v>
      </c>
      <c r="R33" t="s">
        <v>168</v>
      </c>
    </row>
    <row r="34" spans="1:18" x14ac:dyDescent="0.3">
      <c r="A34" t="s">
        <v>151</v>
      </c>
      <c r="B34">
        <v>4</v>
      </c>
      <c r="C34" t="s">
        <v>1</v>
      </c>
      <c r="D34">
        <v>0</v>
      </c>
      <c r="E34">
        <v>1407</v>
      </c>
      <c r="F34">
        <v>160</v>
      </c>
      <c r="G34">
        <v>1756</v>
      </c>
      <c r="H34">
        <v>160</v>
      </c>
      <c r="I34">
        <v>349</v>
      </c>
      <c r="J34" t="s">
        <v>169</v>
      </c>
      <c r="K34" t="s">
        <v>170</v>
      </c>
      <c r="L34" t="s">
        <v>108</v>
      </c>
      <c r="M34">
        <v>80</v>
      </c>
      <c r="N34">
        <v>1581</v>
      </c>
      <c r="O34" t="s">
        <v>171</v>
      </c>
      <c r="P34" t="s">
        <v>172</v>
      </c>
      <c r="Q34" t="s">
        <v>154</v>
      </c>
      <c r="R34" t="s">
        <v>173</v>
      </c>
    </row>
    <row r="35" spans="1:18" x14ac:dyDescent="0.3">
      <c r="A35" t="s">
        <v>174</v>
      </c>
      <c r="B35">
        <v>0</v>
      </c>
      <c r="C35" t="s">
        <v>1</v>
      </c>
      <c r="D35">
        <v>1903</v>
      </c>
      <c r="E35">
        <v>1346</v>
      </c>
      <c r="F35">
        <v>2462</v>
      </c>
      <c r="G35">
        <v>1746</v>
      </c>
      <c r="H35">
        <v>559</v>
      </c>
      <c r="I35">
        <v>400</v>
      </c>
      <c r="J35" t="s">
        <v>175</v>
      </c>
      <c r="K35" t="s">
        <v>176</v>
      </c>
      <c r="L35" t="s">
        <v>11</v>
      </c>
      <c r="M35">
        <v>2182</v>
      </c>
      <c r="N35">
        <v>1546</v>
      </c>
      <c r="O35" t="s">
        <v>177</v>
      </c>
      <c r="P35" t="s">
        <v>19</v>
      </c>
      <c r="Q35" t="s">
        <v>178</v>
      </c>
      <c r="R35" t="s">
        <v>14</v>
      </c>
    </row>
    <row r="36" spans="1:18" x14ac:dyDescent="0.3">
      <c r="A36" t="s">
        <v>174</v>
      </c>
      <c r="B36">
        <v>1</v>
      </c>
      <c r="C36" t="s">
        <v>1</v>
      </c>
      <c r="D36">
        <v>325</v>
      </c>
      <c r="E36">
        <v>1285</v>
      </c>
      <c r="F36">
        <v>1057</v>
      </c>
      <c r="G36">
        <v>1738</v>
      </c>
      <c r="H36">
        <v>732</v>
      </c>
      <c r="I36">
        <v>453</v>
      </c>
      <c r="J36" t="s">
        <v>179</v>
      </c>
      <c r="K36" t="s">
        <v>180</v>
      </c>
      <c r="L36" t="s">
        <v>162</v>
      </c>
      <c r="M36">
        <v>691</v>
      </c>
      <c r="N36">
        <v>1511</v>
      </c>
      <c r="O36" t="s">
        <v>181</v>
      </c>
      <c r="P36" t="s">
        <v>182</v>
      </c>
      <c r="Q36" t="s">
        <v>178</v>
      </c>
      <c r="R36" t="s">
        <v>183</v>
      </c>
    </row>
    <row r="37" spans="1:18" x14ac:dyDescent="0.3">
      <c r="A37" t="s">
        <v>174</v>
      </c>
      <c r="B37">
        <v>2</v>
      </c>
      <c r="C37" t="s">
        <v>1</v>
      </c>
      <c r="D37">
        <v>0</v>
      </c>
      <c r="E37">
        <v>1344</v>
      </c>
      <c r="F37">
        <v>280</v>
      </c>
      <c r="G37">
        <v>1693</v>
      </c>
      <c r="H37">
        <v>280</v>
      </c>
      <c r="I37">
        <v>349</v>
      </c>
      <c r="J37" t="s">
        <v>184</v>
      </c>
      <c r="K37" t="s">
        <v>170</v>
      </c>
      <c r="L37" t="s">
        <v>57</v>
      </c>
      <c r="M37">
        <v>140</v>
      </c>
      <c r="N37">
        <v>1518</v>
      </c>
      <c r="O37" t="s">
        <v>185</v>
      </c>
      <c r="P37" t="s">
        <v>104</v>
      </c>
      <c r="Q37" t="s">
        <v>178</v>
      </c>
      <c r="R37" t="s">
        <v>186</v>
      </c>
    </row>
    <row r="38" spans="1:18" x14ac:dyDescent="0.3">
      <c r="A38" t="s">
        <v>187</v>
      </c>
      <c r="B38">
        <v>0</v>
      </c>
      <c r="C38" t="s">
        <v>1</v>
      </c>
      <c r="D38">
        <v>41</v>
      </c>
      <c r="E38">
        <v>1387</v>
      </c>
      <c r="F38">
        <v>897</v>
      </c>
      <c r="G38">
        <v>1844</v>
      </c>
      <c r="H38">
        <v>856</v>
      </c>
      <c r="I38">
        <v>457</v>
      </c>
      <c r="J38" t="s">
        <v>188</v>
      </c>
      <c r="K38" t="s">
        <v>189</v>
      </c>
      <c r="L38" t="s">
        <v>190</v>
      </c>
      <c r="M38">
        <v>469</v>
      </c>
      <c r="N38">
        <v>1615</v>
      </c>
      <c r="O38" t="s">
        <v>18</v>
      </c>
      <c r="P38" t="s">
        <v>80</v>
      </c>
      <c r="Q38" t="s">
        <v>191</v>
      </c>
      <c r="R38" t="s">
        <v>192</v>
      </c>
    </row>
    <row r="39" spans="1:18" x14ac:dyDescent="0.3">
      <c r="A39" t="s">
        <v>187</v>
      </c>
      <c r="B39">
        <v>1</v>
      </c>
      <c r="C39" t="s">
        <v>1</v>
      </c>
      <c r="D39">
        <v>951</v>
      </c>
      <c r="E39">
        <v>1467</v>
      </c>
      <c r="F39">
        <v>1590</v>
      </c>
      <c r="G39">
        <v>1831</v>
      </c>
      <c r="H39">
        <v>639</v>
      </c>
      <c r="I39">
        <v>364</v>
      </c>
      <c r="J39" t="s">
        <v>193</v>
      </c>
      <c r="K39" t="s">
        <v>194</v>
      </c>
      <c r="L39" t="s">
        <v>195</v>
      </c>
      <c r="M39">
        <v>1270</v>
      </c>
      <c r="N39">
        <v>1649</v>
      </c>
      <c r="O39" t="s">
        <v>196</v>
      </c>
      <c r="P39" t="s">
        <v>13</v>
      </c>
      <c r="Q39" t="s">
        <v>191</v>
      </c>
      <c r="R39" t="s">
        <v>197</v>
      </c>
    </row>
    <row r="40" spans="1:18" x14ac:dyDescent="0.3">
      <c r="A40" t="s">
        <v>187</v>
      </c>
      <c r="B40">
        <v>2</v>
      </c>
      <c r="C40" t="s">
        <v>1</v>
      </c>
      <c r="D40">
        <v>1763</v>
      </c>
      <c r="E40">
        <v>1452</v>
      </c>
      <c r="F40">
        <v>2321</v>
      </c>
      <c r="G40">
        <v>1844</v>
      </c>
      <c r="H40">
        <v>558</v>
      </c>
      <c r="I40">
        <v>392</v>
      </c>
      <c r="J40" t="s">
        <v>83</v>
      </c>
      <c r="K40" t="s">
        <v>10</v>
      </c>
      <c r="L40" t="s">
        <v>47</v>
      </c>
      <c r="M40">
        <v>2042</v>
      </c>
      <c r="N40">
        <v>1648</v>
      </c>
      <c r="O40" t="s">
        <v>86</v>
      </c>
      <c r="P40" t="s">
        <v>198</v>
      </c>
      <c r="Q40" t="s">
        <v>191</v>
      </c>
      <c r="R40" t="s">
        <v>199</v>
      </c>
    </row>
    <row r="41" spans="1:18" x14ac:dyDescent="0.3">
      <c r="A41" t="s">
        <v>200</v>
      </c>
      <c r="B41">
        <v>0</v>
      </c>
      <c r="C41" t="s">
        <v>1</v>
      </c>
      <c r="D41">
        <v>2482</v>
      </c>
      <c r="E41">
        <v>1292</v>
      </c>
      <c r="F41">
        <v>3163</v>
      </c>
      <c r="G41">
        <v>1700</v>
      </c>
      <c r="H41">
        <v>681</v>
      </c>
      <c r="I41">
        <v>408</v>
      </c>
      <c r="J41" t="s">
        <v>127</v>
      </c>
      <c r="K41" t="s">
        <v>143</v>
      </c>
      <c r="L41" t="s">
        <v>23</v>
      </c>
      <c r="M41">
        <v>2822</v>
      </c>
      <c r="N41">
        <v>1496</v>
      </c>
      <c r="O41" t="s">
        <v>129</v>
      </c>
      <c r="P41" t="s">
        <v>80</v>
      </c>
      <c r="Q41" t="s">
        <v>201</v>
      </c>
      <c r="R41" t="s">
        <v>57</v>
      </c>
    </row>
    <row r="42" spans="1:18" x14ac:dyDescent="0.3">
      <c r="A42" t="s">
        <v>200</v>
      </c>
      <c r="B42">
        <v>1</v>
      </c>
      <c r="C42" t="s">
        <v>1</v>
      </c>
      <c r="D42">
        <v>995</v>
      </c>
      <c r="E42">
        <v>1265</v>
      </c>
      <c r="F42">
        <v>1618</v>
      </c>
      <c r="G42">
        <v>1646</v>
      </c>
      <c r="H42">
        <v>623</v>
      </c>
      <c r="I42">
        <v>381</v>
      </c>
      <c r="J42" t="s">
        <v>202</v>
      </c>
      <c r="K42" t="s">
        <v>203</v>
      </c>
      <c r="L42" t="s">
        <v>204</v>
      </c>
      <c r="M42">
        <v>1306</v>
      </c>
      <c r="N42">
        <v>1455</v>
      </c>
      <c r="O42" t="s">
        <v>205</v>
      </c>
      <c r="P42" t="s">
        <v>13</v>
      </c>
      <c r="Q42" t="s">
        <v>201</v>
      </c>
      <c r="R42" t="s">
        <v>206</v>
      </c>
    </row>
    <row r="43" spans="1:18" x14ac:dyDescent="0.3">
      <c r="A43" t="s">
        <v>200</v>
      </c>
      <c r="B43">
        <v>2</v>
      </c>
      <c r="C43" t="s">
        <v>1</v>
      </c>
      <c r="D43">
        <v>1803</v>
      </c>
      <c r="E43">
        <v>1268</v>
      </c>
      <c r="F43">
        <v>2354</v>
      </c>
      <c r="G43">
        <v>1667</v>
      </c>
      <c r="H43">
        <v>551</v>
      </c>
      <c r="I43">
        <v>399</v>
      </c>
      <c r="J43" t="s">
        <v>207</v>
      </c>
      <c r="K43" t="s">
        <v>208</v>
      </c>
      <c r="L43" t="s">
        <v>209</v>
      </c>
      <c r="M43">
        <v>2078</v>
      </c>
      <c r="N43">
        <v>1467</v>
      </c>
      <c r="O43" t="s">
        <v>210</v>
      </c>
      <c r="P43" t="s">
        <v>13</v>
      </c>
      <c r="Q43" t="s">
        <v>201</v>
      </c>
      <c r="R43" t="s">
        <v>211</v>
      </c>
    </row>
    <row r="44" spans="1:18" x14ac:dyDescent="0.3">
      <c r="A44" t="s">
        <v>200</v>
      </c>
      <c r="B44">
        <v>3</v>
      </c>
      <c r="C44" t="s">
        <v>1</v>
      </c>
      <c r="D44">
        <v>122</v>
      </c>
      <c r="E44">
        <v>1179</v>
      </c>
      <c r="F44">
        <v>941</v>
      </c>
      <c r="G44">
        <v>1640</v>
      </c>
      <c r="H44">
        <v>819</v>
      </c>
      <c r="I44">
        <v>461</v>
      </c>
      <c r="J44" t="s">
        <v>212</v>
      </c>
      <c r="K44" t="s">
        <v>213</v>
      </c>
      <c r="L44" t="s">
        <v>124</v>
      </c>
      <c r="M44">
        <v>531</v>
      </c>
      <c r="N44">
        <v>1409</v>
      </c>
      <c r="O44" t="s">
        <v>214</v>
      </c>
      <c r="P44" t="s">
        <v>102</v>
      </c>
      <c r="Q44" t="s">
        <v>201</v>
      </c>
      <c r="R44" t="s">
        <v>215</v>
      </c>
    </row>
    <row r="45" spans="1:18" x14ac:dyDescent="0.3">
      <c r="A45" t="s">
        <v>216</v>
      </c>
      <c r="B45">
        <v>0</v>
      </c>
      <c r="C45" t="s">
        <v>1</v>
      </c>
      <c r="D45">
        <v>1072</v>
      </c>
      <c r="E45">
        <v>1312</v>
      </c>
      <c r="F45">
        <v>1662</v>
      </c>
      <c r="G45">
        <v>1681</v>
      </c>
      <c r="H45">
        <v>590</v>
      </c>
      <c r="I45">
        <v>369</v>
      </c>
      <c r="J45" t="s">
        <v>217</v>
      </c>
      <c r="K45" t="s">
        <v>218</v>
      </c>
      <c r="L45" t="s">
        <v>219</v>
      </c>
      <c r="M45">
        <v>1367</v>
      </c>
      <c r="N45">
        <v>1496</v>
      </c>
      <c r="O45" t="s">
        <v>220</v>
      </c>
      <c r="P45" t="s">
        <v>13</v>
      </c>
      <c r="Q45" t="s">
        <v>221</v>
      </c>
      <c r="R45" t="s">
        <v>222</v>
      </c>
    </row>
    <row r="46" spans="1:18" x14ac:dyDescent="0.3">
      <c r="A46" t="s">
        <v>216</v>
      </c>
      <c r="B46">
        <v>1</v>
      </c>
      <c r="C46" t="s">
        <v>1</v>
      </c>
      <c r="D46">
        <v>238</v>
      </c>
      <c r="E46">
        <v>1249</v>
      </c>
      <c r="F46">
        <v>1018</v>
      </c>
      <c r="G46">
        <v>1714</v>
      </c>
      <c r="H46">
        <v>780</v>
      </c>
      <c r="I46">
        <v>465</v>
      </c>
      <c r="J46" t="s">
        <v>223</v>
      </c>
      <c r="K46" t="s">
        <v>224</v>
      </c>
      <c r="L46" t="s">
        <v>113</v>
      </c>
      <c r="M46">
        <v>628</v>
      </c>
      <c r="N46">
        <v>1481</v>
      </c>
      <c r="O46" t="s">
        <v>225</v>
      </c>
      <c r="P46" t="s">
        <v>13</v>
      </c>
      <c r="Q46" t="s">
        <v>221</v>
      </c>
      <c r="R46" t="s">
        <v>226</v>
      </c>
    </row>
    <row r="47" spans="1:18" x14ac:dyDescent="0.3">
      <c r="A47" t="s">
        <v>216</v>
      </c>
      <c r="B47">
        <v>2</v>
      </c>
      <c r="C47" t="s">
        <v>1</v>
      </c>
      <c r="D47">
        <v>1862</v>
      </c>
      <c r="E47">
        <v>1277</v>
      </c>
      <c r="F47">
        <v>2420</v>
      </c>
      <c r="G47">
        <v>1677</v>
      </c>
      <c r="H47">
        <v>558</v>
      </c>
      <c r="I47">
        <v>400</v>
      </c>
      <c r="J47" t="s">
        <v>83</v>
      </c>
      <c r="K47" t="s">
        <v>176</v>
      </c>
      <c r="L47" t="s">
        <v>11</v>
      </c>
      <c r="M47">
        <v>2141</v>
      </c>
      <c r="N47">
        <v>1477</v>
      </c>
      <c r="O47" t="s">
        <v>86</v>
      </c>
      <c r="P47" t="s">
        <v>102</v>
      </c>
      <c r="Q47" t="s">
        <v>221</v>
      </c>
      <c r="R47" t="s">
        <v>227</v>
      </c>
    </row>
    <row r="48" spans="1:18" x14ac:dyDescent="0.3">
      <c r="A48" t="s">
        <v>228</v>
      </c>
      <c r="B48">
        <v>0</v>
      </c>
      <c r="C48" t="s">
        <v>1</v>
      </c>
      <c r="D48">
        <v>1138</v>
      </c>
      <c r="E48">
        <v>1420</v>
      </c>
      <c r="F48">
        <v>1737</v>
      </c>
      <c r="G48">
        <v>1800</v>
      </c>
      <c r="H48">
        <v>599</v>
      </c>
      <c r="I48">
        <v>380</v>
      </c>
      <c r="J48" t="s">
        <v>229</v>
      </c>
      <c r="K48" t="s">
        <v>230</v>
      </c>
      <c r="L48" t="s">
        <v>231</v>
      </c>
      <c r="M48">
        <v>1437</v>
      </c>
      <c r="N48">
        <v>1610</v>
      </c>
      <c r="O48" t="s">
        <v>232</v>
      </c>
      <c r="P48" t="s">
        <v>80</v>
      </c>
      <c r="Q48" t="s">
        <v>233</v>
      </c>
      <c r="R48" t="s">
        <v>234</v>
      </c>
    </row>
    <row r="49" spans="1:18" x14ac:dyDescent="0.3">
      <c r="A49" t="s">
        <v>228</v>
      </c>
      <c r="B49">
        <v>1</v>
      </c>
      <c r="C49" t="s">
        <v>1</v>
      </c>
      <c r="D49">
        <v>300</v>
      </c>
      <c r="E49">
        <v>1333</v>
      </c>
      <c r="F49">
        <v>1078</v>
      </c>
      <c r="G49">
        <v>1797</v>
      </c>
      <c r="H49">
        <v>778</v>
      </c>
      <c r="I49">
        <v>464</v>
      </c>
      <c r="J49" t="s">
        <v>235</v>
      </c>
      <c r="K49" t="s">
        <v>236</v>
      </c>
      <c r="L49" t="s">
        <v>113</v>
      </c>
      <c r="M49">
        <v>689</v>
      </c>
      <c r="N49">
        <v>1565</v>
      </c>
      <c r="O49" t="s">
        <v>237</v>
      </c>
      <c r="P49" t="s">
        <v>13</v>
      </c>
      <c r="Q49" t="s">
        <v>233</v>
      </c>
      <c r="R49" t="s">
        <v>238</v>
      </c>
    </row>
    <row r="50" spans="1:18" x14ac:dyDescent="0.3">
      <c r="A50" t="s">
        <v>228</v>
      </c>
      <c r="B50">
        <v>2</v>
      </c>
      <c r="C50" t="s">
        <v>1</v>
      </c>
      <c r="D50">
        <v>1940</v>
      </c>
      <c r="E50">
        <v>1407</v>
      </c>
      <c r="F50">
        <v>2491</v>
      </c>
      <c r="G50">
        <v>1824</v>
      </c>
      <c r="H50">
        <v>551</v>
      </c>
      <c r="I50">
        <v>417</v>
      </c>
      <c r="J50" t="s">
        <v>207</v>
      </c>
      <c r="K50" t="s">
        <v>72</v>
      </c>
      <c r="L50" t="s">
        <v>239</v>
      </c>
      <c r="M50">
        <v>2215</v>
      </c>
      <c r="N50">
        <v>1615</v>
      </c>
      <c r="O50" t="s">
        <v>210</v>
      </c>
      <c r="P50" t="s">
        <v>182</v>
      </c>
      <c r="Q50" t="s">
        <v>233</v>
      </c>
      <c r="R50" t="s">
        <v>240</v>
      </c>
    </row>
    <row r="51" spans="1:18" x14ac:dyDescent="0.3">
      <c r="A51" t="s">
        <v>241</v>
      </c>
      <c r="B51">
        <v>0</v>
      </c>
      <c r="C51" t="s">
        <v>1</v>
      </c>
      <c r="D51">
        <v>3504</v>
      </c>
      <c r="E51">
        <v>1443</v>
      </c>
      <c r="F51">
        <v>4030</v>
      </c>
      <c r="G51">
        <v>1865</v>
      </c>
      <c r="H51">
        <v>526</v>
      </c>
      <c r="I51">
        <v>422</v>
      </c>
      <c r="J51" t="s">
        <v>242</v>
      </c>
      <c r="K51" t="s">
        <v>243</v>
      </c>
      <c r="L51" t="s">
        <v>244</v>
      </c>
      <c r="M51">
        <v>3767</v>
      </c>
      <c r="N51">
        <v>1654</v>
      </c>
      <c r="O51" t="s">
        <v>245</v>
      </c>
      <c r="P51" t="s">
        <v>246</v>
      </c>
      <c r="Q51" t="s">
        <v>247</v>
      </c>
      <c r="R51" t="s">
        <v>248</v>
      </c>
    </row>
    <row r="52" spans="1:18" x14ac:dyDescent="0.3">
      <c r="A52" t="s">
        <v>241</v>
      </c>
      <c r="B52">
        <v>1</v>
      </c>
      <c r="C52" t="s">
        <v>1</v>
      </c>
      <c r="D52">
        <v>891</v>
      </c>
      <c r="E52">
        <v>1329</v>
      </c>
      <c r="F52">
        <v>1529</v>
      </c>
      <c r="G52">
        <v>1713</v>
      </c>
      <c r="H52">
        <v>638</v>
      </c>
      <c r="I52">
        <v>384</v>
      </c>
      <c r="J52" t="s">
        <v>249</v>
      </c>
      <c r="K52" t="s">
        <v>157</v>
      </c>
      <c r="L52" t="s">
        <v>61</v>
      </c>
      <c r="M52">
        <v>1210</v>
      </c>
      <c r="N52">
        <v>1521</v>
      </c>
      <c r="O52" t="s">
        <v>250</v>
      </c>
      <c r="P52" t="s">
        <v>80</v>
      </c>
      <c r="Q52" t="s">
        <v>247</v>
      </c>
      <c r="R52" t="s">
        <v>57</v>
      </c>
    </row>
    <row r="53" spans="1:18" x14ac:dyDescent="0.3">
      <c r="A53" t="s">
        <v>241</v>
      </c>
      <c r="B53">
        <v>2</v>
      </c>
      <c r="C53" t="s">
        <v>1</v>
      </c>
      <c r="D53">
        <v>2345</v>
      </c>
      <c r="E53">
        <v>1393</v>
      </c>
      <c r="F53">
        <v>3143</v>
      </c>
      <c r="G53">
        <v>1783</v>
      </c>
      <c r="H53">
        <v>798</v>
      </c>
      <c r="I53">
        <v>390</v>
      </c>
      <c r="J53" t="s">
        <v>251</v>
      </c>
      <c r="K53" t="s">
        <v>252</v>
      </c>
      <c r="L53" t="s">
        <v>253</v>
      </c>
      <c r="M53">
        <v>2744</v>
      </c>
      <c r="N53">
        <v>1588</v>
      </c>
      <c r="O53" t="s">
        <v>254</v>
      </c>
      <c r="P53" t="s">
        <v>13</v>
      </c>
      <c r="Q53" t="s">
        <v>247</v>
      </c>
      <c r="R53" t="s">
        <v>255</v>
      </c>
    </row>
    <row r="54" spans="1:18" x14ac:dyDescent="0.3">
      <c r="A54" t="s">
        <v>241</v>
      </c>
      <c r="B54">
        <v>3</v>
      </c>
      <c r="C54" t="s">
        <v>1</v>
      </c>
      <c r="D54">
        <v>1700</v>
      </c>
      <c r="E54">
        <v>1347</v>
      </c>
      <c r="F54">
        <v>2255</v>
      </c>
      <c r="G54">
        <v>1750</v>
      </c>
      <c r="H54">
        <v>555</v>
      </c>
      <c r="I54">
        <v>403</v>
      </c>
      <c r="J54" t="s">
        <v>165</v>
      </c>
      <c r="K54" t="s">
        <v>256</v>
      </c>
      <c r="L54" t="s">
        <v>209</v>
      </c>
      <c r="M54">
        <v>1977</v>
      </c>
      <c r="N54">
        <v>1548</v>
      </c>
      <c r="O54" t="s">
        <v>167</v>
      </c>
      <c r="P54" t="s">
        <v>19</v>
      </c>
      <c r="Q54" t="s">
        <v>247</v>
      </c>
      <c r="R54" t="s">
        <v>257</v>
      </c>
    </row>
    <row r="55" spans="1:18" x14ac:dyDescent="0.3">
      <c r="A55" t="s">
        <v>241</v>
      </c>
      <c r="B55">
        <v>4</v>
      </c>
      <c r="C55" t="s">
        <v>1</v>
      </c>
      <c r="D55">
        <v>32</v>
      </c>
      <c r="E55">
        <v>1228</v>
      </c>
      <c r="F55">
        <v>839</v>
      </c>
      <c r="G55">
        <v>1703</v>
      </c>
      <c r="H55">
        <v>807</v>
      </c>
      <c r="I55">
        <v>475</v>
      </c>
      <c r="J55" t="s">
        <v>258</v>
      </c>
      <c r="K55" t="s">
        <v>259</v>
      </c>
      <c r="L55" t="s">
        <v>260</v>
      </c>
      <c r="M55">
        <v>435</v>
      </c>
      <c r="N55">
        <v>1465</v>
      </c>
      <c r="O55" t="s">
        <v>261</v>
      </c>
      <c r="P55" t="s">
        <v>262</v>
      </c>
      <c r="Q55" t="s">
        <v>247</v>
      </c>
      <c r="R55" t="s">
        <v>263</v>
      </c>
    </row>
    <row r="56" spans="1:18" x14ac:dyDescent="0.3">
      <c r="A56" t="s">
        <v>264</v>
      </c>
      <c r="B56">
        <v>0</v>
      </c>
      <c r="C56" t="s">
        <v>1</v>
      </c>
      <c r="D56">
        <v>1035</v>
      </c>
      <c r="E56">
        <v>1344</v>
      </c>
      <c r="F56">
        <v>1642</v>
      </c>
      <c r="G56">
        <v>1721</v>
      </c>
      <c r="H56">
        <v>607</v>
      </c>
      <c r="I56">
        <v>377</v>
      </c>
      <c r="J56" t="s">
        <v>265</v>
      </c>
      <c r="K56" t="s">
        <v>266</v>
      </c>
      <c r="L56" t="s">
        <v>4</v>
      </c>
      <c r="M56">
        <v>1338</v>
      </c>
      <c r="N56">
        <v>1532</v>
      </c>
      <c r="O56" t="s">
        <v>267</v>
      </c>
      <c r="P56" t="s">
        <v>246</v>
      </c>
      <c r="Q56" t="s">
        <v>268</v>
      </c>
      <c r="R56" t="s">
        <v>269</v>
      </c>
    </row>
    <row r="57" spans="1:18" x14ac:dyDescent="0.3">
      <c r="A57" t="s">
        <v>264</v>
      </c>
      <c r="B57">
        <v>1</v>
      </c>
      <c r="C57" t="s">
        <v>1</v>
      </c>
      <c r="D57">
        <v>2467</v>
      </c>
      <c r="E57">
        <v>1386</v>
      </c>
      <c r="F57">
        <v>3292</v>
      </c>
      <c r="G57">
        <v>1782</v>
      </c>
      <c r="H57">
        <v>825</v>
      </c>
      <c r="I57">
        <v>396</v>
      </c>
      <c r="J57" t="s">
        <v>270</v>
      </c>
      <c r="K57" t="s">
        <v>271</v>
      </c>
      <c r="L57" t="s">
        <v>272</v>
      </c>
      <c r="M57">
        <v>2879</v>
      </c>
      <c r="N57">
        <v>1584</v>
      </c>
      <c r="O57" t="s">
        <v>273</v>
      </c>
      <c r="P57" t="s">
        <v>80</v>
      </c>
      <c r="Q57" t="s">
        <v>268</v>
      </c>
      <c r="R57" t="s">
        <v>274</v>
      </c>
    </row>
    <row r="58" spans="1:18" x14ac:dyDescent="0.3">
      <c r="A58" t="s">
        <v>264</v>
      </c>
      <c r="B58">
        <v>2</v>
      </c>
      <c r="C58" t="s">
        <v>1</v>
      </c>
      <c r="D58">
        <v>3656</v>
      </c>
      <c r="E58">
        <v>1425</v>
      </c>
      <c r="F58">
        <v>4030</v>
      </c>
      <c r="G58">
        <v>1787</v>
      </c>
      <c r="H58">
        <v>374</v>
      </c>
      <c r="I58">
        <v>362</v>
      </c>
      <c r="J58" t="s">
        <v>275</v>
      </c>
      <c r="K58" t="s">
        <v>276</v>
      </c>
      <c r="L58" t="s">
        <v>277</v>
      </c>
      <c r="M58">
        <v>3843</v>
      </c>
      <c r="N58">
        <v>1606</v>
      </c>
      <c r="O58" t="s">
        <v>278</v>
      </c>
      <c r="P58" t="s">
        <v>80</v>
      </c>
      <c r="Q58" t="s">
        <v>268</v>
      </c>
      <c r="R58" t="s">
        <v>279</v>
      </c>
    </row>
    <row r="59" spans="1:18" x14ac:dyDescent="0.3">
      <c r="A59" t="s">
        <v>264</v>
      </c>
      <c r="B59">
        <v>3</v>
      </c>
      <c r="C59" t="s">
        <v>1</v>
      </c>
      <c r="D59">
        <v>1828</v>
      </c>
      <c r="E59">
        <v>1349</v>
      </c>
      <c r="F59">
        <v>2391</v>
      </c>
      <c r="G59">
        <v>1749</v>
      </c>
      <c r="H59">
        <v>563</v>
      </c>
      <c r="I59">
        <v>400</v>
      </c>
      <c r="J59" t="s">
        <v>243</v>
      </c>
      <c r="K59" t="s">
        <v>176</v>
      </c>
      <c r="L59" t="s">
        <v>148</v>
      </c>
      <c r="M59">
        <v>2109</v>
      </c>
      <c r="N59">
        <v>1549</v>
      </c>
      <c r="O59" t="s">
        <v>280</v>
      </c>
      <c r="P59" t="s">
        <v>130</v>
      </c>
      <c r="Q59" t="s">
        <v>268</v>
      </c>
      <c r="R59" t="s">
        <v>281</v>
      </c>
    </row>
    <row r="60" spans="1:18" x14ac:dyDescent="0.3">
      <c r="A60" t="s">
        <v>264</v>
      </c>
      <c r="B60">
        <v>4</v>
      </c>
      <c r="C60" t="s">
        <v>1</v>
      </c>
      <c r="D60">
        <v>232</v>
      </c>
      <c r="E60">
        <v>1255</v>
      </c>
      <c r="F60">
        <v>983</v>
      </c>
      <c r="G60">
        <v>1716</v>
      </c>
      <c r="H60">
        <v>751</v>
      </c>
      <c r="I60">
        <v>461</v>
      </c>
      <c r="J60" t="s">
        <v>282</v>
      </c>
      <c r="K60" t="s">
        <v>213</v>
      </c>
      <c r="L60" t="s">
        <v>41</v>
      </c>
      <c r="M60">
        <v>607</v>
      </c>
      <c r="N60">
        <v>1485</v>
      </c>
      <c r="O60" t="s">
        <v>283</v>
      </c>
      <c r="P60" t="s">
        <v>182</v>
      </c>
      <c r="Q60" t="s">
        <v>268</v>
      </c>
      <c r="R60" t="s">
        <v>110</v>
      </c>
    </row>
    <row r="61" spans="1:18" x14ac:dyDescent="0.3">
      <c r="A61" t="s">
        <v>264</v>
      </c>
      <c r="B61">
        <v>5</v>
      </c>
      <c r="C61" t="s">
        <v>1</v>
      </c>
      <c r="D61">
        <v>0</v>
      </c>
      <c r="E61">
        <v>1323</v>
      </c>
      <c r="F61">
        <v>166</v>
      </c>
      <c r="G61">
        <v>1709</v>
      </c>
      <c r="H61">
        <v>166</v>
      </c>
      <c r="I61">
        <v>386</v>
      </c>
      <c r="J61" t="s">
        <v>284</v>
      </c>
      <c r="K61" t="s">
        <v>84</v>
      </c>
      <c r="L61" t="s">
        <v>285</v>
      </c>
      <c r="M61">
        <v>83</v>
      </c>
      <c r="N61">
        <v>1516</v>
      </c>
      <c r="O61" t="s">
        <v>286</v>
      </c>
      <c r="P61" t="s">
        <v>197</v>
      </c>
      <c r="Q61" t="s">
        <v>268</v>
      </c>
      <c r="R61" t="s">
        <v>287</v>
      </c>
    </row>
    <row r="62" spans="1:18" x14ac:dyDescent="0.3">
      <c r="A62" t="s">
        <v>288</v>
      </c>
      <c r="B62">
        <v>0</v>
      </c>
      <c r="C62" t="s">
        <v>1</v>
      </c>
      <c r="D62">
        <v>2543</v>
      </c>
      <c r="E62">
        <v>1424</v>
      </c>
      <c r="F62">
        <v>3368</v>
      </c>
      <c r="G62">
        <v>1817</v>
      </c>
      <c r="H62">
        <v>825</v>
      </c>
      <c r="I62">
        <v>393</v>
      </c>
      <c r="J62" t="s">
        <v>270</v>
      </c>
      <c r="K62" t="s">
        <v>289</v>
      </c>
      <c r="L62" t="s">
        <v>290</v>
      </c>
      <c r="M62">
        <v>2955</v>
      </c>
      <c r="N62">
        <v>1620</v>
      </c>
      <c r="O62" t="s">
        <v>273</v>
      </c>
      <c r="P62" t="s">
        <v>6</v>
      </c>
      <c r="Q62" t="s">
        <v>291</v>
      </c>
      <c r="R62" t="s">
        <v>292</v>
      </c>
    </row>
    <row r="63" spans="1:18" x14ac:dyDescent="0.3">
      <c r="A63" t="s">
        <v>288</v>
      </c>
      <c r="B63">
        <v>1</v>
      </c>
      <c r="C63" t="s">
        <v>1</v>
      </c>
      <c r="D63">
        <v>1905</v>
      </c>
      <c r="E63">
        <v>1397</v>
      </c>
      <c r="F63">
        <v>2460</v>
      </c>
      <c r="G63">
        <v>1801</v>
      </c>
      <c r="H63">
        <v>555</v>
      </c>
      <c r="I63">
        <v>404</v>
      </c>
      <c r="J63" t="s">
        <v>165</v>
      </c>
      <c r="K63" t="s">
        <v>293</v>
      </c>
      <c r="L63" t="s">
        <v>294</v>
      </c>
      <c r="M63">
        <v>2182</v>
      </c>
      <c r="N63">
        <v>1599</v>
      </c>
      <c r="O63" t="s">
        <v>167</v>
      </c>
      <c r="P63" t="s">
        <v>13</v>
      </c>
      <c r="Q63" t="s">
        <v>291</v>
      </c>
      <c r="R63" t="s">
        <v>295</v>
      </c>
    </row>
    <row r="64" spans="1:18" x14ac:dyDescent="0.3">
      <c r="A64" t="s">
        <v>288</v>
      </c>
      <c r="B64">
        <v>2</v>
      </c>
      <c r="C64" t="s">
        <v>1</v>
      </c>
      <c r="D64">
        <v>1106</v>
      </c>
      <c r="E64">
        <v>1406</v>
      </c>
      <c r="F64">
        <v>1676</v>
      </c>
      <c r="G64">
        <v>1780</v>
      </c>
      <c r="H64">
        <v>570</v>
      </c>
      <c r="I64">
        <v>374</v>
      </c>
      <c r="J64" t="s">
        <v>296</v>
      </c>
      <c r="K64" t="s">
        <v>297</v>
      </c>
      <c r="L64" t="s">
        <v>138</v>
      </c>
      <c r="M64">
        <v>1391</v>
      </c>
      <c r="N64">
        <v>1593</v>
      </c>
      <c r="O64" t="s">
        <v>298</v>
      </c>
      <c r="P64" t="s">
        <v>19</v>
      </c>
      <c r="Q64" t="s">
        <v>291</v>
      </c>
      <c r="R64" t="s">
        <v>299</v>
      </c>
    </row>
    <row r="65" spans="1:18" x14ac:dyDescent="0.3">
      <c r="A65" t="s">
        <v>288</v>
      </c>
      <c r="B65">
        <v>3</v>
      </c>
      <c r="C65" t="s">
        <v>1</v>
      </c>
      <c r="D65">
        <v>3731</v>
      </c>
      <c r="E65">
        <v>1466</v>
      </c>
      <c r="F65">
        <v>4030</v>
      </c>
      <c r="G65">
        <v>1811</v>
      </c>
      <c r="H65">
        <v>299</v>
      </c>
      <c r="I65">
        <v>345</v>
      </c>
      <c r="J65" t="s">
        <v>300</v>
      </c>
      <c r="K65" t="s">
        <v>301</v>
      </c>
      <c r="L65" t="s">
        <v>130</v>
      </c>
      <c r="M65">
        <v>3880</v>
      </c>
      <c r="N65">
        <v>1638</v>
      </c>
      <c r="O65" t="s">
        <v>302</v>
      </c>
      <c r="P65" t="s">
        <v>19</v>
      </c>
      <c r="Q65" t="s">
        <v>291</v>
      </c>
      <c r="R65" t="s">
        <v>303</v>
      </c>
    </row>
    <row r="66" spans="1:18" x14ac:dyDescent="0.3">
      <c r="A66" t="s">
        <v>288</v>
      </c>
      <c r="B66">
        <v>4</v>
      </c>
      <c r="C66" t="s">
        <v>1</v>
      </c>
      <c r="D66">
        <v>3207</v>
      </c>
      <c r="E66">
        <v>1482</v>
      </c>
      <c r="F66">
        <v>3763</v>
      </c>
      <c r="G66">
        <v>1797</v>
      </c>
      <c r="H66">
        <v>556</v>
      </c>
      <c r="I66">
        <v>315</v>
      </c>
      <c r="J66" t="s">
        <v>72</v>
      </c>
      <c r="K66" t="s">
        <v>304</v>
      </c>
      <c r="L66" t="s">
        <v>305</v>
      </c>
      <c r="M66">
        <v>3485</v>
      </c>
      <c r="N66">
        <v>1639</v>
      </c>
      <c r="O66" t="s">
        <v>306</v>
      </c>
      <c r="P66" t="s">
        <v>130</v>
      </c>
      <c r="Q66" t="s">
        <v>291</v>
      </c>
      <c r="R66" t="s">
        <v>307</v>
      </c>
    </row>
    <row r="67" spans="1:18" x14ac:dyDescent="0.3">
      <c r="A67" t="s">
        <v>288</v>
      </c>
      <c r="B67">
        <v>5</v>
      </c>
      <c r="C67" t="s">
        <v>1</v>
      </c>
      <c r="D67">
        <v>1</v>
      </c>
      <c r="E67">
        <v>1397</v>
      </c>
      <c r="F67">
        <v>256</v>
      </c>
      <c r="G67">
        <v>1793</v>
      </c>
      <c r="H67">
        <v>255</v>
      </c>
      <c r="I67">
        <v>396</v>
      </c>
      <c r="J67" t="s">
        <v>308</v>
      </c>
      <c r="K67" t="s">
        <v>271</v>
      </c>
      <c r="L67" t="s">
        <v>96</v>
      </c>
      <c r="M67">
        <v>128</v>
      </c>
      <c r="N67">
        <v>1595</v>
      </c>
      <c r="O67" t="s">
        <v>309</v>
      </c>
      <c r="P67" t="s">
        <v>141</v>
      </c>
      <c r="Q67" t="s">
        <v>291</v>
      </c>
      <c r="R67" t="s">
        <v>310</v>
      </c>
    </row>
    <row r="68" spans="1:18" x14ac:dyDescent="0.3">
      <c r="A68" t="s">
        <v>288</v>
      </c>
      <c r="B68">
        <v>6</v>
      </c>
      <c r="C68" t="s">
        <v>1</v>
      </c>
      <c r="D68">
        <v>339</v>
      </c>
      <c r="E68">
        <v>1327</v>
      </c>
      <c r="F68">
        <v>1058</v>
      </c>
      <c r="G68">
        <v>1784</v>
      </c>
      <c r="H68">
        <v>719</v>
      </c>
      <c r="I68">
        <v>457</v>
      </c>
      <c r="J68" t="s">
        <v>311</v>
      </c>
      <c r="K68" t="s">
        <v>189</v>
      </c>
      <c r="L68" t="s">
        <v>94</v>
      </c>
      <c r="M68">
        <v>698</v>
      </c>
      <c r="N68">
        <v>1555</v>
      </c>
      <c r="O68" t="s">
        <v>312</v>
      </c>
      <c r="P68" t="s">
        <v>313</v>
      </c>
      <c r="Q68" t="s">
        <v>291</v>
      </c>
      <c r="R68" t="s">
        <v>314</v>
      </c>
    </row>
    <row r="69" spans="1:18" x14ac:dyDescent="0.3">
      <c r="A69" t="s">
        <v>315</v>
      </c>
      <c r="B69">
        <v>0</v>
      </c>
      <c r="C69" t="s">
        <v>1</v>
      </c>
      <c r="D69">
        <v>2374</v>
      </c>
      <c r="E69">
        <v>1346</v>
      </c>
      <c r="F69">
        <v>3177</v>
      </c>
      <c r="G69">
        <v>1729</v>
      </c>
      <c r="H69">
        <v>803</v>
      </c>
      <c r="I69">
        <v>383</v>
      </c>
      <c r="J69" t="s">
        <v>316</v>
      </c>
      <c r="K69" t="s">
        <v>317</v>
      </c>
      <c r="L69" t="s">
        <v>290</v>
      </c>
      <c r="M69">
        <v>2775</v>
      </c>
      <c r="N69">
        <v>1537</v>
      </c>
      <c r="O69" t="s">
        <v>318</v>
      </c>
      <c r="P69" t="s">
        <v>6</v>
      </c>
      <c r="Q69" t="s">
        <v>319</v>
      </c>
      <c r="R69" t="s">
        <v>320</v>
      </c>
    </row>
    <row r="70" spans="1:18" x14ac:dyDescent="0.3">
      <c r="A70" t="s">
        <v>315</v>
      </c>
      <c r="B70">
        <v>1</v>
      </c>
      <c r="C70" t="s">
        <v>1</v>
      </c>
      <c r="D70">
        <v>3031</v>
      </c>
      <c r="E70">
        <v>1344</v>
      </c>
      <c r="F70">
        <v>3864</v>
      </c>
      <c r="G70">
        <v>1801</v>
      </c>
      <c r="H70">
        <v>833</v>
      </c>
      <c r="I70">
        <v>457</v>
      </c>
      <c r="J70" t="s">
        <v>321</v>
      </c>
      <c r="K70" t="s">
        <v>189</v>
      </c>
      <c r="L70" t="s">
        <v>322</v>
      </c>
      <c r="M70">
        <v>3447</v>
      </c>
      <c r="N70">
        <v>1572</v>
      </c>
      <c r="O70" t="s">
        <v>323</v>
      </c>
      <c r="P70" t="s">
        <v>6</v>
      </c>
      <c r="Q70" t="s">
        <v>319</v>
      </c>
      <c r="R70" t="s">
        <v>324</v>
      </c>
    </row>
    <row r="71" spans="1:18" x14ac:dyDescent="0.3">
      <c r="A71" t="s">
        <v>315</v>
      </c>
      <c r="B71">
        <v>2</v>
      </c>
      <c r="C71" t="s">
        <v>1</v>
      </c>
      <c r="D71">
        <v>1732</v>
      </c>
      <c r="E71">
        <v>1311</v>
      </c>
      <c r="F71">
        <v>2291</v>
      </c>
      <c r="G71">
        <v>1705</v>
      </c>
      <c r="H71">
        <v>559</v>
      </c>
      <c r="I71">
        <v>394</v>
      </c>
      <c r="J71" t="s">
        <v>175</v>
      </c>
      <c r="K71" t="s">
        <v>325</v>
      </c>
      <c r="L71" t="s">
        <v>47</v>
      </c>
      <c r="M71">
        <v>2011</v>
      </c>
      <c r="N71">
        <v>1508</v>
      </c>
      <c r="O71" t="s">
        <v>177</v>
      </c>
      <c r="P71" t="s">
        <v>13</v>
      </c>
      <c r="Q71" t="s">
        <v>319</v>
      </c>
      <c r="R71" t="s">
        <v>326</v>
      </c>
    </row>
    <row r="72" spans="1:18" x14ac:dyDescent="0.3">
      <c r="A72" t="s">
        <v>315</v>
      </c>
      <c r="B72">
        <v>3</v>
      </c>
      <c r="C72" t="s">
        <v>1</v>
      </c>
      <c r="D72">
        <v>929</v>
      </c>
      <c r="E72">
        <v>1300</v>
      </c>
      <c r="F72">
        <v>1513</v>
      </c>
      <c r="G72">
        <v>1680</v>
      </c>
      <c r="H72">
        <v>584</v>
      </c>
      <c r="I72">
        <v>380</v>
      </c>
      <c r="J72" t="s">
        <v>156</v>
      </c>
      <c r="K72" t="s">
        <v>230</v>
      </c>
      <c r="L72" t="s">
        <v>327</v>
      </c>
      <c r="M72">
        <v>1221</v>
      </c>
      <c r="N72">
        <v>1490</v>
      </c>
      <c r="O72" t="s">
        <v>158</v>
      </c>
      <c r="P72" t="s">
        <v>13</v>
      </c>
      <c r="Q72" t="s">
        <v>319</v>
      </c>
      <c r="R72" t="s">
        <v>328</v>
      </c>
    </row>
    <row r="73" spans="1:18" x14ac:dyDescent="0.3">
      <c r="A73" t="s">
        <v>315</v>
      </c>
      <c r="B73">
        <v>4</v>
      </c>
      <c r="C73" t="s">
        <v>1</v>
      </c>
      <c r="D73">
        <v>3768</v>
      </c>
      <c r="E73">
        <v>1384</v>
      </c>
      <c r="F73">
        <v>4030</v>
      </c>
      <c r="G73">
        <v>1797</v>
      </c>
      <c r="H73">
        <v>262</v>
      </c>
      <c r="I73">
        <v>413</v>
      </c>
      <c r="J73" t="s">
        <v>329</v>
      </c>
      <c r="K73" t="s">
        <v>152</v>
      </c>
      <c r="L73" t="s">
        <v>215</v>
      </c>
      <c r="M73">
        <v>3899</v>
      </c>
      <c r="N73">
        <v>1590</v>
      </c>
      <c r="O73" t="s">
        <v>330</v>
      </c>
      <c r="P73" t="s">
        <v>102</v>
      </c>
      <c r="Q73" t="s">
        <v>319</v>
      </c>
      <c r="R73" t="s">
        <v>331</v>
      </c>
    </row>
    <row r="74" spans="1:18" x14ac:dyDescent="0.3">
      <c r="A74" t="s">
        <v>315</v>
      </c>
      <c r="B74">
        <v>5</v>
      </c>
      <c r="C74" t="s">
        <v>1</v>
      </c>
      <c r="D74">
        <v>45</v>
      </c>
      <c r="E74">
        <v>1202</v>
      </c>
      <c r="F74">
        <v>872</v>
      </c>
      <c r="G74">
        <v>1671</v>
      </c>
      <c r="H74">
        <v>827</v>
      </c>
      <c r="I74">
        <v>469</v>
      </c>
      <c r="J74" t="s">
        <v>332</v>
      </c>
      <c r="K74" t="s">
        <v>333</v>
      </c>
      <c r="L74" t="s">
        <v>195</v>
      </c>
      <c r="M74">
        <v>458</v>
      </c>
      <c r="N74">
        <v>1436</v>
      </c>
      <c r="O74" t="s">
        <v>334</v>
      </c>
      <c r="P74" t="s">
        <v>335</v>
      </c>
      <c r="Q74" t="s">
        <v>319</v>
      </c>
      <c r="R74" t="s">
        <v>336</v>
      </c>
    </row>
    <row r="75" spans="1:18" x14ac:dyDescent="0.3">
      <c r="A75" t="s">
        <v>337</v>
      </c>
      <c r="B75">
        <v>0</v>
      </c>
      <c r="C75" t="s">
        <v>1</v>
      </c>
      <c r="D75">
        <v>934</v>
      </c>
      <c r="E75">
        <v>1424</v>
      </c>
      <c r="F75">
        <v>1550</v>
      </c>
      <c r="G75">
        <v>1803</v>
      </c>
      <c r="H75">
        <v>616</v>
      </c>
      <c r="I75">
        <v>379</v>
      </c>
      <c r="J75" t="s">
        <v>338</v>
      </c>
      <c r="K75" t="s">
        <v>339</v>
      </c>
      <c r="L75" t="s">
        <v>41</v>
      </c>
      <c r="M75">
        <v>1242</v>
      </c>
      <c r="N75">
        <v>1613</v>
      </c>
      <c r="O75" t="s">
        <v>340</v>
      </c>
      <c r="P75" t="s">
        <v>80</v>
      </c>
      <c r="Q75" t="s">
        <v>341</v>
      </c>
      <c r="R75" t="s">
        <v>342</v>
      </c>
    </row>
    <row r="76" spans="1:18" x14ac:dyDescent="0.3">
      <c r="A76" t="s">
        <v>337</v>
      </c>
      <c r="B76">
        <v>1</v>
      </c>
      <c r="C76" t="s">
        <v>1</v>
      </c>
      <c r="D76">
        <v>2385</v>
      </c>
      <c r="E76">
        <v>1441</v>
      </c>
      <c r="F76">
        <v>3190</v>
      </c>
      <c r="G76">
        <v>1838</v>
      </c>
      <c r="H76">
        <v>805</v>
      </c>
      <c r="I76">
        <v>397</v>
      </c>
      <c r="J76" t="s">
        <v>343</v>
      </c>
      <c r="K76" t="s">
        <v>344</v>
      </c>
      <c r="L76" t="s">
        <v>345</v>
      </c>
      <c r="M76">
        <v>2787</v>
      </c>
      <c r="N76">
        <v>1639</v>
      </c>
      <c r="O76" t="s">
        <v>346</v>
      </c>
      <c r="P76" t="s">
        <v>13</v>
      </c>
      <c r="Q76" t="s">
        <v>341</v>
      </c>
      <c r="R76" t="s">
        <v>347</v>
      </c>
    </row>
    <row r="77" spans="1:18" x14ac:dyDescent="0.3">
      <c r="A77" t="s">
        <v>337</v>
      </c>
      <c r="B77">
        <v>2</v>
      </c>
      <c r="C77" t="s">
        <v>1</v>
      </c>
      <c r="D77">
        <v>1744</v>
      </c>
      <c r="E77">
        <v>1417</v>
      </c>
      <c r="F77">
        <v>2302</v>
      </c>
      <c r="G77">
        <v>1817</v>
      </c>
      <c r="H77">
        <v>558</v>
      </c>
      <c r="I77">
        <v>400</v>
      </c>
      <c r="J77" t="s">
        <v>83</v>
      </c>
      <c r="K77" t="s">
        <v>176</v>
      </c>
      <c r="L77" t="s">
        <v>11</v>
      </c>
      <c r="M77">
        <v>2023</v>
      </c>
      <c r="N77">
        <v>1617</v>
      </c>
      <c r="O77" t="s">
        <v>86</v>
      </c>
      <c r="P77" t="s">
        <v>19</v>
      </c>
      <c r="Q77" t="s">
        <v>341</v>
      </c>
      <c r="R77" t="s">
        <v>348</v>
      </c>
    </row>
    <row r="78" spans="1:18" x14ac:dyDescent="0.3">
      <c r="A78" t="s">
        <v>337</v>
      </c>
      <c r="B78">
        <v>3</v>
      </c>
      <c r="C78" t="s">
        <v>1</v>
      </c>
      <c r="D78">
        <v>16</v>
      </c>
      <c r="E78">
        <v>1340</v>
      </c>
      <c r="F78">
        <v>890</v>
      </c>
      <c r="G78">
        <v>1816</v>
      </c>
      <c r="H78">
        <v>874</v>
      </c>
      <c r="I78">
        <v>476</v>
      </c>
      <c r="J78" t="s">
        <v>349</v>
      </c>
      <c r="K78" t="s">
        <v>350</v>
      </c>
      <c r="L78" t="s">
        <v>351</v>
      </c>
      <c r="M78">
        <v>453</v>
      </c>
      <c r="N78">
        <v>1578</v>
      </c>
      <c r="O78" t="s">
        <v>352</v>
      </c>
      <c r="P78" t="s">
        <v>102</v>
      </c>
      <c r="Q78" t="s">
        <v>341</v>
      </c>
      <c r="R78" t="s">
        <v>353</v>
      </c>
    </row>
    <row r="79" spans="1:18" x14ac:dyDescent="0.3">
      <c r="A79" t="s">
        <v>337</v>
      </c>
      <c r="B79">
        <v>4</v>
      </c>
      <c r="C79" t="s">
        <v>1</v>
      </c>
      <c r="D79">
        <v>3063</v>
      </c>
      <c r="E79">
        <v>1429</v>
      </c>
      <c r="F79">
        <v>3891</v>
      </c>
      <c r="G79">
        <v>1875</v>
      </c>
      <c r="H79">
        <v>828</v>
      </c>
      <c r="I79">
        <v>446</v>
      </c>
      <c r="J79" t="s">
        <v>354</v>
      </c>
      <c r="K79" t="s">
        <v>355</v>
      </c>
      <c r="L79" t="s">
        <v>356</v>
      </c>
      <c r="M79">
        <v>3477</v>
      </c>
      <c r="N79">
        <v>1652</v>
      </c>
      <c r="O79" t="s">
        <v>357</v>
      </c>
      <c r="P79" t="s">
        <v>102</v>
      </c>
      <c r="Q79" t="s">
        <v>341</v>
      </c>
      <c r="R79" t="s">
        <v>358</v>
      </c>
    </row>
    <row r="80" spans="1:18" x14ac:dyDescent="0.3">
      <c r="A80" t="s">
        <v>337</v>
      </c>
      <c r="B80">
        <v>5</v>
      </c>
      <c r="C80" t="s">
        <v>1</v>
      </c>
      <c r="D80">
        <v>3806</v>
      </c>
      <c r="E80">
        <v>1455</v>
      </c>
      <c r="F80">
        <v>4030</v>
      </c>
      <c r="G80">
        <v>1875</v>
      </c>
      <c r="H80">
        <v>224</v>
      </c>
      <c r="I80">
        <v>420</v>
      </c>
      <c r="J80" t="s">
        <v>359</v>
      </c>
      <c r="K80" t="s">
        <v>360</v>
      </c>
      <c r="L80" t="s">
        <v>361</v>
      </c>
      <c r="M80">
        <v>3918</v>
      </c>
      <c r="N80">
        <v>1665</v>
      </c>
      <c r="O80" t="s">
        <v>362</v>
      </c>
      <c r="P80" t="s">
        <v>20</v>
      </c>
      <c r="Q80" t="s">
        <v>341</v>
      </c>
      <c r="R80" t="s">
        <v>363</v>
      </c>
    </row>
    <row r="81" spans="1:18" x14ac:dyDescent="0.3">
      <c r="A81" t="s">
        <v>337</v>
      </c>
      <c r="B81">
        <v>7</v>
      </c>
      <c r="C81" t="s">
        <v>1</v>
      </c>
      <c r="D81">
        <v>0</v>
      </c>
      <c r="E81">
        <v>1431</v>
      </c>
      <c r="F81">
        <v>89</v>
      </c>
      <c r="G81">
        <v>1646</v>
      </c>
      <c r="H81">
        <v>89</v>
      </c>
      <c r="I81">
        <v>215</v>
      </c>
      <c r="J81" t="s">
        <v>364</v>
      </c>
      <c r="K81" t="s">
        <v>365</v>
      </c>
      <c r="L81" t="s">
        <v>366</v>
      </c>
      <c r="M81">
        <v>44</v>
      </c>
      <c r="N81">
        <v>1538</v>
      </c>
      <c r="O81" t="s">
        <v>367</v>
      </c>
      <c r="P81" t="s">
        <v>172</v>
      </c>
      <c r="Q81" t="s">
        <v>341</v>
      </c>
      <c r="R81" t="s">
        <v>368</v>
      </c>
    </row>
    <row r="82" spans="1:18" x14ac:dyDescent="0.3">
      <c r="A82" t="s">
        <v>369</v>
      </c>
      <c r="B82">
        <v>0</v>
      </c>
      <c r="C82" t="s">
        <v>1</v>
      </c>
      <c r="D82">
        <v>0</v>
      </c>
      <c r="E82">
        <v>1218</v>
      </c>
      <c r="F82">
        <v>767</v>
      </c>
      <c r="G82">
        <v>1692</v>
      </c>
      <c r="H82">
        <v>767</v>
      </c>
      <c r="I82">
        <v>474</v>
      </c>
      <c r="J82" t="s">
        <v>370</v>
      </c>
      <c r="K82" t="s">
        <v>371</v>
      </c>
      <c r="L82" t="s">
        <v>162</v>
      </c>
      <c r="M82">
        <v>383</v>
      </c>
      <c r="N82">
        <v>1455</v>
      </c>
      <c r="O82" t="s">
        <v>372</v>
      </c>
      <c r="P82" t="s">
        <v>13</v>
      </c>
      <c r="Q82" t="s">
        <v>373</v>
      </c>
      <c r="R82" t="s">
        <v>374</v>
      </c>
    </row>
    <row r="83" spans="1:18" x14ac:dyDescent="0.3">
      <c r="A83" t="s">
        <v>369</v>
      </c>
      <c r="B83">
        <v>1</v>
      </c>
      <c r="C83" t="s">
        <v>1</v>
      </c>
      <c r="D83">
        <v>1627</v>
      </c>
      <c r="E83">
        <v>1336</v>
      </c>
      <c r="F83">
        <v>2180</v>
      </c>
      <c r="G83">
        <v>1754</v>
      </c>
      <c r="H83">
        <v>553</v>
      </c>
      <c r="I83">
        <v>418</v>
      </c>
      <c r="J83" t="s">
        <v>375</v>
      </c>
      <c r="K83" t="s">
        <v>376</v>
      </c>
      <c r="L83" t="s">
        <v>239</v>
      </c>
      <c r="M83">
        <v>1903</v>
      </c>
      <c r="N83">
        <v>1545</v>
      </c>
      <c r="O83" t="s">
        <v>377</v>
      </c>
      <c r="P83" t="s">
        <v>19</v>
      </c>
      <c r="Q83" t="s">
        <v>373</v>
      </c>
      <c r="R83" t="s">
        <v>378</v>
      </c>
    </row>
    <row r="84" spans="1:18" x14ac:dyDescent="0.3">
      <c r="A84" t="s">
        <v>369</v>
      </c>
      <c r="B84">
        <v>2</v>
      </c>
      <c r="C84" t="s">
        <v>1</v>
      </c>
      <c r="D84">
        <v>804</v>
      </c>
      <c r="E84">
        <v>1318</v>
      </c>
      <c r="F84">
        <v>1422</v>
      </c>
      <c r="G84">
        <v>1707</v>
      </c>
      <c r="H84">
        <v>618</v>
      </c>
      <c r="I84">
        <v>389</v>
      </c>
      <c r="J84" t="s">
        <v>379</v>
      </c>
      <c r="K84" t="s">
        <v>40</v>
      </c>
      <c r="L84" t="s">
        <v>380</v>
      </c>
      <c r="M84">
        <v>1113</v>
      </c>
      <c r="N84">
        <v>1512</v>
      </c>
      <c r="O84" t="s">
        <v>381</v>
      </c>
      <c r="P84" t="s">
        <v>19</v>
      </c>
      <c r="Q84" t="s">
        <v>373</v>
      </c>
      <c r="R84" t="s">
        <v>382</v>
      </c>
    </row>
    <row r="85" spans="1:18" x14ac:dyDescent="0.3">
      <c r="A85" t="s">
        <v>369</v>
      </c>
      <c r="B85">
        <v>3</v>
      </c>
      <c r="C85" t="s">
        <v>1</v>
      </c>
      <c r="D85">
        <v>2270</v>
      </c>
      <c r="E85">
        <v>1400</v>
      </c>
      <c r="F85">
        <v>3083</v>
      </c>
      <c r="G85">
        <v>1836</v>
      </c>
      <c r="H85">
        <v>813</v>
      </c>
      <c r="I85">
        <v>436</v>
      </c>
      <c r="J85" t="s">
        <v>383</v>
      </c>
      <c r="K85" t="s">
        <v>384</v>
      </c>
      <c r="L85" t="s">
        <v>356</v>
      </c>
      <c r="M85">
        <v>2676</v>
      </c>
      <c r="N85">
        <v>1618</v>
      </c>
      <c r="O85" t="s">
        <v>385</v>
      </c>
      <c r="P85" t="s">
        <v>386</v>
      </c>
      <c r="Q85" t="s">
        <v>373</v>
      </c>
      <c r="R85" t="s">
        <v>159</v>
      </c>
    </row>
    <row r="86" spans="1:18" x14ac:dyDescent="0.3">
      <c r="A86" t="s">
        <v>369</v>
      </c>
      <c r="B86">
        <v>4</v>
      </c>
      <c r="C86" t="s">
        <v>1</v>
      </c>
      <c r="D86">
        <v>2967</v>
      </c>
      <c r="E86">
        <v>1398</v>
      </c>
      <c r="F86">
        <v>3724</v>
      </c>
      <c r="G86">
        <v>1833</v>
      </c>
      <c r="H86">
        <v>757</v>
      </c>
      <c r="I86">
        <v>435</v>
      </c>
      <c r="J86" t="s">
        <v>387</v>
      </c>
      <c r="K86" t="s">
        <v>388</v>
      </c>
      <c r="L86" t="s">
        <v>389</v>
      </c>
      <c r="M86">
        <v>3345</v>
      </c>
      <c r="N86">
        <v>1615</v>
      </c>
      <c r="O86" t="s">
        <v>390</v>
      </c>
      <c r="P86" t="s">
        <v>391</v>
      </c>
      <c r="Q86" t="s">
        <v>373</v>
      </c>
      <c r="R86" t="s">
        <v>392</v>
      </c>
    </row>
    <row r="87" spans="1:18" x14ac:dyDescent="0.3">
      <c r="A87" t="s">
        <v>369</v>
      </c>
      <c r="B87">
        <v>7</v>
      </c>
      <c r="C87" t="s">
        <v>1</v>
      </c>
      <c r="D87">
        <v>3654</v>
      </c>
      <c r="E87">
        <v>1467</v>
      </c>
      <c r="F87">
        <v>4030</v>
      </c>
      <c r="G87">
        <v>1700</v>
      </c>
      <c r="H87">
        <v>376</v>
      </c>
      <c r="I87">
        <v>233</v>
      </c>
      <c r="J87" t="s">
        <v>393</v>
      </c>
      <c r="K87" t="s">
        <v>394</v>
      </c>
      <c r="L87" t="s">
        <v>4</v>
      </c>
      <c r="M87">
        <v>3842</v>
      </c>
      <c r="N87">
        <v>1583</v>
      </c>
      <c r="O87" t="s">
        <v>395</v>
      </c>
      <c r="P87" t="s">
        <v>396</v>
      </c>
      <c r="Q87" t="s">
        <v>373</v>
      </c>
      <c r="R87" t="s">
        <v>397</v>
      </c>
    </row>
    <row r="88" spans="1:18" x14ac:dyDescent="0.3">
      <c r="A88" t="s">
        <v>398</v>
      </c>
      <c r="B88">
        <v>0</v>
      </c>
      <c r="C88" t="s">
        <v>1</v>
      </c>
      <c r="D88">
        <v>827</v>
      </c>
      <c r="E88">
        <v>1150</v>
      </c>
      <c r="F88">
        <v>1417</v>
      </c>
      <c r="G88">
        <v>1539</v>
      </c>
      <c r="H88">
        <v>590</v>
      </c>
      <c r="I88">
        <v>389</v>
      </c>
      <c r="J88" t="s">
        <v>217</v>
      </c>
      <c r="K88" t="s">
        <v>40</v>
      </c>
      <c r="L88" t="s">
        <v>138</v>
      </c>
      <c r="M88">
        <v>1122</v>
      </c>
      <c r="N88">
        <v>1344</v>
      </c>
      <c r="O88" t="s">
        <v>220</v>
      </c>
      <c r="P88" t="s">
        <v>13</v>
      </c>
      <c r="Q88" t="s">
        <v>399</v>
      </c>
      <c r="R88" t="s">
        <v>400</v>
      </c>
    </row>
    <row r="89" spans="1:18" x14ac:dyDescent="0.3">
      <c r="A89" t="s">
        <v>398</v>
      </c>
      <c r="B89">
        <v>1</v>
      </c>
      <c r="C89" t="s">
        <v>1</v>
      </c>
      <c r="D89">
        <v>1649</v>
      </c>
      <c r="E89">
        <v>1174</v>
      </c>
      <c r="F89">
        <v>2205</v>
      </c>
      <c r="G89">
        <v>1589</v>
      </c>
      <c r="H89">
        <v>556</v>
      </c>
      <c r="I89">
        <v>415</v>
      </c>
      <c r="J89" t="s">
        <v>72</v>
      </c>
      <c r="K89" t="s">
        <v>375</v>
      </c>
      <c r="L89" t="s">
        <v>401</v>
      </c>
      <c r="M89">
        <v>1927</v>
      </c>
      <c r="N89">
        <v>1381</v>
      </c>
      <c r="O89" t="s">
        <v>306</v>
      </c>
      <c r="P89" t="s">
        <v>13</v>
      </c>
      <c r="Q89" t="s">
        <v>399</v>
      </c>
      <c r="R89" t="s">
        <v>402</v>
      </c>
    </row>
    <row r="90" spans="1:18" x14ac:dyDescent="0.3">
      <c r="A90" t="s">
        <v>398</v>
      </c>
      <c r="B90">
        <v>2</v>
      </c>
      <c r="C90" t="s">
        <v>1</v>
      </c>
      <c r="D90">
        <v>2</v>
      </c>
      <c r="E90">
        <v>1050</v>
      </c>
      <c r="F90">
        <v>782</v>
      </c>
      <c r="G90">
        <v>1530</v>
      </c>
      <c r="H90">
        <v>780</v>
      </c>
      <c r="I90">
        <v>480</v>
      </c>
      <c r="J90" t="s">
        <v>223</v>
      </c>
      <c r="K90" t="s">
        <v>403</v>
      </c>
      <c r="L90" t="s">
        <v>162</v>
      </c>
      <c r="M90">
        <v>392</v>
      </c>
      <c r="N90">
        <v>1290</v>
      </c>
      <c r="O90" t="s">
        <v>225</v>
      </c>
      <c r="P90" t="s">
        <v>182</v>
      </c>
      <c r="Q90" t="s">
        <v>399</v>
      </c>
      <c r="R90" t="s">
        <v>404</v>
      </c>
    </row>
    <row r="91" spans="1:18" x14ac:dyDescent="0.3">
      <c r="A91" t="s">
        <v>398</v>
      </c>
      <c r="B91">
        <v>3</v>
      </c>
      <c r="C91" t="s">
        <v>1</v>
      </c>
      <c r="D91">
        <v>2287</v>
      </c>
      <c r="E91">
        <v>1218</v>
      </c>
      <c r="F91">
        <v>3068</v>
      </c>
      <c r="G91">
        <v>1613</v>
      </c>
      <c r="H91">
        <v>781</v>
      </c>
      <c r="I91">
        <v>395</v>
      </c>
      <c r="J91" t="s">
        <v>405</v>
      </c>
      <c r="K91" t="s">
        <v>406</v>
      </c>
      <c r="L91" t="s">
        <v>89</v>
      </c>
      <c r="M91">
        <v>2677</v>
      </c>
      <c r="N91">
        <v>1415</v>
      </c>
      <c r="O91" t="s">
        <v>407</v>
      </c>
      <c r="P91" t="s">
        <v>335</v>
      </c>
      <c r="Q91" t="s">
        <v>399</v>
      </c>
      <c r="R91" t="s">
        <v>159</v>
      </c>
    </row>
    <row r="92" spans="1:18" x14ac:dyDescent="0.3">
      <c r="A92" t="s">
        <v>398</v>
      </c>
      <c r="B92">
        <v>4</v>
      </c>
      <c r="C92" t="s">
        <v>1</v>
      </c>
      <c r="D92">
        <v>2992</v>
      </c>
      <c r="E92">
        <v>1212</v>
      </c>
      <c r="F92">
        <v>3740</v>
      </c>
      <c r="G92">
        <v>1599</v>
      </c>
      <c r="H92">
        <v>748</v>
      </c>
      <c r="I92">
        <v>387</v>
      </c>
      <c r="J92" t="s">
        <v>408</v>
      </c>
      <c r="K92" t="s">
        <v>3</v>
      </c>
      <c r="L92" t="s">
        <v>409</v>
      </c>
      <c r="M92">
        <v>3366</v>
      </c>
      <c r="N92">
        <v>1405</v>
      </c>
      <c r="O92" t="s">
        <v>410</v>
      </c>
      <c r="P92" t="s">
        <v>411</v>
      </c>
      <c r="Q92" t="s">
        <v>399</v>
      </c>
      <c r="R92" t="s">
        <v>412</v>
      </c>
    </row>
    <row r="93" spans="1:18" x14ac:dyDescent="0.3">
      <c r="A93" t="s">
        <v>398</v>
      </c>
      <c r="B93">
        <v>5</v>
      </c>
      <c r="C93" t="s">
        <v>1</v>
      </c>
      <c r="D93">
        <v>3660</v>
      </c>
      <c r="E93">
        <v>1274</v>
      </c>
      <c r="F93">
        <v>4030</v>
      </c>
      <c r="G93">
        <v>1647</v>
      </c>
      <c r="H93">
        <v>370</v>
      </c>
      <c r="I93">
        <v>373</v>
      </c>
      <c r="J93" t="s">
        <v>413</v>
      </c>
      <c r="K93" t="s">
        <v>414</v>
      </c>
      <c r="L93" t="s">
        <v>415</v>
      </c>
      <c r="M93">
        <v>3845</v>
      </c>
      <c r="N93">
        <v>1460</v>
      </c>
      <c r="O93" t="s">
        <v>416</v>
      </c>
      <c r="P93" t="s">
        <v>73</v>
      </c>
      <c r="Q93" t="s">
        <v>399</v>
      </c>
      <c r="R93" t="s">
        <v>279</v>
      </c>
    </row>
    <row r="94" spans="1:18" x14ac:dyDescent="0.3">
      <c r="A94" t="s">
        <v>417</v>
      </c>
      <c r="B94">
        <v>0</v>
      </c>
      <c r="C94" t="s">
        <v>1</v>
      </c>
      <c r="D94">
        <v>2361</v>
      </c>
      <c r="E94">
        <v>1168</v>
      </c>
      <c r="F94">
        <v>3148</v>
      </c>
      <c r="G94">
        <v>1557</v>
      </c>
      <c r="H94">
        <v>787</v>
      </c>
      <c r="I94">
        <v>389</v>
      </c>
      <c r="J94" t="s">
        <v>418</v>
      </c>
      <c r="K94" t="s">
        <v>40</v>
      </c>
      <c r="L94" t="s">
        <v>419</v>
      </c>
      <c r="M94">
        <v>2754</v>
      </c>
      <c r="N94">
        <v>1362</v>
      </c>
      <c r="O94" t="s">
        <v>420</v>
      </c>
      <c r="P94" t="s">
        <v>80</v>
      </c>
      <c r="Q94" t="s">
        <v>421</v>
      </c>
      <c r="R94" t="s">
        <v>197</v>
      </c>
    </row>
    <row r="95" spans="1:18" x14ac:dyDescent="0.3">
      <c r="A95" t="s">
        <v>417</v>
      </c>
      <c r="B95">
        <v>1</v>
      </c>
      <c r="C95" t="s">
        <v>1</v>
      </c>
      <c r="D95">
        <v>0</v>
      </c>
      <c r="E95">
        <v>1069</v>
      </c>
      <c r="F95">
        <v>849</v>
      </c>
      <c r="G95">
        <v>1540</v>
      </c>
      <c r="H95">
        <v>849</v>
      </c>
      <c r="I95">
        <v>471</v>
      </c>
      <c r="J95" t="s">
        <v>422</v>
      </c>
      <c r="K95" t="s">
        <v>423</v>
      </c>
      <c r="L95" t="s">
        <v>424</v>
      </c>
      <c r="M95">
        <v>424</v>
      </c>
      <c r="N95">
        <v>1304</v>
      </c>
      <c r="O95" t="s">
        <v>425</v>
      </c>
      <c r="P95" t="s">
        <v>80</v>
      </c>
      <c r="Q95" t="s">
        <v>421</v>
      </c>
      <c r="R95" t="s">
        <v>426</v>
      </c>
    </row>
    <row r="96" spans="1:18" x14ac:dyDescent="0.3">
      <c r="A96" t="s">
        <v>417</v>
      </c>
      <c r="B96">
        <v>2</v>
      </c>
      <c r="C96" t="s">
        <v>1</v>
      </c>
      <c r="D96">
        <v>896</v>
      </c>
      <c r="E96">
        <v>1150</v>
      </c>
      <c r="F96">
        <v>1541</v>
      </c>
      <c r="G96">
        <v>1530</v>
      </c>
      <c r="H96">
        <v>645</v>
      </c>
      <c r="I96">
        <v>380</v>
      </c>
      <c r="J96" t="s">
        <v>427</v>
      </c>
      <c r="K96" t="s">
        <v>230</v>
      </c>
      <c r="L96" t="s">
        <v>260</v>
      </c>
      <c r="M96">
        <v>1218</v>
      </c>
      <c r="N96">
        <v>1340</v>
      </c>
      <c r="O96" t="s">
        <v>428</v>
      </c>
      <c r="P96" t="s">
        <v>13</v>
      </c>
      <c r="Q96" t="s">
        <v>421</v>
      </c>
      <c r="R96" t="s">
        <v>429</v>
      </c>
    </row>
    <row r="97" spans="1:18" x14ac:dyDescent="0.3">
      <c r="A97" t="s">
        <v>417</v>
      </c>
      <c r="B97">
        <v>3</v>
      </c>
      <c r="C97" t="s">
        <v>1</v>
      </c>
      <c r="D97">
        <v>3001</v>
      </c>
      <c r="E97">
        <v>1150</v>
      </c>
      <c r="F97">
        <v>3847</v>
      </c>
      <c r="G97">
        <v>1601</v>
      </c>
      <c r="H97">
        <v>846</v>
      </c>
      <c r="I97">
        <v>451</v>
      </c>
      <c r="J97" t="s">
        <v>430</v>
      </c>
      <c r="K97" t="s">
        <v>93</v>
      </c>
      <c r="L97" t="s">
        <v>431</v>
      </c>
      <c r="M97">
        <v>3424</v>
      </c>
      <c r="N97">
        <v>1375</v>
      </c>
      <c r="O97" t="s">
        <v>432</v>
      </c>
      <c r="P97" t="s">
        <v>13</v>
      </c>
      <c r="Q97" t="s">
        <v>421</v>
      </c>
      <c r="R97" t="s">
        <v>164</v>
      </c>
    </row>
    <row r="98" spans="1:18" x14ac:dyDescent="0.3">
      <c r="A98" t="s">
        <v>417</v>
      </c>
      <c r="B98">
        <v>4</v>
      </c>
      <c r="C98" t="s">
        <v>1</v>
      </c>
      <c r="D98">
        <v>1716</v>
      </c>
      <c r="E98">
        <v>1141</v>
      </c>
      <c r="F98">
        <v>2270</v>
      </c>
      <c r="G98">
        <v>1534</v>
      </c>
      <c r="H98">
        <v>554</v>
      </c>
      <c r="I98">
        <v>393</v>
      </c>
      <c r="J98" t="s">
        <v>433</v>
      </c>
      <c r="K98" t="s">
        <v>289</v>
      </c>
      <c r="L98" t="s">
        <v>148</v>
      </c>
      <c r="M98">
        <v>1993</v>
      </c>
      <c r="N98">
        <v>1337</v>
      </c>
      <c r="O98" t="s">
        <v>434</v>
      </c>
      <c r="P98" t="s">
        <v>19</v>
      </c>
      <c r="Q98" t="s">
        <v>421</v>
      </c>
      <c r="R98" t="s">
        <v>435</v>
      </c>
    </row>
    <row r="99" spans="1:18" x14ac:dyDescent="0.3">
      <c r="A99" t="s">
        <v>417</v>
      </c>
      <c r="B99">
        <v>5</v>
      </c>
      <c r="C99" t="s">
        <v>1</v>
      </c>
      <c r="D99">
        <v>3757</v>
      </c>
      <c r="E99">
        <v>1177</v>
      </c>
      <c r="F99">
        <v>4029</v>
      </c>
      <c r="G99">
        <v>1596</v>
      </c>
      <c r="H99">
        <v>272</v>
      </c>
      <c r="I99">
        <v>419</v>
      </c>
      <c r="J99" t="s">
        <v>436</v>
      </c>
      <c r="K99" t="s">
        <v>175</v>
      </c>
      <c r="L99" t="s">
        <v>110</v>
      </c>
      <c r="M99">
        <v>3893</v>
      </c>
      <c r="N99">
        <v>1386</v>
      </c>
      <c r="O99" t="s">
        <v>437</v>
      </c>
      <c r="P99" t="s">
        <v>141</v>
      </c>
      <c r="Q99" t="s">
        <v>421</v>
      </c>
      <c r="R99" t="s">
        <v>31</v>
      </c>
    </row>
    <row r="100" spans="1:18" x14ac:dyDescent="0.3">
      <c r="A100" t="s">
        <v>438</v>
      </c>
      <c r="B100">
        <v>0</v>
      </c>
      <c r="C100" t="s">
        <v>1</v>
      </c>
      <c r="D100">
        <v>1</v>
      </c>
      <c r="E100">
        <v>1172</v>
      </c>
      <c r="F100">
        <v>383</v>
      </c>
      <c r="G100">
        <v>1466</v>
      </c>
      <c r="H100">
        <v>382</v>
      </c>
      <c r="I100">
        <v>294</v>
      </c>
      <c r="J100" t="s">
        <v>439</v>
      </c>
      <c r="K100" t="s">
        <v>440</v>
      </c>
      <c r="L100" t="s">
        <v>441</v>
      </c>
      <c r="M100">
        <v>192</v>
      </c>
      <c r="N100">
        <v>1319</v>
      </c>
      <c r="O100" t="s">
        <v>384</v>
      </c>
      <c r="P100" t="s">
        <v>80</v>
      </c>
      <c r="Q100" t="s">
        <v>442</v>
      </c>
      <c r="R100" t="s">
        <v>443</v>
      </c>
    </row>
    <row r="101" spans="1:18" x14ac:dyDescent="0.3">
      <c r="A101" t="s">
        <v>438</v>
      </c>
      <c r="B101">
        <v>1</v>
      </c>
      <c r="C101" t="s">
        <v>1</v>
      </c>
      <c r="D101">
        <v>774</v>
      </c>
      <c r="E101">
        <v>1132</v>
      </c>
      <c r="F101">
        <v>1254</v>
      </c>
      <c r="G101">
        <v>1452</v>
      </c>
      <c r="H101">
        <v>480</v>
      </c>
      <c r="I101">
        <v>320</v>
      </c>
      <c r="J101" t="s">
        <v>444</v>
      </c>
      <c r="K101" t="s">
        <v>445</v>
      </c>
      <c r="L101" t="s">
        <v>446</v>
      </c>
      <c r="M101">
        <v>1014</v>
      </c>
      <c r="N101">
        <v>1292</v>
      </c>
      <c r="O101" t="s">
        <v>447</v>
      </c>
      <c r="P101" t="s">
        <v>19</v>
      </c>
      <c r="Q101" t="s">
        <v>442</v>
      </c>
      <c r="R101" t="s">
        <v>448</v>
      </c>
    </row>
    <row r="102" spans="1:18" x14ac:dyDescent="0.3">
      <c r="A102" t="s">
        <v>438</v>
      </c>
      <c r="B102">
        <v>2</v>
      </c>
      <c r="C102" t="s">
        <v>1</v>
      </c>
      <c r="D102">
        <v>2346</v>
      </c>
      <c r="E102">
        <v>1192</v>
      </c>
      <c r="F102">
        <v>2831</v>
      </c>
      <c r="G102">
        <v>1463</v>
      </c>
      <c r="H102">
        <v>485</v>
      </c>
      <c r="I102">
        <v>271</v>
      </c>
      <c r="J102" t="s">
        <v>449</v>
      </c>
      <c r="K102" t="s">
        <v>450</v>
      </c>
      <c r="L102" t="s">
        <v>451</v>
      </c>
      <c r="M102">
        <v>2588</v>
      </c>
      <c r="N102">
        <v>1327</v>
      </c>
      <c r="O102" t="s">
        <v>452</v>
      </c>
      <c r="P102" t="s">
        <v>19</v>
      </c>
      <c r="Q102" t="s">
        <v>442</v>
      </c>
      <c r="R102" t="s">
        <v>453</v>
      </c>
    </row>
    <row r="103" spans="1:18" x14ac:dyDescent="0.3">
      <c r="A103" t="s">
        <v>438</v>
      </c>
      <c r="B103">
        <v>3</v>
      </c>
      <c r="C103" t="s">
        <v>1</v>
      </c>
      <c r="D103">
        <v>1889</v>
      </c>
      <c r="E103">
        <v>1188</v>
      </c>
      <c r="F103">
        <v>2256</v>
      </c>
      <c r="G103">
        <v>1438</v>
      </c>
      <c r="H103">
        <v>367</v>
      </c>
      <c r="I103">
        <v>250</v>
      </c>
      <c r="J103" t="s">
        <v>454</v>
      </c>
      <c r="K103" t="s">
        <v>455</v>
      </c>
      <c r="L103" t="s">
        <v>456</v>
      </c>
      <c r="M103">
        <v>2072</v>
      </c>
      <c r="N103">
        <v>1313</v>
      </c>
      <c r="O103" t="s">
        <v>457</v>
      </c>
      <c r="P103" t="s">
        <v>130</v>
      </c>
      <c r="Q103" t="s">
        <v>442</v>
      </c>
      <c r="R103" t="s">
        <v>458</v>
      </c>
    </row>
    <row r="104" spans="1:18" x14ac:dyDescent="0.3">
      <c r="A104" t="s">
        <v>438</v>
      </c>
      <c r="B104">
        <v>4</v>
      </c>
      <c r="C104" t="s">
        <v>1</v>
      </c>
      <c r="D104">
        <v>1362</v>
      </c>
      <c r="E104">
        <v>1187</v>
      </c>
      <c r="F104">
        <v>1729</v>
      </c>
      <c r="G104">
        <v>1433</v>
      </c>
      <c r="H104">
        <v>367</v>
      </c>
      <c r="I104">
        <v>246</v>
      </c>
      <c r="J104" t="s">
        <v>454</v>
      </c>
      <c r="K104" t="s">
        <v>459</v>
      </c>
      <c r="L104" t="s">
        <v>460</v>
      </c>
      <c r="M104">
        <v>1545</v>
      </c>
      <c r="N104">
        <v>1310</v>
      </c>
      <c r="O104" t="s">
        <v>457</v>
      </c>
      <c r="P104" t="s">
        <v>141</v>
      </c>
      <c r="Q104" t="s">
        <v>442</v>
      </c>
      <c r="R104" t="s">
        <v>461</v>
      </c>
    </row>
    <row r="105" spans="1:18" x14ac:dyDescent="0.3">
      <c r="A105" t="s">
        <v>438</v>
      </c>
      <c r="B105">
        <v>5</v>
      </c>
      <c r="C105" t="s">
        <v>1</v>
      </c>
      <c r="D105">
        <v>3793</v>
      </c>
      <c r="E105">
        <v>1207</v>
      </c>
      <c r="F105">
        <v>4031</v>
      </c>
      <c r="G105">
        <v>1499</v>
      </c>
      <c r="H105">
        <v>238</v>
      </c>
      <c r="I105">
        <v>292</v>
      </c>
      <c r="J105" t="s">
        <v>462</v>
      </c>
      <c r="K105" t="s">
        <v>298</v>
      </c>
      <c r="L105" t="s">
        <v>262</v>
      </c>
      <c r="M105">
        <v>3912</v>
      </c>
      <c r="N105">
        <v>1353</v>
      </c>
      <c r="O105" t="s">
        <v>463</v>
      </c>
      <c r="P105" t="s">
        <v>197</v>
      </c>
      <c r="Q105" t="s">
        <v>442</v>
      </c>
      <c r="R105" t="s">
        <v>464</v>
      </c>
    </row>
    <row r="106" spans="1:18" x14ac:dyDescent="0.3">
      <c r="A106" t="s">
        <v>438</v>
      </c>
      <c r="B106">
        <v>6</v>
      </c>
      <c r="C106" t="s">
        <v>1</v>
      </c>
      <c r="D106">
        <v>3299</v>
      </c>
      <c r="E106">
        <v>1201</v>
      </c>
      <c r="F106">
        <v>3853</v>
      </c>
      <c r="G106">
        <v>1487</v>
      </c>
      <c r="H106">
        <v>554</v>
      </c>
      <c r="I106">
        <v>286</v>
      </c>
      <c r="J106" t="s">
        <v>433</v>
      </c>
      <c r="K106" t="s">
        <v>465</v>
      </c>
      <c r="L106" t="s">
        <v>466</v>
      </c>
      <c r="M106">
        <v>3576</v>
      </c>
      <c r="N106">
        <v>1344</v>
      </c>
      <c r="O106" t="s">
        <v>434</v>
      </c>
      <c r="P106" t="s">
        <v>63</v>
      </c>
      <c r="Q106" t="s">
        <v>442</v>
      </c>
      <c r="R106" t="s">
        <v>467</v>
      </c>
    </row>
    <row r="107" spans="1:18" x14ac:dyDescent="0.3">
      <c r="A107" t="s">
        <v>468</v>
      </c>
      <c r="B107">
        <v>0</v>
      </c>
      <c r="C107" t="s">
        <v>1</v>
      </c>
      <c r="D107">
        <v>0</v>
      </c>
      <c r="E107">
        <v>1283</v>
      </c>
      <c r="F107">
        <v>505</v>
      </c>
      <c r="G107">
        <v>1570</v>
      </c>
      <c r="H107">
        <v>505</v>
      </c>
      <c r="I107">
        <v>287</v>
      </c>
      <c r="J107" t="s">
        <v>469</v>
      </c>
      <c r="K107" t="s">
        <v>470</v>
      </c>
      <c r="L107" t="s">
        <v>195</v>
      </c>
      <c r="M107">
        <v>252</v>
      </c>
      <c r="N107">
        <v>1426</v>
      </c>
      <c r="O107" t="s">
        <v>471</v>
      </c>
      <c r="P107" t="s">
        <v>6</v>
      </c>
      <c r="Q107" t="s">
        <v>472</v>
      </c>
      <c r="R107" t="s">
        <v>473</v>
      </c>
    </row>
    <row r="108" spans="1:18" x14ac:dyDescent="0.3">
      <c r="A108" t="s">
        <v>468</v>
      </c>
      <c r="B108">
        <v>1</v>
      </c>
      <c r="C108" t="s">
        <v>1</v>
      </c>
      <c r="D108">
        <v>877</v>
      </c>
      <c r="E108">
        <v>1253</v>
      </c>
      <c r="F108">
        <v>1346</v>
      </c>
      <c r="G108">
        <v>1563</v>
      </c>
      <c r="H108">
        <v>469</v>
      </c>
      <c r="I108">
        <v>310</v>
      </c>
      <c r="J108" t="s">
        <v>474</v>
      </c>
      <c r="K108" t="s">
        <v>475</v>
      </c>
      <c r="L108" t="s">
        <v>476</v>
      </c>
      <c r="M108">
        <v>1111</v>
      </c>
      <c r="N108">
        <v>1408</v>
      </c>
      <c r="O108" t="s">
        <v>66</v>
      </c>
      <c r="P108" t="s">
        <v>80</v>
      </c>
      <c r="Q108" t="s">
        <v>472</v>
      </c>
      <c r="R108" t="s">
        <v>477</v>
      </c>
    </row>
    <row r="109" spans="1:18" x14ac:dyDescent="0.3">
      <c r="A109" t="s">
        <v>468</v>
      </c>
      <c r="B109">
        <v>2</v>
      </c>
      <c r="C109" t="s">
        <v>1</v>
      </c>
      <c r="D109">
        <v>1967</v>
      </c>
      <c r="E109">
        <v>1308</v>
      </c>
      <c r="F109">
        <v>2336</v>
      </c>
      <c r="G109">
        <v>1572</v>
      </c>
      <c r="H109">
        <v>369</v>
      </c>
      <c r="I109">
        <v>264</v>
      </c>
      <c r="J109" t="s">
        <v>478</v>
      </c>
      <c r="K109" t="s">
        <v>479</v>
      </c>
      <c r="L109" t="s">
        <v>11</v>
      </c>
      <c r="M109">
        <v>2151</v>
      </c>
      <c r="N109">
        <v>1440</v>
      </c>
      <c r="O109" t="s">
        <v>480</v>
      </c>
      <c r="P109" t="s">
        <v>182</v>
      </c>
      <c r="Q109" t="s">
        <v>472</v>
      </c>
      <c r="R109" t="s">
        <v>481</v>
      </c>
    </row>
    <row r="110" spans="1:18" x14ac:dyDescent="0.3">
      <c r="A110" t="s">
        <v>468</v>
      </c>
      <c r="B110">
        <v>3</v>
      </c>
      <c r="C110" t="s">
        <v>1</v>
      </c>
      <c r="D110">
        <v>1445</v>
      </c>
      <c r="E110">
        <v>1310</v>
      </c>
      <c r="F110">
        <v>1798</v>
      </c>
      <c r="G110">
        <v>1553</v>
      </c>
      <c r="H110">
        <v>353</v>
      </c>
      <c r="I110">
        <v>243</v>
      </c>
      <c r="J110" t="s">
        <v>482</v>
      </c>
      <c r="K110" t="s">
        <v>483</v>
      </c>
      <c r="L110" t="s">
        <v>85</v>
      </c>
      <c r="M110">
        <v>1621</v>
      </c>
      <c r="N110">
        <v>1431</v>
      </c>
      <c r="O110" t="s">
        <v>117</v>
      </c>
      <c r="P110" t="s">
        <v>335</v>
      </c>
      <c r="Q110" t="s">
        <v>472</v>
      </c>
      <c r="R110" t="s">
        <v>484</v>
      </c>
    </row>
    <row r="111" spans="1:18" x14ac:dyDescent="0.3">
      <c r="A111" t="s">
        <v>468</v>
      </c>
      <c r="B111">
        <v>4</v>
      </c>
      <c r="C111" t="s">
        <v>1</v>
      </c>
      <c r="D111">
        <v>2805</v>
      </c>
      <c r="E111">
        <v>1365</v>
      </c>
      <c r="F111">
        <v>2949</v>
      </c>
      <c r="G111">
        <v>1467</v>
      </c>
      <c r="H111">
        <v>144</v>
      </c>
      <c r="I111">
        <v>102</v>
      </c>
      <c r="J111" t="s">
        <v>485</v>
      </c>
      <c r="K111" t="s">
        <v>486</v>
      </c>
      <c r="L111" t="s">
        <v>148</v>
      </c>
      <c r="M111">
        <v>2877</v>
      </c>
      <c r="N111">
        <v>1416</v>
      </c>
      <c r="O111" t="s">
        <v>487</v>
      </c>
      <c r="P111" t="s">
        <v>172</v>
      </c>
      <c r="Q111" t="s">
        <v>472</v>
      </c>
      <c r="R111" t="s">
        <v>488</v>
      </c>
    </row>
    <row r="112" spans="1:18" x14ac:dyDescent="0.3">
      <c r="A112" t="s">
        <v>489</v>
      </c>
      <c r="B112">
        <v>0</v>
      </c>
      <c r="C112" t="s">
        <v>1</v>
      </c>
      <c r="D112">
        <v>0</v>
      </c>
      <c r="E112">
        <v>1311</v>
      </c>
      <c r="F112">
        <v>418</v>
      </c>
      <c r="G112">
        <v>1601</v>
      </c>
      <c r="H112">
        <v>418</v>
      </c>
      <c r="I112">
        <v>290</v>
      </c>
      <c r="J112" t="s">
        <v>490</v>
      </c>
      <c r="K112" t="s">
        <v>491</v>
      </c>
      <c r="L112" t="s">
        <v>492</v>
      </c>
      <c r="M112">
        <v>209</v>
      </c>
      <c r="N112">
        <v>1456</v>
      </c>
      <c r="O112" t="s">
        <v>493</v>
      </c>
      <c r="P112" t="s">
        <v>6</v>
      </c>
      <c r="Q112" t="s">
        <v>494</v>
      </c>
      <c r="R112" t="s">
        <v>495</v>
      </c>
    </row>
    <row r="113" spans="1:18" x14ac:dyDescent="0.3">
      <c r="A113" t="s">
        <v>489</v>
      </c>
      <c r="B113">
        <v>1</v>
      </c>
      <c r="C113" t="s">
        <v>1</v>
      </c>
      <c r="D113">
        <v>1374</v>
      </c>
      <c r="E113">
        <v>1325</v>
      </c>
      <c r="F113">
        <v>1731</v>
      </c>
      <c r="G113">
        <v>1563</v>
      </c>
      <c r="H113">
        <v>357</v>
      </c>
      <c r="I113">
        <v>238</v>
      </c>
      <c r="J113" t="s">
        <v>496</v>
      </c>
      <c r="K113" t="s">
        <v>497</v>
      </c>
      <c r="L113" t="s">
        <v>446</v>
      </c>
      <c r="M113">
        <v>1552</v>
      </c>
      <c r="N113">
        <v>1444</v>
      </c>
      <c r="O113" t="s">
        <v>2</v>
      </c>
      <c r="P113" t="s">
        <v>102</v>
      </c>
      <c r="Q113" t="s">
        <v>494</v>
      </c>
      <c r="R113" t="s">
        <v>498</v>
      </c>
    </row>
    <row r="114" spans="1:18" x14ac:dyDescent="0.3">
      <c r="A114" t="s">
        <v>489</v>
      </c>
      <c r="B114">
        <v>2</v>
      </c>
      <c r="C114" t="s">
        <v>1</v>
      </c>
      <c r="D114">
        <v>1901</v>
      </c>
      <c r="E114">
        <v>1321</v>
      </c>
      <c r="F114">
        <v>2263</v>
      </c>
      <c r="G114">
        <v>1576</v>
      </c>
      <c r="H114">
        <v>362</v>
      </c>
      <c r="I114">
        <v>255</v>
      </c>
      <c r="J114" t="s">
        <v>499</v>
      </c>
      <c r="K114" t="s">
        <v>65</v>
      </c>
      <c r="L114" t="s">
        <v>47</v>
      </c>
      <c r="M114">
        <v>2082</v>
      </c>
      <c r="N114">
        <v>1448</v>
      </c>
      <c r="O114" t="s">
        <v>500</v>
      </c>
      <c r="P114" t="s">
        <v>335</v>
      </c>
      <c r="Q114" t="s">
        <v>494</v>
      </c>
      <c r="R114" t="s">
        <v>501</v>
      </c>
    </row>
    <row r="115" spans="1:18" x14ac:dyDescent="0.3">
      <c r="A115" t="s">
        <v>489</v>
      </c>
      <c r="B115">
        <v>3</v>
      </c>
      <c r="C115" t="s">
        <v>1</v>
      </c>
      <c r="D115">
        <v>801</v>
      </c>
      <c r="E115">
        <v>1274</v>
      </c>
      <c r="F115">
        <v>1280</v>
      </c>
      <c r="G115">
        <v>1586</v>
      </c>
      <c r="H115">
        <v>479</v>
      </c>
      <c r="I115">
        <v>312</v>
      </c>
      <c r="J115" t="s">
        <v>502</v>
      </c>
      <c r="K115" t="s">
        <v>503</v>
      </c>
      <c r="L115" t="s">
        <v>327</v>
      </c>
      <c r="M115">
        <v>1040</v>
      </c>
      <c r="N115">
        <v>1430</v>
      </c>
      <c r="O115" t="s">
        <v>504</v>
      </c>
      <c r="P115" t="s">
        <v>505</v>
      </c>
      <c r="Q115" t="s">
        <v>494</v>
      </c>
      <c r="R115" t="s">
        <v>506</v>
      </c>
    </row>
    <row r="116" spans="1:18" x14ac:dyDescent="0.3">
      <c r="A116" t="s">
        <v>489</v>
      </c>
      <c r="B116">
        <v>4</v>
      </c>
      <c r="C116" t="s">
        <v>1</v>
      </c>
      <c r="D116">
        <v>2714</v>
      </c>
      <c r="E116">
        <v>1361</v>
      </c>
      <c r="F116">
        <v>2829</v>
      </c>
      <c r="G116">
        <v>1457</v>
      </c>
      <c r="H116">
        <v>115</v>
      </c>
      <c r="I116">
        <v>96</v>
      </c>
      <c r="J116" t="s">
        <v>507</v>
      </c>
      <c r="K116" t="s">
        <v>508</v>
      </c>
      <c r="L116" t="s">
        <v>509</v>
      </c>
      <c r="M116">
        <v>2771</v>
      </c>
      <c r="N116">
        <v>1409</v>
      </c>
      <c r="O116" t="s">
        <v>510</v>
      </c>
      <c r="P116" t="s">
        <v>511</v>
      </c>
      <c r="Q116" t="s">
        <v>494</v>
      </c>
      <c r="R116" t="s">
        <v>197</v>
      </c>
    </row>
    <row r="117" spans="1:18" x14ac:dyDescent="0.3">
      <c r="A117" t="s">
        <v>512</v>
      </c>
      <c r="B117">
        <v>0</v>
      </c>
      <c r="C117" t="s">
        <v>1</v>
      </c>
      <c r="D117">
        <v>1</v>
      </c>
      <c r="E117">
        <v>1549</v>
      </c>
      <c r="F117">
        <v>498</v>
      </c>
      <c r="G117">
        <v>1838</v>
      </c>
      <c r="H117">
        <v>497</v>
      </c>
      <c r="I117">
        <v>289</v>
      </c>
      <c r="J117" t="s">
        <v>414</v>
      </c>
      <c r="K117" t="s">
        <v>513</v>
      </c>
      <c r="L117" t="s">
        <v>153</v>
      </c>
      <c r="M117">
        <v>249</v>
      </c>
      <c r="N117">
        <v>1693</v>
      </c>
      <c r="O117" t="s">
        <v>514</v>
      </c>
      <c r="P117" t="s">
        <v>6</v>
      </c>
      <c r="Q117" t="s">
        <v>515</v>
      </c>
      <c r="R117" t="s">
        <v>516</v>
      </c>
    </row>
    <row r="118" spans="1:18" x14ac:dyDescent="0.3">
      <c r="A118" t="s">
        <v>512</v>
      </c>
      <c r="B118">
        <v>1</v>
      </c>
      <c r="C118" t="s">
        <v>1</v>
      </c>
      <c r="D118">
        <v>872</v>
      </c>
      <c r="E118">
        <v>1496</v>
      </c>
      <c r="F118">
        <v>1346</v>
      </c>
      <c r="G118">
        <v>1813</v>
      </c>
      <c r="H118">
        <v>474</v>
      </c>
      <c r="I118">
        <v>317</v>
      </c>
      <c r="J118" t="s">
        <v>517</v>
      </c>
      <c r="K118" t="s">
        <v>518</v>
      </c>
      <c r="L118" t="s">
        <v>446</v>
      </c>
      <c r="M118">
        <v>1109</v>
      </c>
      <c r="N118">
        <v>1654</v>
      </c>
      <c r="O118" t="s">
        <v>519</v>
      </c>
      <c r="P118" t="s">
        <v>13</v>
      </c>
      <c r="Q118" t="s">
        <v>515</v>
      </c>
      <c r="R118" t="s">
        <v>155</v>
      </c>
    </row>
    <row r="119" spans="1:18" x14ac:dyDescent="0.3">
      <c r="A119" t="s">
        <v>512</v>
      </c>
      <c r="B119">
        <v>2</v>
      </c>
      <c r="C119" t="s">
        <v>1</v>
      </c>
      <c r="D119">
        <v>1964</v>
      </c>
      <c r="E119">
        <v>1520</v>
      </c>
      <c r="F119">
        <v>2335</v>
      </c>
      <c r="G119">
        <v>1782</v>
      </c>
      <c r="H119">
        <v>371</v>
      </c>
      <c r="I119">
        <v>262</v>
      </c>
      <c r="J119" t="s">
        <v>232</v>
      </c>
      <c r="K119" t="s">
        <v>520</v>
      </c>
      <c r="L119" t="s">
        <v>47</v>
      </c>
      <c r="M119">
        <v>2149</v>
      </c>
      <c r="N119">
        <v>1651</v>
      </c>
      <c r="O119" t="s">
        <v>521</v>
      </c>
      <c r="P119" t="s">
        <v>141</v>
      </c>
      <c r="Q119" t="s">
        <v>515</v>
      </c>
      <c r="R119" t="s">
        <v>522</v>
      </c>
    </row>
    <row r="120" spans="1:18" x14ac:dyDescent="0.3">
      <c r="A120" t="s">
        <v>512</v>
      </c>
      <c r="B120">
        <v>3</v>
      </c>
      <c r="C120" t="s">
        <v>1</v>
      </c>
      <c r="D120">
        <v>1437</v>
      </c>
      <c r="E120">
        <v>1541</v>
      </c>
      <c r="F120">
        <v>1799</v>
      </c>
      <c r="G120">
        <v>1781</v>
      </c>
      <c r="H120">
        <v>362</v>
      </c>
      <c r="I120">
        <v>240</v>
      </c>
      <c r="J120" t="s">
        <v>499</v>
      </c>
      <c r="K120" t="s">
        <v>523</v>
      </c>
      <c r="L120" t="s">
        <v>476</v>
      </c>
      <c r="M120">
        <v>1618</v>
      </c>
      <c r="N120">
        <v>1661</v>
      </c>
      <c r="O120" t="s">
        <v>500</v>
      </c>
      <c r="P120" t="s">
        <v>335</v>
      </c>
      <c r="Q120" t="s">
        <v>515</v>
      </c>
      <c r="R120" t="s">
        <v>19</v>
      </c>
    </row>
    <row r="121" spans="1:18" x14ac:dyDescent="0.3">
      <c r="A121" t="s">
        <v>512</v>
      </c>
      <c r="B121">
        <v>4</v>
      </c>
      <c r="C121" t="s">
        <v>1</v>
      </c>
      <c r="D121">
        <v>2794</v>
      </c>
      <c r="E121">
        <v>1556</v>
      </c>
      <c r="F121">
        <v>2916</v>
      </c>
      <c r="G121">
        <v>1650</v>
      </c>
      <c r="H121">
        <v>122</v>
      </c>
      <c r="I121">
        <v>94</v>
      </c>
      <c r="J121" t="s">
        <v>524</v>
      </c>
      <c r="K121" t="s">
        <v>525</v>
      </c>
      <c r="L121" t="s">
        <v>441</v>
      </c>
      <c r="M121">
        <v>2855</v>
      </c>
      <c r="N121">
        <v>1603</v>
      </c>
      <c r="O121" t="s">
        <v>526</v>
      </c>
      <c r="P121" t="s">
        <v>396</v>
      </c>
      <c r="Q121" t="s">
        <v>515</v>
      </c>
      <c r="R121" t="s">
        <v>63</v>
      </c>
    </row>
    <row r="122" spans="1:18" x14ac:dyDescent="0.3">
      <c r="A122" t="s">
        <v>527</v>
      </c>
      <c r="B122">
        <v>0</v>
      </c>
      <c r="C122" t="s">
        <v>1</v>
      </c>
      <c r="D122">
        <v>1</v>
      </c>
      <c r="E122">
        <v>1271</v>
      </c>
      <c r="F122">
        <v>326</v>
      </c>
      <c r="G122">
        <v>1569</v>
      </c>
      <c r="H122">
        <v>325</v>
      </c>
      <c r="I122">
        <v>298</v>
      </c>
      <c r="J122" t="s">
        <v>528</v>
      </c>
      <c r="K122" t="s">
        <v>177</v>
      </c>
      <c r="L122" t="s">
        <v>529</v>
      </c>
      <c r="M122">
        <v>163</v>
      </c>
      <c r="N122">
        <v>1420</v>
      </c>
      <c r="O122" t="s">
        <v>530</v>
      </c>
      <c r="P122" t="s">
        <v>6</v>
      </c>
      <c r="Q122" t="s">
        <v>531</v>
      </c>
      <c r="R122" t="s">
        <v>532</v>
      </c>
    </row>
    <row r="123" spans="1:18" x14ac:dyDescent="0.3">
      <c r="A123" t="s">
        <v>527</v>
      </c>
      <c r="B123">
        <v>1</v>
      </c>
      <c r="C123" t="s">
        <v>1</v>
      </c>
      <c r="D123">
        <v>2541</v>
      </c>
      <c r="E123">
        <v>1294</v>
      </c>
      <c r="F123">
        <v>3040</v>
      </c>
      <c r="G123">
        <v>1607</v>
      </c>
      <c r="H123">
        <v>499</v>
      </c>
      <c r="I123">
        <v>313</v>
      </c>
      <c r="J123" t="s">
        <v>533</v>
      </c>
      <c r="K123" t="s">
        <v>534</v>
      </c>
      <c r="L123" t="s">
        <v>380</v>
      </c>
      <c r="M123">
        <v>2790</v>
      </c>
      <c r="N123">
        <v>1450</v>
      </c>
      <c r="O123" t="s">
        <v>535</v>
      </c>
      <c r="P123" t="s">
        <v>13</v>
      </c>
      <c r="Q123" t="s">
        <v>531</v>
      </c>
      <c r="R123" t="s">
        <v>536</v>
      </c>
    </row>
    <row r="124" spans="1:18" x14ac:dyDescent="0.3">
      <c r="A124" t="s">
        <v>527</v>
      </c>
      <c r="B124">
        <v>2</v>
      </c>
      <c r="C124" t="s">
        <v>1</v>
      </c>
      <c r="D124">
        <v>735</v>
      </c>
      <c r="E124">
        <v>1244</v>
      </c>
      <c r="F124">
        <v>1211</v>
      </c>
      <c r="G124">
        <v>1560</v>
      </c>
      <c r="H124">
        <v>476</v>
      </c>
      <c r="I124">
        <v>316</v>
      </c>
      <c r="J124" t="s">
        <v>537</v>
      </c>
      <c r="K124" t="s">
        <v>538</v>
      </c>
      <c r="L124" t="s">
        <v>476</v>
      </c>
      <c r="M124">
        <v>973</v>
      </c>
      <c r="N124">
        <v>1402</v>
      </c>
      <c r="O124" t="s">
        <v>539</v>
      </c>
      <c r="P124" t="s">
        <v>19</v>
      </c>
      <c r="Q124" t="s">
        <v>531</v>
      </c>
      <c r="R124" t="s">
        <v>540</v>
      </c>
    </row>
    <row r="125" spans="1:18" x14ac:dyDescent="0.3">
      <c r="A125" t="s">
        <v>527</v>
      </c>
      <c r="B125">
        <v>3</v>
      </c>
      <c r="C125" t="s">
        <v>1</v>
      </c>
      <c r="D125">
        <v>1856</v>
      </c>
      <c r="E125">
        <v>1294</v>
      </c>
      <c r="F125">
        <v>2209</v>
      </c>
      <c r="G125">
        <v>1554</v>
      </c>
      <c r="H125">
        <v>353</v>
      </c>
      <c r="I125">
        <v>260</v>
      </c>
      <c r="J125" t="s">
        <v>482</v>
      </c>
      <c r="K125" t="s">
        <v>541</v>
      </c>
      <c r="L125" t="s">
        <v>166</v>
      </c>
      <c r="M125">
        <v>2032</v>
      </c>
      <c r="N125">
        <v>1424</v>
      </c>
      <c r="O125" t="s">
        <v>117</v>
      </c>
      <c r="P125" t="s">
        <v>130</v>
      </c>
      <c r="Q125" t="s">
        <v>531</v>
      </c>
      <c r="R125" t="s">
        <v>542</v>
      </c>
    </row>
    <row r="126" spans="1:18" x14ac:dyDescent="0.3">
      <c r="A126" t="s">
        <v>527</v>
      </c>
      <c r="B126">
        <v>4</v>
      </c>
      <c r="C126" t="s">
        <v>1</v>
      </c>
      <c r="D126">
        <v>1318</v>
      </c>
      <c r="E126">
        <v>1296</v>
      </c>
      <c r="F126">
        <v>1681</v>
      </c>
      <c r="G126">
        <v>1544</v>
      </c>
      <c r="H126">
        <v>363</v>
      </c>
      <c r="I126">
        <v>248</v>
      </c>
      <c r="J126" t="s">
        <v>543</v>
      </c>
      <c r="K126" t="s">
        <v>544</v>
      </c>
      <c r="L126" t="s">
        <v>545</v>
      </c>
      <c r="M126">
        <v>1499</v>
      </c>
      <c r="N126">
        <v>1420</v>
      </c>
      <c r="O126" t="s">
        <v>546</v>
      </c>
      <c r="P126" t="s">
        <v>182</v>
      </c>
      <c r="Q126" t="s">
        <v>531</v>
      </c>
      <c r="R126" t="s">
        <v>547</v>
      </c>
    </row>
    <row r="127" spans="1:18" x14ac:dyDescent="0.3">
      <c r="A127" t="s">
        <v>548</v>
      </c>
      <c r="B127">
        <v>0</v>
      </c>
      <c r="C127" t="s">
        <v>1</v>
      </c>
      <c r="D127">
        <v>217</v>
      </c>
      <c r="E127">
        <v>1494</v>
      </c>
      <c r="F127">
        <v>705</v>
      </c>
      <c r="G127">
        <v>1790</v>
      </c>
      <c r="H127">
        <v>488</v>
      </c>
      <c r="I127">
        <v>296</v>
      </c>
      <c r="J127" t="s">
        <v>549</v>
      </c>
      <c r="K127" t="s">
        <v>550</v>
      </c>
      <c r="L127" t="s">
        <v>34</v>
      </c>
      <c r="M127">
        <v>461</v>
      </c>
      <c r="N127">
        <v>1642</v>
      </c>
      <c r="O127" t="s">
        <v>551</v>
      </c>
      <c r="P127" t="s">
        <v>13</v>
      </c>
      <c r="Q127" t="s">
        <v>552</v>
      </c>
      <c r="R127" t="s">
        <v>353</v>
      </c>
    </row>
    <row r="128" spans="1:18" x14ac:dyDescent="0.3">
      <c r="A128" t="s">
        <v>548</v>
      </c>
      <c r="B128">
        <v>1</v>
      </c>
      <c r="C128" t="s">
        <v>1</v>
      </c>
      <c r="D128">
        <v>1816</v>
      </c>
      <c r="E128">
        <v>1463</v>
      </c>
      <c r="F128">
        <v>2195</v>
      </c>
      <c r="G128">
        <v>1732</v>
      </c>
      <c r="H128">
        <v>379</v>
      </c>
      <c r="I128">
        <v>269</v>
      </c>
      <c r="J128" t="s">
        <v>553</v>
      </c>
      <c r="K128" t="s">
        <v>554</v>
      </c>
      <c r="L128" t="s">
        <v>148</v>
      </c>
      <c r="M128">
        <v>2005</v>
      </c>
      <c r="N128">
        <v>1597</v>
      </c>
      <c r="O128" t="s">
        <v>555</v>
      </c>
      <c r="P128" t="s">
        <v>19</v>
      </c>
      <c r="Q128" t="s">
        <v>552</v>
      </c>
      <c r="R128" t="s">
        <v>556</v>
      </c>
    </row>
    <row r="129" spans="1:18" x14ac:dyDescent="0.3">
      <c r="A129" t="s">
        <v>548</v>
      </c>
      <c r="B129">
        <v>2</v>
      </c>
      <c r="C129" t="s">
        <v>1</v>
      </c>
      <c r="D129">
        <v>700</v>
      </c>
      <c r="E129">
        <v>1439</v>
      </c>
      <c r="F129">
        <v>1193</v>
      </c>
      <c r="G129">
        <v>1749</v>
      </c>
      <c r="H129">
        <v>493</v>
      </c>
      <c r="I129">
        <v>310</v>
      </c>
      <c r="J129" t="s">
        <v>557</v>
      </c>
      <c r="K129" t="s">
        <v>475</v>
      </c>
      <c r="L129" t="s">
        <v>380</v>
      </c>
      <c r="M129">
        <v>946</v>
      </c>
      <c r="N129">
        <v>1594</v>
      </c>
      <c r="O129" t="s">
        <v>558</v>
      </c>
      <c r="P129" t="s">
        <v>102</v>
      </c>
      <c r="Q129" t="s">
        <v>552</v>
      </c>
      <c r="R129" t="s">
        <v>559</v>
      </c>
    </row>
    <row r="130" spans="1:18" x14ac:dyDescent="0.3">
      <c r="A130" t="s">
        <v>548</v>
      </c>
      <c r="B130">
        <v>3</v>
      </c>
      <c r="C130" t="s">
        <v>1</v>
      </c>
      <c r="D130">
        <v>1278</v>
      </c>
      <c r="E130">
        <v>1481</v>
      </c>
      <c r="F130">
        <v>1661</v>
      </c>
      <c r="G130">
        <v>1732</v>
      </c>
      <c r="H130">
        <v>383</v>
      </c>
      <c r="I130">
        <v>251</v>
      </c>
      <c r="J130" t="s">
        <v>560</v>
      </c>
      <c r="K130" t="s">
        <v>561</v>
      </c>
      <c r="L130" t="s">
        <v>562</v>
      </c>
      <c r="M130">
        <v>1469</v>
      </c>
      <c r="N130">
        <v>1606</v>
      </c>
      <c r="O130" t="s">
        <v>388</v>
      </c>
      <c r="P130" t="s">
        <v>130</v>
      </c>
      <c r="Q130" t="s">
        <v>552</v>
      </c>
      <c r="R130" t="s">
        <v>563</v>
      </c>
    </row>
    <row r="131" spans="1:18" x14ac:dyDescent="0.3">
      <c r="A131" t="s">
        <v>548</v>
      </c>
      <c r="B131">
        <v>4</v>
      </c>
      <c r="C131" t="s">
        <v>1</v>
      </c>
      <c r="D131">
        <v>0</v>
      </c>
      <c r="E131">
        <v>1484</v>
      </c>
      <c r="F131">
        <v>272</v>
      </c>
      <c r="G131">
        <v>1769</v>
      </c>
      <c r="H131">
        <v>272</v>
      </c>
      <c r="I131">
        <v>285</v>
      </c>
      <c r="J131" t="s">
        <v>436</v>
      </c>
      <c r="K131" t="s">
        <v>564</v>
      </c>
      <c r="L131" t="s">
        <v>295</v>
      </c>
      <c r="M131">
        <v>136</v>
      </c>
      <c r="N131">
        <v>1626</v>
      </c>
      <c r="O131" t="s">
        <v>437</v>
      </c>
      <c r="P131" t="s">
        <v>335</v>
      </c>
      <c r="Q131" t="s">
        <v>552</v>
      </c>
      <c r="R131" t="s">
        <v>331</v>
      </c>
    </row>
    <row r="132" spans="1:18" x14ac:dyDescent="0.3">
      <c r="A132" t="s">
        <v>565</v>
      </c>
      <c r="B132">
        <v>0</v>
      </c>
      <c r="C132" t="s">
        <v>1</v>
      </c>
      <c r="D132">
        <v>0</v>
      </c>
      <c r="E132">
        <v>1257</v>
      </c>
      <c r="F132">
        <v>382</v>
      </c>
      <c r="G132">
        <v>1545</v>
      </c>
      <c r="H132">
        <v>382</v>
      </c>
      <c r="I132">
        <v>288</v>
      </c>
      <c r="J132" t="s">
        <v>439</v>
      </c>
      <c r="K132" t="s">
        <v>566</v>
      </c>
      <c r="L132" t="s">
        <v>567</v>
      </c>
      <c r="M132">
        <v>191</v>
      </c>
      <c r="N132">
        <v>1401</v>
      </c>
      <c r="O132" t="s">
        <v>384</v>
      </c>
      <c r="P132" t="s">
        <v>80</v>
      </c>
      <c r="Q132" t="s">
        <v>568</v>
      </c>
      <c r="R132" t="s">
        <v>279</v>
      </c>
    </row>
    <row r="133" spans="1:18" x14ac:dyDescent="0.3">
      <c r="A133" t="s">
        <v>565</v>
      </c>
      <c r="B133">
        <v>1</v>
      </c>
      <c r="C133" t="s">
        <v>1</v>
      </c>
      <c r="D133">
        <v>287</v>
      </c>
      <c r="E133">
        <v>1262</v>
      </c>
      <c r="F133">
        <v>786</v>
      </c>
      <c r="G133">
        <v>1562</v>
      </c>
      <c r="H133">
        <v>499</v>
      </c>
      <c r="I133">
        <v>300</v>
      </c>
      <c r="J133" t="s">
        <v>533</v>
      </c>
      <c r="K133" t="s">
        <v>167</v>
      </c>
      <c r="L133" t="s">
        <v>61</v>
      </c>
      <c r="M133">
        <v>536</v>
      </c>
      <c r="N133">
        <v>1412</v>
      </c>
      <c r="O133" t="s">
        <v>535</v>
      </c>
      <c r="P133" t="s">
        <v>13</v>
      </c>
      <c r="Q133" t="s">
        <v>568</v>
      </c>
      <c r="R133" t="s">
        <v>569</v>
      </c>
    </row>
    <row r="134" spans="1:18" x14ac:dyDescent="0.3">
      <c r="A134" t="s">
        <v>565</v>
      </c>
      <c r="B134">
        <v>2</v>
      </c>
      <c r="C134" t="s">
        <v>1</v>
      </c>
      <c r="D134">
        <v>854</v>
      </c>
      <c r="E134">
        <v>1242</v>
      </c>
      <c r="F134">
        <v>1332</v>
      </c>
      <c r="G134">
        <v>1555</v>
      </c>
      <c r="H134">
        <v>478</v>
      </c>
      <c r="I134">
        <v>313</v>
      </c>
      <c r="J134" t="s">
        <v>570</v>
      </c>
      <c r="K134" t="s">
        <v>534</v>
      </c>
      <c r="L134" t="s">
        <v>562</v>
      </c>
      <c r="M134">
        <v>1093</v>
      </c>
      <c r="N134">
        <v>1398</v>
      </c>
      <c r="O134" t="s">
        <v>571</v>
      </c>
      <c r="P134" t="s">
        <v>19</v>
      </c>
      <c r="Q134" t="s">
        <v>568</v>
      </c>
      <c r="R134" t="s">
        <v>572</v>
      </c>
    </row>
    <row r="135" spans="1:18" x14ac:dyDescent="0.3">
      <c r="A135" t="s">
        <v>565</v>
      </c>
      <c r="B135">
        <v>3</v>
      </c>
      <c r="C135" t="s">
        <v>1</v>
      </c>
      <c r="D135">
        <v>1442</v>
      </c>
      <c r="E135">
        <v>1308</v>
      </c>
      <c r="F135">
        <v>1795</v>
      </c>
      <c r="G135">
        <v>1554</v>
      </c>
      <c r="H135">
        <v>353</v>
      </c>
      <c r="I135">
        <v>246</v>
      </c>
      <c r="J135" t="s">
        <v>482</v>
      </c>
      <c r="K135" t="s">
        <v>459</v>
      </c>
      <c r="L135" t="s">
        <v>573</v>
      </c>
      <c r="M135">
        <v>1618</v>
      </c>
      <c r="N135">
        <v>1431</v>
      </c>
      <c r="O135" t="s">
        <v>117</v>
      </c>
      <c r="P135" t="s">
        <v>335</v>
      </c>
      <c r="Q135" t="s">
        <v>568</v>
      </c>
      <c r="R135" t="s">
        <v>484</v>
      </c>
    </row>
    <row r="136" spans="1:18" x14ac:dyDescent="0.3">
      <c r="A136" t="s">
        <v>565</v>
      </c>
      <c r="B136">
        <v>4</v>
      </c>
      <c r="C136" t="s">
        <v>1</v>
      </c>
      <c r="D136">
        <v>1962</v>
      </c>
      <c r="E136">
        <v>1307</v>
      </c>
      <c r="F136">
        <v>2328</v>
      </c>
      <c r="G136">
        <v>1571</v>
      </c>
      <c r="H136">
        <v>366</v>
      </c>
      <c r="I136">
        <v>264</v>
      </c>
      <c r="J136" t="s">
        <v>574</v>
      </c>
      <c r="K136" t="s">
        <v>479</v>
      </c>
      <c r="L136" t="s">
        <v>575</v>
      </c>
      <c r="M136">
        <v>2145</v>
      </c>
      <c r="N136">
        <v>1439</v>
      </c>
      <c r="O136" t="s">
        <v>265</v>
      </c>
      <c r="P136" t="s">
        <v>197</v>
      </c>
      <c r="Q136" t="s">
        <v>568</v>
      </c>
      <c r="R136" t="s">
        <v>67</v>
      </c>
    </row>
    <row r="137" spans="1:18" x14ac:dyDescent="0.3">
      <c r="A137" t="s">
        <v>576</v>
      </c>
      <c r="B137">
        <v>0</v>
      </c>
      <c r="C137" t="s">
        <v>1</v>
      </c>
      <c r="D137">
        <v>0</v>
      </c>
      <c r="E137">
        <v>1373</v>
      </c>
      <c r="F137">
        <v>535</v>
      </c>
      <c r="G137">
        <v>1653</v>
      </c>
      <c r="H137">
        <v>535</v>
      </c>
      <c r="I137">
        <v>280</v>
      </c>
      <c r="J137" t="s">
        <v>577</v>
      </c>
      <c r="K137" t="s">
        <v>578</v>
      </c>
      <c r="L137" t="s">
        <v>579</v>
      </c>
      <c r="M137">
        <v>267</v>
      </c>
      <c r="N137">
        <v>1513</v>
      </c>
      <c r="O137" t="s">
        <v>580</v>
      </c>
      <c r="P137" t="s">
        <v>6</v>
      </c>
      <c r="Q137" t="s">
        <v>581</v>
      </c>
      <c r="R137" t="s">
        <v>582</v>
      </c>
    </row>
    <row r="138" spans="1:18" x14ac:dyDescent="0.3">
      <c r="A138" t="s">
        <v>576</v>
      </c>
      <c r="B138">
        <v>1</v>
      </c>
      <c r="C138" t="s">
        <v>1</v>
      </c>
      <c r="D138">
        <v>452</v>
      </c>
      <c r="E138">
        <v>1372</v>
      </c>
      <c r="F138">
        <v>922</v>
      </c>
      <c r="G138">
        <v>1666</v>
      </c>
      <c r="H138">
        <v>470</v>
      </c>
      <c r="I138">
        <v>294</v>
      </c>
      <c r="J138" t="s">
        <v>583</v>
      </c>
      <c r="K138" t="s">
        <v>440</v>
      </c>
      <c r="L138" t="s">
        <v>219</v>
      </c>
      <c r="M138">
        <v>687</v>
      </c>
      <c r="N138">
        <v>1519</v>
      </c>
      <c r="O138" t="s">
        <v>584</v>
      </c>
      <c r="P138" t="s">
        <v>80</v>
      </c>
      <c r="Q138" t="s">
        <v>581</v>
      </c>
      <c r="R138" t="s">
        <v>238</v>
      </c>
    </row>
    <row r="139" spans="1:18" x14ac:dyDescent="0.3">
      <c r="A139" t="s">
        <v>576</v>
      </c>
      <c r="B139">
        <v>2</v>
      </c>
      <c r="C139" t="s">
        <v>1</v>
      </c>
      <c r="D139">
        <v>992</v>
      </c>
      <c r="E139">
        <v>1332</v>
      </c>
      <c r="F139">
        <v>1454</v>
      </c>
      <c r="G139">
        <v>1639</v>
      </c>
      <c r="H139">
        <v>462</v>
      </c>
      <c r="I139">
        <v>307</v>
      </c>
      <c r="J139" t="s">
        <v>585</v>
      </c>
      <c r="K139" t="s">
        <v>586</v>
      </c>
      <c r="L139" t="s">
        <v>446</v>
      </c>
      <c r="M139">
        <v>1223</v>
      </c>
      <c r="N139">
        <v>1485</v>
      </c>
      <c r="O139" t="s">
        <v>587</v>
      </c>
      <c r="P139" t="s">
        <v>80</v>
      </c>
      <c r="Q139" t="s">
        <v>581</v>
      </c>
      <c r="R139" t="s">
        <v>328</v>
      </c>
    </row>
    <row r="140" spans="1:18" x14ac:dyDescent="0.3">
      <c r="A140" t="s">
        <v>576</v>
      </c>
      <c r="B140">
        <v>3</v>
      </c>
      <c r="C140" t="s">
        <v>1</v>
      </c>
      <c r="D140">
        <v>2067</v>
      </c>
      <c r="E140">
        <v>1363</v>
      </c>
      <c r="F140">
        <v>2443</v>
      </c>
      <c r="G140">
        <v>1628</v>
      </c>
      <c r="H140">
        <v>376</v>
      </c>
      <c r="I140">
        <v>265</v>
      </c>
      <c r="J140" t="s">
        <v>393</v>
      </c>
      <c r="K140" t="s">
        <v>119</v>
      </c>
      <c r="L140" t="s">
        <v>47</v>
      </c>
      <c r="M140">
        <v>2255</v>
      </c>
      <c r="N140">
        <v>1495</v>
      </c>
      <c r="O140" t="s">
        <v>395</v>
      </c>
      <c r="P140" t="s">
        <v>19</v>
      </c>
      <c r="Q140" t="s">
        <v>581</v>
      </c>
      <c r="R140" t="s">
        <v>240</v>
      </c>
    </row>
    <row r="141" spans="1:18" x14ac:dyDescent="0.3">
      <c r="A141" t="s">
        <v>576</v>
      </c>
      <c r="B141">
        <v>4</v>
      </c>
      <c r="C141" t="s">
        <v>1</v>
      </c>
      <c r="D141">
        <v>1470</v>
      </c>
      <c r="E141">
        <v>1352</v>
      </c>
      <c r="F141">
        <v>1921</v>
      </c>
      <c r="G141">
        <v>1620</v>
      </c>
      <c r="H141">
        <v>451</v>
      </c>
      <c r="I141">
        <v>268</v>
      </c>
      <c r="J141" t="s">
        <v>588</v>
      </c>
      <c r="K141" t="s">
        <v>5</v>
      </c>
      <c r="L141" t="s">
        <v>113</v>
      </c>
      <c r="M141">
        <v>1695</v>
      </c>
      <c r="N141">
        <v>1486</v>
      </c>
      <c r="O141" t="s">
        <v>589</v>
      </c>
      <c r="P141" t="s">
        <v>141</v>
      </c>
      <c r="Q141" t="s">
        <v>581</v>
      </c>
      <c r="R141" t="s">
        <v>6</v>
      </c>
    </row>
    <row r="142" spans="1:18" x14ac:dyDescent="0.3">
      <c r="A142" t="s">
        <v>590</v>
      </c>
      <c r="B142">
        <v>0</v>
      </c>
      <c r="C142" t="s">
        <v>1</v>
      </c>
      <c r="D142">
        <v>291</v>
      </c>
      <c r="E142">
        <v>1458</v>
      </c>
      <c r="F142">
        <v>786</v>
      </c>
      <c r="G142">
        <v>1763</v>
      </c>
      <c r="H142">
        <v>495</v>
      </c>
      <c r="I142">
        <v>305</v>
      </c>
      <c r="J142" t="s">
        <v>591</v>
      </c>
      <c r="K142" t="s">
        <v>592</v>
      </c>
      <c r="L142" t="s">
        <v>162</v>
      </c>
      <c r="M142">
        <v>538</v>
      </c>
      <c r="N142">
        <v>1610</v>
      </c>
      <c r="O142" t="s">
        <v>593</v>
      </c>
      <c r="P142" t="s">
        <v>80</v>
      </c>
      <c r="Q142" t="s">
        <v>594</v>
      </c>
      <c r="R142" t="s">
        <v>595</v>
      </c>
    </row>
    <row r="143" spans="1:18" x14ac:dyDescent="0.3">
      <c r="A143" t="s">
        <v>590</v>
      </c>
      <c r="B143">
        <v>1</v>
      </c>
      <c r="C143" t="s">
        <v>1</v>
      </c>
      <c r="D143">
        <v>0</v>
      </c>
      <c r="E143">
        <v>1453</v>
      </c>
      <c r="F143">
        <v>388</v>
      </c>
      <c r="G143">
        <v>1742</v>
      </c>
      <c r="H143">
        <v>388</v>
      </c>
      <c r="I143">
        <v>289</v>
      </c>
      <c r="J143" t="s">
        <v>596</v>
      </c>
      <c r="K143" t="s">
        <v>513</v>
      </c>
      <c r="L143" t="s">
        <v>401</v>
      </c>
      <c r="M143">
        <v>194</v>
      </c>
      <c r="N143">
        <v>1597</v>
      </c>
      <c r="O143" t="s">
        <v>597</v>
      </c>
      <c r="P143" t="s">
        <v>13</v>
      </c>
      <c r="Q143" t="s">
        <v>594</v>
      </c>
      <c r="R143" t="s">
        <v>397</v>
      </c>
    </row>
    <row r="144" spans="1:18" x14ac:dyDescent="0.3">
      <c r="A144" t="s">
        <v>590</v>
      </c>
      <c r="B144">
        <v>2</v>
      </c>
      <c r="C144" t="s">
        <v>1</v>
      </c>
      <c r="D144">
        <v>1955</v>
      </c>
      <c r="E144">
        <v>1469</v>
      </c>
      <c r="F144">
        <v>2323</v>
      </c>
      <c r="G144">
        <v>1741</v>
      </c>
      <c r="H144">
        <v>368</v>
      </c>
      <c r="I144">
        <v>272</v>
      </c>
      <c r="J144" t="s">
        <v>598</v>
      </c>
      <c r="K144" t="s">
        <v>599</v>
      </c>
      <c r="L144" t="s">
        <v>600</v>
      </c>
      <c r="M144">
        <v>2139</v>
      </c>
      <c r="N144">
        <v>1605</v>
      </c>
      <c r="O144" t="s">
        <v>601</v>
      </c>
      <c r="P144" t="s">
        <v>182</v>
      </c>
      <c r="Q144" t="s">
        <v>594</v>
      </c>
      <c r="R144" t="s">
        <v>14</v>
      </c>
    </row>
    <row r="145" spans="1:18" x14ac:dyDescent="0.3">
      <c r="A145" t="s">
        <v>590</v>
      </c>
      <c r="B145">
        <v>3</v>
      </c>
      <c r="C145" t="s">
        <v>1</v>
      </c>
      <c r="D145">
        <v>1340</v>
      </c>
      <c r="E145">
        <v>1458</v>
      </c>
      <c r="F145">
        <v>1709</v>
      </c>
      <c r="G145">
        <v>1726</v>
      </c>
      <c r="H145">
        <v>369</v>
      </c>
      <c r="I145">
        <v>268</v>
      </c>
      <c r="J145" t="s">
        <v>478</v>
      </c>
      <c r="K145" t="s">
        <v>5</v>
      </c>
      <c r="L145" t="s">
        <v>209</v>
      </c>
      <c r="M145">
        <v>1524</v>
      </c>
      <c r="N145">
        <v>1592</v>
      </c>
      <c r="O145" t="s">
        <v>480</v>
      </c>
      <c r="P145" t="s">
        <v>262</v>
      </c>
      <c r="Q145" t="s">
        <v>594</v>
      </c>
      <c r="R145" t="s">
        <v>602</v>
      </c>
    </row>
    <row r="146" spans="1:18" x14ac:dyDescent="0.3">
      <c r="A146" t="s">
        <v>603</v>
      </c>
      <c r="B146">
        <v>0</v>
      </c>
      <c r="C146" t="s">
        <v>1</v>
      </c>
      <c r="D146">
        <v>339</v>
      </c>
      <c r="E146">
        <v>1456</v>
      </c>
      <c r="F146">
        <v>822</v>
      </c>
      <c r="G146">
        <v>1756</v>
      </c>
      <c r="H146">
        <v>483</v>
      </c>
      <c r="I146">
        <v>300</v>
      </c>
      <c r="J146" t="s">
        <v>604</v>
      </c>
      <c r="K146" t="s">
        <v>167</v>
      </c>
      <c r="L146" t="s">
        <v>4</v>
      </c>
      <c r="M146">
        <v>580</v>
      </c>
      <c r="N146">
        <v>1606</v>
      </c>
      <c r="O146" t="s">
        <v>605</v>
      </c>
      <c r="P146" t="s">
        <v>80</v>
      </c>
      <c r="Q146" t="s">
        <v>606</v>
      </c>
      <c r="R146" t="s">
        <v>91</v>
      </c>
    </row>
    <row r="147" spans="1:18" x14ac:dyDescent="0.3">
      <c r="A147" t="s">
        <v>603</v>
      </c>
      <c r="B147">
        <v>1</v>
      </c>
      <c r="C147" t="s">
        <v>1</v>
      </c>
      <c r="D147">
        <v>0</v>
      </c>
      <c r="E147">
        <v>1457</v>
      </c>
      <c r="F147">
        <v>425</v>
      </c>
      <c r="G147">
        <v>1745</v>
      </c>
      <c r="H147">
        <v>425</v>
      </c>
      <c r="I147">
        <v>288</v>
      </c>
      <c r="J147" t="s">
        <v>607</v>
      </c>
      <c r="K147" t="s">
        <v>566</v>
      </c>
      <c r="L147" t="s">
        <v>608</v>
      </c>
      <c r="M147">
        <v>212</v>
      </c>
      <c r="N147">
        <v>1601</v>
      </c>
      <c r="O147" t="s">
        <v>10</v>
      </c>
      <c r="P147" t="s">
        <v>80</v>
      </c>
      <c r="Q147" t="s">
        <v>606</v>
      </c>
      <c r="R147" t="s">
        <v>609</v>
      </c>
    </row>
    <row r="148" spans="1:18" x14ac:dyDescent="0.3">
      <c r="A148" t="s">
        <v>603</v>
      </c>
      <c r="B148">
        <v>2</v>
      </c>
      <c r="C148" t="s">
        <v>1</v>
      </c>
      <c r="D148">
        <v>1979</v>
      </c>
      <c r="E148">
        <v>1440</v>
      </c>
      <c r="F148">
        <v>2345</v>
      </c>
      <c r="G148">
        <v>1700</v>
      </c>
      <c r="H148">
        <v>366</v>
      </c>
      <c r="I148">
        <v>260</v>
      </c>
      <c r="J148" t="s">
        <v>574</v>
      </c>
      <c r="K148" t="s">
        <v>541</v>
      </c>
      <c r="L148" t="s">
        <v>148</v>
      </c>
      <c r="M148">
        <v>2162</v>
      </c>
      <c r="N148">
        <v>1570</v>
      </c>
      <c r="O148" t="s">
        <v>265</v>
      </c>
      <c r="P148" t="s">
        <v>386</v>
      </c>
      <c r="Q148" t="s">
        <v>606</v>
      </c>
      <c r="R148" t="s">
        <v>481</v>
      </c>
    </row>
    <row r="149" spans="1:18" x14ac:dyDescent="0.3">
      <c r="A149" t="s">
        <v>603</v>
      </c>
      <c r="B149">
        <v>3</v>
      </c>
      <c r="C149" t="s">
        <v>1</v>
      </c>
      <c r="D149">
        <v>1374</v>
      </c>
      <c r="E149">
        <v>1434</v>
      </c>
      <c r="F149">
        <v>1830</v>
      </c>
      <c r="G149">
        <v>1706</v>
      </c>
      <c r="H149">
        <v>456</v>
      </c>
      <c r="I149">
        <v>272</v>
      </c>
      <c r="J149" t="s">
        <v>610</v>
      </c>
      <c r="K149" t="s">
        <v>599</v>
      </c>
      <c r="L149" t="s">
        <v>113</v>
      </c>
      <c r="M149">
        <v>1602</v>
      </c>
      <c r="N149">
        <v>1570</v>
      </c>
      <c r="O149" t="s">
        <v>611</v>
      </c>
      <c r="P149" t="s">
        <v>313</v>
      </c>
      <c r="Q149" t="s">
        <v>606</v>
      </c>
      <c r="R149" t="s">
        <v>612</v>
      </c>
    </row>
    <row r="150" spans="1:18" x14ac:dyDescent="0.3">
      <c r="A150" t="s">
        <v>613</v>
      </c>
      <c r="B150">
        <v>0</v>
      </c>
      <c r="C150" t="s">
        <v>1</v>
      </c>
      <c r="D150">
        <v>262</v>
      </c>
      <c r="E150">
        <v>1464</v>
      </c>
      <c r="F150">
        <v>762</v>
      </c>
      <c r="G150">
        <v>1762</v>
      </c>
      <c r="H150">
        <v>500</v>
      </c>
      <c r="I150">
        <v>298</v>
      </c>
      <c r="J150" t="s">
        <v>614</v>
      </c>
      <c r="K150" t="s">
        <v>177</v>
      </c>
      <c r="L150" t="s">
        <v>113</v>
      </c>
      <c r="M150">
        <v>512</v>
      </c>
      <c r="N150">
        <v>1613</v>
      </c>
      <c r="O150" t="s">
        <v>615</v>
      </c>
      <c r="P150" t="s">
        <v>246</v>
      </c>
      <c r="Q150" t="s">
        <v>616</v>
      </c>
      <c r="R150" t="s">
        <v>617</v>
      </c>
    </row>
    <row r="151" spans="1:18" x14ac:dyDescent="0.3">
      <c r="A151" t="s">
        <v>613</v>
      </c>
      <c r="B151">
        <v>1</v>
      </c>
      <c r="C151" t="s">
        <v>1</v>
      </c>
      <c r="D151">
        <v>0</v>
      </c>
      <c r="E151">
        <v>1461</v>
      </c>
      <c r="F151">
        <v>369</v>
      </c>
      <c r="G151">
        <v>1746</v>
      </c>
      <c r="H151">
        <v>369</v>
      </c>
      <c r="I151">
        <v>285</v>
      </c>
      <c r="J151" t="s">
        <v>478</v>
      </c>
      <c r="K151" t="s">
        <v>564</v>
      </c>
      <c r="L151" t="s">
        <v>618</v>
      </c>
      <c r="M151">
        <v>184</v>
      </c>
      <c r="N151">
        <v>1603</v>
      </c>
      <c r="O151" t="s">
        <v>480</v>
      </c>
      <c r="P151" t="s">
        <v>13</v>
      </c>
      <c r="Q151" t="s">
        <v>616</v>
      </c>
      <c r="R151" t="s">
        <v>619</v>
      </c>
    </row>
    <row r="152" spans="1:18" x14ac:dyDescent="0.3">
      <c r="A152" t="s">
        <v>613</v>
      </c>
      <c r="B152">
        <v>2</v>
      </c>
      <c r="C152" t="s">
        <v>1</v>
      </c>
      <c r="D152">
        <v>1908</v>
      </c>
      <c r="E152">
        <v>1481</v>
      </c>
      <c r="F152">
        <v>2281</v>
      </c>
      <c r="G152">
        <v>1745</v>
      </c>
      <c r="H152">
        <v>373</v>
      </c>
      <c r="I152">
        <v>264</v>
      </c>
      <c r="J152" t="s">
        <v>620</v>
      </c>
      <c r="K152" t="s">
        <v>479</v>
      </c>
      <c r="L152" t="s">
        <v>148</v>
      </c>
      <c r="M152">
        <v>2094</v>
      </c>
      <c r="N152">
        <v>1613</v>
      </c>
      <c r="O152" t="s">
        <v>621</v>
      </c>
      <c r="P152" t="s">
        <v>130</v>
      </c>
      <c r="Q152" t="s">
        <v>616</v>
      </c>
      <c r="R152" t="s">
        <v>168</v>
      </c>
    </row>
    <row r="153" spans="1:18" x14ac:dyDescent="0.3">
      <c r="A153" t="s">
        <v>613</v>
      </c>
      <c r="B153">
        <v>3</v>
      </c>
      <c r="C153" t="s">
        <v>1</v>
      </c>
      <c r="D153">
        <v>2729</v>
      </c>
      <c r="E153">
        <v>1530</v>
      </c>
      <c r="F153">
        <v>2894</v>
      </c>
      <c r="G153">
        <v>1626</v>
      </c>
      <c r="H153">
        <v>165</v>
      </c>
      <c r="I153">
        <v>96</v>
      </c>
      <c r="J153" t="s">
        <v>622</v>
      </c>
      <c r="K153" t="s">
        <v>508</v>
      </c>
      <c r="L153" t="s">
        <v>153</v>
      </c>
      <c r="M153">
        <v>2811</v>
      </c>
      <c r="N153">
        <v>1578</v>
      </c>
      <c r="O153" t="s">
        <v>623</v>
      </c>
      <c r="P153" t="s">
        <v>624</v>
      </c>
      <c r="Q153" t="s">
        <v>616</v>
      </c>
      <c r="R153" t="s">
        <v>37</v>
      </c>
    </row>
    <row r="154" spans="1:18" x14ac:dyDescent="0.3">
      <c r="A154" t="s">
        <v>625</v>
      </c>
      <c r="B154">
        <v>0</v>
      </c>
      <c r="C154" t="s">
        <v>1</v>
      </c>
      <c r="D154">
        <v>128</v>
      </c>
      <c r="E154">
        <v>1321</v>
      </c>
      <c r="F154">
        <v>643</v>
      </c>
      <c r="G154">
        <v>1627</v>
      </c>
      <c r="H154">
        <v>515</v>
      </c>
      <c r="I154">
        <v>306</v>
      </c>
      <c r="J154" t="s">
        <v>626</v>
      </c>
      <c r="K154" t="s">
        <v>627</v>
      </c>
      <c r="L154" t="s">
        <v>113</v>
      </c>
      <c r="M154">
        <v>385</v>
      </c>
      <c r="N154">
        <v>1474</v>
      </c>
      <c r="O154" t="s">
        <v>628</v>
      </c>
      <c r="P154" t="s">
        <v>6</v>
      </c>
      <c r="Q154" t="s">
        <v>629</v>
      </c>
      <c r="R154" t="s">
        <v>374</v>
      </c>
    </row>
    <row r="155" spans="1:18" x14ac:dyDescent="0.3">
      <c r="A155" t="s">
        <v>625</v>
      </c>
      <c r="B155">
        <v>1</v>
      </c>
      <c r="C155" t="s">
        <v>1</v>
      </c>
      <c r="D155">
        <v>611</v>
      </c>
      <c r="E155">
        <v>1319</v>
      </c>
      <c r="F155">
        <v>1219</v>
      </c>
      <c r="G155">
        <v>1611</v>
      </c>
      <c r="H155">
        <v>608</v>
      </c>
      <c r="I155">
        <v>292</v>
      </c>
      <c r="J155" t="s">
        <v>55</v>
      </c>
      <c r="K155" t="s">
        <v>298</v>
      </c>
      <c r="L155" t="s">
        <v>272</v>
      </c>
      <c r="M155">
        <v>915</v>
      </c>
      <c r="N155">
        <v>1465</v>
      </c>
      <c r="O155" t="s">
        <v>630</v>
      </c>
      <c r="P155" t="s">
        <v>80</v>
      </c>
      <c r="Q155" t="s">
        <v>629</v>
      </c>
      <c r="R155" t="s">
        <v>631</v>
      </c>
    </row>
    <row r="156" spans="1:18" x14ac:dyDescent="0.3">
      <c r="A156" t="s">
        <v>625</v>
      </c>
      <c r="B156">
        <v>2</v>
      </c>
      <c r="C156" t="s">
        <v>1</v>
      </c>
      <c r="D156">
        <v>2277</v>
      </c>
      <c r="E156">
        <v>1379</v>
      </c>
      <c r="F156">
        <v>2709</v>
      </c>
      <c r="G156">
        <v>1649</v>
      </c>
      <c r="H156">
        <v>432</v>
      </c>
      <c r="I156">
        <v>270</v>
      </c>
      <c r="J156" t="s">
        <v>632</v>
      </c>
      <c r="K156" t="s">
        <v>633</v>
      </c>
      <c r="L156" t="s">
        <v>219</v>
      </c>
      <c r="M156">
        <v>2493</v>
      </c>
      <c r="N156">
        <v>1514</v>
      </c>
      <c r="O156" t="s">
        <v>634</v>
      </c>
      <c r="P156" t="s">
        <v>141</v>
      </c>
      <c r="Q156" t="s">
        <v>629</v>
      </c>
      <c r="R156" t="s">
        <v>635</v>
      </c>
    </row>
    <row r="157" spans="1:18" x14ac:dyDescent="0.3">
      <c r="A157" t="s">
        <v>625</v>
      </c>
      <c r="B157">
        <v>3</v>
      </c>
      <c r="C157" t="s">
        <v>1</v>
      </c>
      <c r="D157">
        <v>1813</v>
      </c>
      <c r="E157">
        <v>1344</v>
      </c>
      <c r="F157">
        <v>2183</v>
      </c>
      <c r="G157">
        <v>1618</v>
      </c>
      <c r="H157">
        <v>370</v>
      </c>
      <c r="I157">
        <v>274</v>
      </c>
      <c r="J157" t="s">
        <v>413</v>
      </c>
      <c r="K157" t="s">
        <v>630</v>
      </c>
      <c r="L157" t="s">
        <v>600</v>
      </c>
      <c r="M157">
        <v>1998</v>
      </c>
      <c r="N157">
        <v>1481</v>
      </c>
      <c r="O157" t="s">
        <v>416</v>
      </c>
      <c r="P157" t="s">
        <v>182</v>
      </c>
      <c r="Q157" t="s">
        <v>629</v>
      </c>
      <c r="R157" t="s">
        <v>636</v>
      </c>
    </row>
    <row r="158" spans="1:18" x14ac:dyDescent="0.3">
      <c r="A158" t="s">
        <v>625</v>
      </c>
      <c r="B158">
        <v>4</v>
      </c>
      <c r="C158" t="s">
        <v>1</v>
      </c>
      <c r="D158">
        <v>1</v>
      </c>
      <c r="E158">
        <v>1314</v>
      </c>
      <c r="F158">
        <v>232</v>
      </c>
      <c r="G158">
        <v>1595</v>
      </c>
      <c r="H158">
        <v>231</v>
      </c>
      <c r="I158">
        <v>281</v>
      </c>
      <c r="J158" t="s">
        <v>637</v>
      </c>
      <c r="K158" t="s">
        <v>638</v>
      </c>
      <c r="L158" t="s">
        <v>262</v>
      </c>
      <c r="M158">
        <v>116</v>
      </c>
      <c r="N158">
        <v>1454</v>
      </c>
      <c r="O158" t="s">
        <v>639</v>
      </c>
      <c r="P158" t="s">
        <v>386</v>
      </c>
      <c r="Q158" t="s">
        <v>629</v>
      </c>
      <c r="R158" t="s">
        <v>640</v>
      </c>
    </row>
    <row r="159" spans="1:18" x14ac:dyDescent="0.3">
      <c r="A159" t="s">
        <v>625</v>
      </c>
      <c r="B159">
        <v>5</v>
      </c>
      <c r="C159" t="s">
        <v>1</v>
      </c>
      <c r="D159">
        <v>3630</v>
      </c>
      <c r="E159">
        <v>1427</v>
      </c>
      <c r="F159">
        <v>4030</v>
      </c>
      <c r="G159">
        <v>1714</v>
      </c>
      <c r="H159">
        <v>400</v>
      </c>
      <c r="I159">
        <v>287</v>
      </c>
      <c r="J159" t="s">
        <v>167</v>
      </c>
      <c r="K159" t="s">
        <v>470</v>
      </c>
      <c r="L159" t="s">
        <v>575</v>
      </c>
      <c r="M159">
        <v>3830</v>
      </c>
      <c r="N159">
        <v>1570</v>
      </c>
      <c r="O159" t="s">
        <v>641</v>
      </c>
      <c r="P159" t="s">
        <v>262</v>
      </c>
      <c r="Q159" t="s">
        <v>629</v>
      </c>
      <c r="R159" t="s">
        <v>642</v>
      </c>
    </row>
    <row r="160" spans="1:18" x14ac:dyDescent="0.3">
      <c r="A160" t="s">
        <v>643</v>
      </c>
      <c r="B160">
        <v>0</v>
      </c>
      <c r="C160" t="s">
        <v>1</v>
      </c>
      <c r="D160">
        <v>744</v>
      </c>
      <c r="E160">
        <v>1651</v>
      </c>
      <c r="F160">
        <v>1346</v>
      </c>
      <c r="G160">
        <v>1959</v>
      </c>
      <c r="H160">
        <v>602</v>
      </c>
      <c r="I160">
        <v>308</v>
      </c>
      <c r="J160" t="s">
        <v>480</v>
      </c>
      <c r="K160" t="s">
        <v>644</v>
      </c>
      <c r="L160" t="s">
        <v>645</v>
      </c>
      <c r="M160">
        <v>1045</v>
      </c>
      <c r="N160">
        <v>1805</v>
      </c>
      <c r="O160" t="s">
        <v>478</v>
      </c>
      <c r="P160" t="s">
        <v>80</v>
      </c>
      <c r="Q160" t="s">
        <v>646</v>
      </c>
      <c r="R160" t="s">
        <v>69</v>
      </c>
    </row>
    <row r="161" spans="1:18" x14ac:dyDescent="0.3">
      <c r="A161" t="s">
        <v>643</v>
      </c>
      <c r="B161">
        <v>1</v>
      </c>
      <c r="C161" t="s">
        <v>1</v>
      </c>
      <c r="D161">
        <v>0</v>
      </c>
      <c r="E161">
        <v>1679</v>
      </c>
      <c r="F161">
        <v>381</v>
      </c>
      <c r="G161">
        <v>1973</v>
      </c>
      <c r="H161">
        <v>381</v>
      </c>
      <c r="I161">
        <v>294</v>
      </c>
      <c r="J161" t="s">
        <v>647</v>
      </c>
      <c r="K161" t="s">
        <v>440</v>
      </c>
      <c r="L161" t="s">
        <v>441</v>
      </c>
      <c r="M161">
        <v>190</v>
      </c>
      <c r="N161">
        <v>1826</v>
      </c>
      <c r="O161" t="s">
        <v>648</v>
      </c>
      <c r="P161" t="s">
        <v>80</v>
      </c>
      <c r="Q161" t="s">
        <v>646</v>
      </c>
      <c r="R161" t="s">
        <v>186</v>
      </c>
    </row>
    <row r="162" spans="1:18" x14ac:dyDescent="0.3">
      <c r="A162" t="s">
        <v>643</v>
      </c>
      <c r="B162">
        <v>2</v>
      </c>
      <c r="C162" t="s">
        <v>1</v>
      </c>
      <c r="D162">
        <v>278</v>
      </c>
      <c r="E162">
        <v>1676</v>
      </c>
      <c r="F162">
        <v>771</v>
      </c>
      <c r="G162">
        <v>1977</v>
      </c>
      <c r="H162">
        <v>493</v>
      </c>
      <c r="I162">
        <v>301</v>
      </c>
      <c r="J162" t="s">
        <v>557</v>
      </c>
      <c r="K162" t="s">
        <v>649</v>
      </c>
      <c r="L162" t="s">
        <v>204</v>
      </c>
      <c r="M162">
        <v>524</v>
      </c>
      <c r="N162">
        <v>1826</v>
      </c>
      <c r="O162" t="s">
        <v>558</v>
      </c>
      <c r="P162" t="s">
        <v>80</v>
      </c>
      <c r="Q162" t="s">
        <v>646</v>
      </c>
      <c r="R162" t="s">
        <v>650</v>
      </c>
    </row>
    <row r="163" spans="1:18" x14ac:dyDescent="0.3">
      <c r="A163" t="s">
        <v>643</v>
      </c>
      <c r="B163">
        <v>3</v>
      </c>
      <c r="C163" t="s">
        <v>1</v>
      </c>
      <c r="D163">
        <v>2394</v>
      </c>
      <c r="E163">
        <v>1653</v>
      </c>
      <c r="F163">
        <v>2854</v>
      </c>
      <c r="G163">
        <v>1926</v>
      </c>
      <c r="H163">
        <v>460</v>
      </c>
      <c r="I163">
        <v>273</v>
      </c>
      <c r="J163" t="s">
        <v>301</v>
      </c>
      <c r="K163" t="s">
        <v>651</v>
      </c>
      <c r="L163" t="s">
        <v>113</v>
      </c>
      <c r="M163">
        <v>2624</v>
      </c>
      <c r="N163">
        <v>1789</v>
      </c>
      <c r="O163" t="s">
        <v>276</v>
      </c>
      <c r="P163" t="s">
        <v>80</v>
      </c>
      <c r="Q163" t="s">
        <v>646</v>
      </c>
      <c r="R163" t="s">
        <v>44</v>
      </c>
    </row>
    <row r="164" spans="1:18" x14ac:dyDescent="0.3">
      <c r="A164" t="s">
        <v>643</v>
      </c>
      <c r="B164">
        <v>4</v>
      </c>
      <c r="C164" t="s">
        <v>1</v>
      </c>
      <c r="D164">
        <v>3567</v>
      </c>
      <c r="E164">
        <v>1631</v>
      </c>
      <c r="F164">
        <v>3989</v>
      </c>
      <c r="G164">
        <v>1935</v>
      </c>
      <c r="H164">
        <v>422</v>
      </c>
      <c r="I164">
        <v>304</v>
      </c>
      <c r="J164" t="s">
        <v>245</v>
      </c>
      <c r="K164" t="s">
        <v>12</v>
      </c>
      <c r="L164" t="s">
        <v>575</v>
      </c>
      <c r="M164">
        <v>3778</v>
      </c>
      <c r="N164">
        <v>1783</v>
      </c>
      <c r="O164" t="s">
        <v>242</v>
      </c>
      <c r="P164" t="s">
        <v>102</v>
      </c>
      <c r="Q164" t="s">
        <v>646</v>
      </c>
      <c r="R164" t="s">
        <v>652</v>
      </c>
    </row>
    <row r="165" spans="1:18" x14ac:dyDescent="0.3">
      <c r="A165" t="s">
        <v>643</v>
      </c>
      <c r="B165">
        <v>5</v>
      </c>
      <c r="C165" t="s">
        <v>1</v>
      </c>
      <c r="D165">
        <v>1930</v>
      </c>
      <c r="E165">
        <v>1643</v>
      </c>
      <c r="F165">
        <v>2309</v>
      </c>
      <c r="G165">
        <v>1915</v>
      </c>
      <c r="H165">
        <v>379</v>
      </c>
      <c r="I165">
        <v>272</v>
      </c>
      <c r="J165" t="s">
        <v>553</v>
      </c>
      <c r="K165" t="s">
        <v>599</v>
      </c>
      <c r="L165" t="s">
        <v>575</v>
      </c>
      <c r="M165">
        <v>2119</v>
      </c>
      <c r="N165">
        <v>1779</v>
      </c>
      <c r="O165" t="s">
        <v>555</v>
      </c>
      <c r="P165" t="s">
        <v>182</v>
      </c>
      <c r="Q165" t="s">
        <v>646</v>
      </c>
      <c r="R165" t="s">
        <v>653</v>
      </c>
    </row>
    <row r="166" spans="1:18" x14ac:dyDescent="0.3">
      <c r="A166" t="s">
        <v>643</v>
      </c>
      <c r="B166">
        <v>6</v>
      </c>
      <c r="C166" t="s">
        <v>1</v>
      </c>
      <c r="D166">
        <v>3950</v>
      </c>
      <c r="E166">
        <v>1651</v>
      </c>
      <c r="F166">
        <v>4030</v>
      </c>
      <c r="G166">
        <v>1915</v>
      </c>
      <c r="H166">
        <v>80</v>
      </c>
      <c r="I166">
        <v>264</v>
      </c>
      <c r="J166" t="s">
        <v>89</v>
      </c>
      <c r="K166" t="s">
        <v>479</v>
      </c>
      <c r="L166" t="s">
        <v>654</v>
      </c>
      <c r="M166">
        <v>3990</v>
      </c>
      <c r="N166">
        <v>1783</v>
      </c>
      <c r="O166" t="s">
        <v>655</v>
      </c>
      <c r="P166" t="s">
        <v>656</v>
      </c>
      <c r="Q166" t="s">
        <v>646</v>
      </c>
      <c r="R166" t="s">
        <v>657</v>
      </c>
    </row>
    <row r="167" spans="1:18" x14ac:dyDescent="0.3">
      <c r="A167" t="s">
        <v>658</v>
      </c>
      <c r="B167">
        <v>0</v>
      </c>
      <c r="C167" t="s">
        <v>1</v>
      </c>
      <c r="D167">
        <v>156</v>
      </c>
      <c r="E167">
        <v>1376</v>
      </c>
      <c r="F167">
        <v>664</v>
      </c>
      <c r="G167">
        <v>1681</v>
      </c>
      <c r="H167">
        <v>508</v>
      </c>
      <c r="I167">
        <v>305</v>
      </c>
      <c r="J167" t="s">
        <v>203</v>
      </c>
      <c r="K167" t="s">
        <v>592</v>
      </c>
      <c r="L167" t="s">
        <v>23</v>
      </c>
      <c r="M167">
        <v>410</v>
      </c>
      <c r="N167">
        <v>1528</v>
      </c>
      <c r="O167" t="s">
        <v>659</v>
      </c>
      <c r="P167" t="s">
        <v>80</v>
      </c>
      <c r="Q167" t="s">
        <v>660</v>
      </c>
      <c r="R167" t="s">
        <v>661</v>
      </c>
    </row>
    <row r="168" spans="1:18" x14ac:dyDescent="0.3">
      <c r="A168" t="s">
        <v>658</v>
      </c>
      <c r="B168">
        <v>1</v>
      </c>
      <c r="C168" t="s">
        <v>1</v>
      </c>
      <c r="D168">
        <v>644</v>
      </c>
      <c r="E168">
        <v>1371</v>
      </c>
      <c r="F168">
        <v>1246</v>
      </c>
      <c r="G168">
        <v>1667</v>
      </c>
      <c r="H168">
        <v>602</v>
      </c>
      <c r="I168">
        <v>296</v>
      </c>
      <c r="J168" t="s">
        <v>480</v>
      </c>
      <c r="K168" t="s">
        <v>550</v>
      </c>
      <c r="L168" t="s">
        <v>345</v>
      </c>
      <c r="M168">
        <v>945</v>
      </c>
      <c r="N168">
        <v>1519</v>
      </c>
      <c r="O168" t="s">
        <v>478</v>
      </c>
      <c r="P168" t="s">
        <v>80</v>
      </c>
      <c r="Q168" t="s">
        <v>660</v>
      </c>
      <c r="R168" t="s">
        <v>662</v>
      </c>
    </row>
    <row r="169" spans="1:18" x14ac:dyDescent="0.3">
      <c r="A169" t="s">
        <v>658</v>
      </c>
      <c r="B169">
        <v>2</v>
      </c>
      <c r="C169" t="s">
        <v>1</v>
      </c>
      <c r="D169">
        <v>3330</v>
      </c>
      <c r="E169">
        <v>1441</v>
      </c>
      <c r="F169">
        <v>3817</v>
      </c>
      <c r="G169">
        <v>1744</v>
      </c>
      <c r="H169">
        <v>487</v>
      </c>
      <c r="I169">
        <v>303</v>
      </c>
      <c r="J169" t="s">
        <v>611</v>
      </c>
      <c r="K169" t="s">
        <v>663</v>
      </c>
      <c r="L169" t="s">
        <v>4</v>
      </c>
      <c r="M169">
        <v>3573</v>
      </c>
      <c r="N169">
        <v>1592</v>
      </c>
      <c r="O169" t="s">
        <v>610</v>
      </c>
      <c r="P169" t="s">
        <v>19</v>
      </c>
      <c r="Q169" t="s">
        <v>660</v>
      </c>
      <c r="R169" t="s">
        <v>336</v>
      </c>
    </row>
    <row r="170" spans="1:18" x14ac:dyDescent="0.3">
      <c r="A170" t="s">
        <v>658</v>
      </c>
      <c r="B170">
        <v>3</v>
      </c>
      <c r="C170" t="s">
        <v>1</v>
      </c>
      <c r="D170">
        <v>2293</v>
      </c>
      <c r="E170">
        <v>1429</v>
      </c>
      <c r="F170">
        <v>2736</v>
      </c>
      <c r="G170">
        <v>1695</v>
      </c>
      <c r="H170">
        <v>443</v>
      </c>
      <c r="I170">
        <v>266</v>
      </c>
      <c r="J170" t="s">
        <v>664</v>
      </c>
      <c r="K170" t="s">
        <v>665</v>
      </c>
      <c r="L170" t="s">
        <v>23</v>
      </c>
      <c r="M170">
        <v>2514</v>
      </c>
      <c r="N170">
        <v>1562</v>
      </c>
      <c r="O170" t="s">
        <v>666</v>
      </c>
      <c r="P170" t="s">
        <v>102</v>
      </c>
      <c r="Q170" t="s">
        <v>660</v>
      </c>
      <c r="R170" t="s">
        <v>602</v>
      </c>
    </row>
    <row r="171" spans="1:18" x14ac:dyDescent="0.3">
      <c r="A171" t="s">
        <v>658</v>
      </c>
      <c r="B171">
        <v>4</v>
      </c>
      <c r="C171" t="s">
        <v>1</v>
      </c>
      <c r="D171">
        <v>0</v>
      </c>
      <c r="E171">
        <v>1365</v>
      </c>
      <c r="F171">
        <v>259</v>
      </c>
      <c r="G171">
        <v>1660</v>
      </c>
      <c r="H171">
        <v>259</v>
      </c>
      <c r="I171">
        <v>295</v>
      </c>
      <c r="J171" t="s">
        <v>667</v>
      </c>
      <c r="K171" t="s">
        <v>668</v>
      </c>
      <c r="L171" t="s">
        <v>102</v>
      </c>
      <c r="M171">
        <v>129</v>
      </c>
      <c r="N171">
        <v>1512</v>
      </c>
      <c r="O171" t="s">
        <v>669</v>
      </c>
      <c r="P171" t="s">
        <v>102</v>
      </c>
      <c r="Q171" t="s">
        <v>660</v>
      </c>
      <c r="R171" t="s">
        <v>331</v>
      </c>
    </row>
    <row r="172" spans="1:18" x14ac:dyDescent="0.3">
      <c r="A172" t="s">
        <v>658</v>
      </c>
      <c r="B172">
        <v>5</v>
      </c>
      <c r="C172" t="s">
        <v>1</v>
      </c>
      <c r="D172">
        <v>1833</v>
      </c>
      <c r="E172">
        <v>1407</v>
      </c>
      <c r="F172">
        <v>2205</v>
      </c>
      <c r="G172">
        <v>1672</v>
      </c>
      <c r="H172">
        <v>372</v>
      </c>
      <c r="I172">
        <v>265</v>
      </c>
      <c r="J172" t="s">
        <v>670</v>
      </c>
      <c r="K172" t="s">
        <v>119</v>
      </c>
      <c r="L172" t="s">
        <v>11</v>
      </c>
      <c r="M172">
        <v>2019</v>
      </c>
      <c r="N172">
        <v>1539</v>
      </c>
      <c r="O172" t="s">
        <v>671</v>
      </c>
      <c r="P172" t="s">
        <v>57</v>
      </c>
      <c r="Q172" t="s">
        <v>660</v>
      </c>
      <c r="R172" t="s">
        <v>672</v>
      </c>
    </row>
    <row r="173" spans="1:18" x14ac:dyDescent="0.3">
      <c r="A173" t="s">
        <v>658</v>
      </c>
      <c r="B173">
        <v>6</v>
      </c>
      <c r="C173" t="s">
        <v>1</v>
      </c>
      <c r="D173">
        <v>3776</v>
      </c>
      <c r="E173">
        <v>1479</v>
      </c>
      <c r="F173">
        <v>4030</v>
      </c>
      <c r="G173">
        <v>1770</v>
      </c>
      <c r="H173">
        <v>254</v>
      </c>
      <c r="I173">
        <v>291</v>
      </c>
      <c r="J173" t="s">
        <v>352</v>
      </c>
      <c r="K173" t="s">
        <v>596</v>
      </c>
      <c r="L173" t="s">
        <v>130</v>
      </c>
      <c r="M173">
        <v>3903</v>
      </c>
      <c r="N173">
        <v>1624</v>
      </c>
      <c r="O173" t="s">
        <v>673</v>
      </c>
      <c r="P173" t="s">
        <v>36</v>
      </c>
      <c r="Q173" t="s">
        <v>660</v>
      </c>
      <c r="R173" t="s">
        <v>310</v>
      </c>
    </row>
    <row r="174" spans="1:18" x14ac:dyDescent="0.3">
      <c r="A174" t="s">
        <v>674</v>
      </c>
      <c r="B174">
        <v>0</v>
      </c>
      <c r="C174" t="s">
        <v>1</v>
      </c>
      <c r="D174">
        <v>0</v>
      </c>
      <c r="E174">
        <v>1288</v>
      </c>
      <c r="F174">
        <v>419</v>
      </c>
      <c r="G174">
        <v>1574</v>
      </c>
      <c r="H174">
        <v>419</v>
      </c>
      <c r="I174">
        <v>286</v>
      </c>
      <c r="J174" t="s">
        <v>675</v>
      </c>
      <c r="K174" t="s">
        <v>465</v>
      </c>
      <c r="L174" t="s">
        <v>456</v>
      </c>
      <c r="M174">
        <v>209</v>
      </c>
      <c r="N174">
        <v>1431</v>
      </c>
      <c r="O174" t="s">
        <v>676</v>
      </c>
      <c r="P174" t="s">
        <v>13</v>
      </c>
      <c r="Q174" t="s">
        <v>677</v>
      </c>
      <c r="R174" t="s">
        <v>495</v>
      </c>
    </row>
    <row r="175" spans="1:18" x14ac:dyDescent="0.3">
      <c r="A175" t="s">
        <v>674</v>
      </c>
      <c r="B175">
        <v>1</v>
      </c>
      <c r="C175" t="s">
        <v>1</v>
      </c>
      <c r="D175">
        <v>713</v>
      </c>
      <c r="E175">
        <v>1242</v>
      </c>
      <c r="F175">
        <v>1327</v>
      </c>
      <c r="G175">
        <v>1558</v>
      </c>
      <c r="H175">
        <v>614</v>
      </c>
      <c r="I175">
        <v>316</v>
      </c>
      <c r="J175" t="s">
        <v>678</v>
      </c>
      <c r="K175" t="s">
        <v>538</v>
      </c>
      <c r="L175" t="s">
        <v>466</v>
      </c>
      <c r="M175">
        <v>1020</v>
      </c>
      <c r="N175">
        <v>1400</v>
      </c>
      <c r="O175" t="s">
        <v>679</v>
      </c>
      <c r="P175" t="s">
        <v>19</v>
      </c>
      <c r="Q175" t="s">
        <v>677</v>
      </c>
      <c r="R175" t="s">
        <v>30</v>
      </c>
    </row>
    <row r="176" spans="1:18" x14ac:dyDescent="0.3">
      <c r="A176" t="s">
        <v>674</v>
      </c>
      <c r="B176">
        <v>2</v>
      </c>
      <c r="C176" t="s">
        <v>1</v>
      </c>
      <c r="D176">
        <v>3320</v>
      </c>
      <c r="E176">
        <v>1178</v>
      </c>
      <c r="F176">
        <v>3932</v>
      </c>
      <c r="G176">
        <v>1490</v>
      </c>
      <c r="H176">
        <v>612</v>
      </c>
      <c r="I176">
        <v>312</v>
      </c>
      <c r="J176" t="s">
        <v>680</v>
      </c>
      <c r="K176" t="s">
        <v>503</v>
      </c>
      <c r="L176" t="s">
        <v>681</v>
      </c>
      <c r="M176">
        <v>3626</v>
      </c>
      <c r="N176">
        <v>1334</v>
      </c>
      <c r="O176" t="s">
        <v>543</v>
      </c>
      <c r="P176" t="s">
        <v>19</v>
      </c>
      <c r="Q176" t="s">
        <v>677</v>
      </c>
      <c r="R176" t="s">
        <v>682</v>
      </c>
    </row>
    <row r="177" spans="1:18" x14ac:dyDescent="0.3">
      <c r="A177" t="s">
        <v>674</v>
      </c>
      <c r="B177">
        <v>3</v>
      </c>
      <c r="C177" t="s">
        <v>1</v>
      </c>
      <c r="D177">
        <v>1900</v>
      </c>
      <c r="E177">
        <v>1222</v>
      </c>
      <c r="F177">
        <v>2275</v>
      </c>
      <c r="G177">
        <v>1493</v>
      </c>
      <c r="H177">
        <v>375</v>
      </c>
      <c r="I177">
        <v>271</v>
      </c>
      <c r="J177" t="s">
        <v>683</v>
      </c>
      <c r="K177" t="s">
        <v>450</v>
      </c>
      <c r="L177" t="s">
        <v>209</v>
      </c>
      <c r="M177">
        <v>2087</v>
      </c>
      <c r="N177">
        <v>1357</v>
      </c>
      <c r="O177" t="s">
        <v>684</v>
      </c>
      <c r="P177" t="s">
        <v>19</v>
      </c>
      <c r="Q177" t="s">
        <v>677</v>
      </c>
      <c r="R177" t="s">
        <v>685</v>
      </c>
    </row>
    <row r="178" spans="1:18" x14ac:dyDescent="0.3">
      <c r="A178" t="s">
        <v>674</v>
      </c>
      <c r="B178">
        <v>4</v>
      </c>
      <c r="C178" t="s">
        <v>1</v>
      </c>
      <c r="D178">
        <v>2363</v>
      </c>
      <c r="E178">
        <v>1230</v>
      </c>
      <c r="F178">
        <v>2814</v>
      </c>
      <c r="G178">
        <v>1500</v>
      </c>
      <c r="H178">
        <v>451</v>
      </c>
      <c r="I178">
        <v>270</v>
      </c>
      <c r="J178" t="s">
        <v>588</v>
      </c>
      <c r="K178" t="s">
        <v>633</v>
      </c>
      <c r="L178" t="s">
        <v>23</v>
      </c>
      <c r="M178">
        <v>2588</v>
      </c>
      <c r="N178">
        <v>1365</v>
      </c>
      <c r="O178" t="s">
        <v>589</v>
      </c>
      <c r="P178" t="s">
        <v>130</v>
      </c>
      <c r="Q178" t="s">
        <v>677</v>
      </c>
      <c r="R178" t="s">
        <v>182</v>
      </c>
    </row>
    <row r="179" spans="1:18" x14ac:dyDescent="0.3">
      <c r="A179" t="s">
        <v>674</v>
      </c>
      <c r="B179">
        <v>5</v>
      </c>
      <c r="C179" t="s">
        <v>1</v>
      </c>
      <c r="D179">
        <v>1348</v>
      </c>
      <c r="E179">
        <v>1207</v>
      </c>
      <c r="F179">
        <v>1722</v>
      </c>
      <c r="G179">
        <v>1499</v>
      </c>
      <c r="H179">
        <v>374</v>
      </c>
      <c r="I179">
        <v>292</v>
      </c>
      <c r="J179" t="s">
        <v>275</v>
      </c>
      <c r="K179" t="s">
        <v>298</v>
      </c>
      <c r="L179" t="s">
        <v>686</v>
      </c>
      <c r="M179">
        <v>1535</v>
      </c>
      <c r="N179">
        <v>1353</v>
      </c>
      <c r="O179" t="s">
        <v>278</v>
      </c>
      <c r="P179" t="s">
        <v>182</v>
      </c>
      <c r="Q179" t="s">
        <v>677</v>
      </c>
      <c r="R179" t="s">
        <v>130</v>
      </c>
    </row>
    <row r="180" spans="1:18" x14ac:dyDescent="0.3">
      <c r="A180" t="s">
        <v>674</v>
      </c>
      <c r="B180">
        <v>6</v>
      </c>
      <c r="C180" t="s">
        <v>1</v>
      </c>
      <c r="D180">
        <v>2796</v>
      </c>
      <c r="E180">
        <v>1109</v>
      </c>
      <c r="F180">
        <v>3380</v>
      </c>
      <c r="G180">
        <v>1487</v>
      </c>
      <c r="H180">
        <v>584</v>
      </c>
      <c r="I180">
        <v>378</v>
      </c>
      <c r="J180" t="s">
        <v>156</v>
      </c>
      <c r="K180" t="s">
        <v>137</v>
      </c>
      <c r="L180" t="s">
        <v>327</v>
      </c>
      <c r="M180">
        <v>3088</v>
      </c>
      <c r="N180">
        <v>1298</v>
      </c>
      <c r="O180" t="s">
        <v>158</v>
      </c>
      <c r="P180" t="s">
        <v>104</v>
      </c>
      <c r="Q180" t="s">
        <v>677</v>
      </c>
      <c r="R180" t="s">
        <v>687</v>
      </c>
    </row>
    <row r="181" spans="1:18" x14ac:dyDescent="0.3">
      <c r="A181" t="s">
        <v>674</v>
      </c>
      <c r="B181">
        <v>7</v>
      </c>
      <c r="C181" t="s">
        <v>1</v>
      </c>
      <c r="D181">
        <v>3898</v>
      </c>
      <c r="E181">
        <v>1178</v>
      </c>
      <c r="F181">
        <v>4030</v>
      </c>
      <c r="G181">
        <v>1468</v>
      </c>
      <c r="H181">
        <v>132</v>
      </c>
      <c r="I181">
        <v>290</v>
      </c>
      <c r="J181" t="s">
        <v>688</v>
      </c>
      <c r="K181" t="s">
        <v>491</v>
      </c>
      <c r="L181" t="s">
        <v>108</v>
      </c>
      <c r="M181">
        <v>3964</v>
      </c>
      <c r="N181">
        <v>1323</v>
      </c>
      <c r="O181" t="s">
        <v>689</v>
      </c>
      <c r="P181" t="s">
        <v>690</v>
      </c>
      <c r="Q181" t="s">
        <v>677</v>
      </c>
      <c r="R181" t="s">
        <v>691</v>
      </c>
    </row>
    <row r="182" spans="1:18" x14ac:dyDescent="0.3">
      <c r="A182" t="s">
        <v>674</v>
      </c>
      <c r="B182">
        <v>8</v>
      </c>
      <c r="C182" t="s">
        <v>1</v>
      </c>
      <c r="D182">
        <v>2726</v>
      </c>
      <c r="E182">
        <v>1244</v>
      </c>
      <c r="F182">
        <v>2847</v>
      </c>
      <c r="G182">
        <v>1328</v>
      </c>
      <c r="H182">
        <v>121</v>
      </c>
      <c r="I182">
        <v>84</v>
      </c>
      <c r="J182" t="s">
        <v>692</v>
      </c>
      <c r="K182" t="s">
        <v>693</v>
      </c>
      <c r="L182" t="s">
        <v>492</v>
      </c>
      <c r="M182">
        <v>2786</v>
      </c>
      <c r="N182">
        <v>1286</v>
      </c>
      <c r="O182" t="s">
        <v>694</v>
      </c>
      <c r="P182" t="s">
        <v>695</v>
      </c>
      <c r="Q182" t="s">
        <v>677</v>
      </c>
      <c r="R182" t="s">
        <v>696</v>
      </c>
    </row>
    <row r="183" spans="1:18" x14ac:dyDescent="0.3">
      <c r="A183" t="s">
        <v>697</v>
      </c>
      <c r="B183">
        <v>0</v>
      </c>
      <c r="C183" t="s">
        <v>1</v>
      </c>
      <c r="D183">
        <v>721</v>
      </c>
      <c r="E183">
        <v>1346</v>
      </c>
      <c r="F183">
        <v>1326</v>
      </c>
      <c r="G183">
        <v>1649</v>
      </c>
      <c r="H183">
        <v>605</v>
      </c>
      <c r="I183">
        <v>303</v>
      </c>
      <c r="J183" t="s">
        <v>698</v>
      </c>
      <c r="K183" t="s">
        <v>663</v>
      </c>
      <c r="L183" t="s">
        <v>699</v>
      </c>
      <c r="M183">
        <v>1023</v>
      </c>
      <c r="N183">
        <v>1497</v>
      </c>
      <c r="O183" t="s">
        <v>454</v>
      </c>
      <c r="P183" t="s">
        <v>13</v>
      </c>
      <c r="Q183" t="s">
        <v>700</v>
      </c>
      <c r="R183" t="s">
        <v>701</v>
      </c>
    </row>
    <row r="184" spans="1:18" x14ac:dyDescent="0.3">
      <c r="A184" t="s">
        <v>697</v>
      </c>
      <c r="B184">
        <v>1</v>
      </c>
      <c r="C184" t="s">
        <v>1</v>
      </c>
      <c r="D184">
        <v>0</v>
      </c>
      <c r="E184">
        <v>1359</v>
      </c>
      <c r="F184">
        <v>426</v>
      </c>
      <c r="G184">
        <v>1643</v>
      </c>
      <c r="H184">
        <v>426</v>
      </c>
      <c r="I184">
        <v>284</v>
      </c>
      <c r="J184" t="s">
        <v>702</v>
      </c>
      <c r="K184" t="s">
        <v>703</v>
      </c>
      <c r="L184" t="s">
        <v>446</v>
      </c>
      <c r="M184">
        <v>213</v>
      </c>
      <c r="N184">
        <v>1501</v>
      </c>
      <c r="O184" t="s">
        <v>46</v>
      </c>
      <c r="P184" t="s">
        <v>13</v>
      </c>
      <c r="Q184" t="s">
        <v>700</v>
      </c>
      <c r="R184" t="s">
        <v>704</v>
      </c>
    </row>
    <row r="185" spans="1:18" x14ac:dyDescent="0.3">
      <c r="A185" t="s">
        <v>697</v>
      </c>
      <c r="B185">
        <v>2</v>
      </c>
      <c r="C185" t="s">
        <v>1</v>
      </c>
      <c r="D185">
        <v>3333</v>
      </c>
      <c r="E185">
        <v>1370</v>
      </c>
      <c r="F185">
        <v>3927</v>
      </c>
      <c r="G185">
        <v>1677</v>
      </c>
      <c r="H185">
        <v>594</v>
      </c>
      <c r="I185">
        <v>307</v>
      </c>
      <c r="J185" t="s">
        <v>278</v>
      </c>
      <c r="K185" t="s">
        <v>586</v>
      </c>
      <c r="L185" t="s">
        <v>409</v>
      </c>
      <c r="M185">
        <v>3630</v>
      </c>
      <c r="N185">
        <v>1523</v>
      </c>
      <c r="O185" t="s">
        <v>705</v>
      </c>
      <c r="P185" t="s">
        <v>19</v>
      </c>
      <c r="Q185" t="s">
        <v>700</v>
      </c>
      <c r="R185" t="s">
        <v>75</v>
      </c>
    </row>
    <row r="186" spans="1:18" x14ac:dyDescent="0.3">
      <c r="A186" t="s">
        <v>697</v>
      </c>
      <c r="B186">
        <v>3</v>
      </c>
      <c r="C186" t="s">
        <v>1</v>
      </c>
      <c r="D186">
        <v>1899</v>
      </c>
      <c r="E186">
        <v>1362</v>
      </c>
      <c r="F186">
        <v>2273</v>
      </c>
      <c r="G186">
        <v>1625</v>
      </c>
      <c r="H186">
        <v>374</v>
      </c>
      <c r="I186">
        <v>263</v>
      </c>
      <c r="J186" t="s">
        <v>275</v>
      </c>
      <c r="K186" t="s">
        <v>706</v>
      </c>
      <c r="L186" t="s">
        <v>47</v>
      </c>
      <c r="M186">
        <v>2086</v>
      </c>
      <c r="N186">
        <v>1493</v>
      </c>
      <c r="O186" t="s">
        <v>278</v>
      </c>
      <c r="P186" t="s">
        <v>130</v>
      </c>
      <c r="Q186" t="s">
        <v>700</v>
      </c>
      <c r="R186" t="s">
        <v>49</v>
      </c>
    </row>
    <row r="187" spans="1:18" x14ac:dyDescent="0.3">
      <c r="A187" t="s">
        <v>697</v>
      </c>
      <c r="B187">
        <v>4</v>
      </c>
      <c r="C187" t="s">
        <v>1</v>
      </c>
      <c r="D187">
        <v>1347</v>
      </c>
      <c r="E187">
        <v>1324</v>
      </c>
      <c r="F187">
        <v>1739</v>
      </c>
      <c r="G187">
        <v>1613</v>
      </c>
      <c r="H187">
        <v>392</v>
      </c>
      <c r="I187">
        <v>289</v>
      </c>
      <c r="J187" t="s">
        <v>440</v>
      </c>
      <c r="K187" t="s">
        <v>513</v>
      </c>
      <c r="L187" t="s">
        <v>166</v>
      </c>
      <c r="M187">
        <v>1543</v>
      </c>
      <c r="N187">
        <v>1468</v>
      </c>
      <c r="O187" t="s">
        <v>707</v>
      </c>
      <c r="P187" t="s">
        <v>197</v>
      </c>
      <c r="Q187" t="s">
        <v>700</v>
      </c>
      <c r="R187" t="s">
        <v>635</v>
      </c>
    </row>
    <row r="188" spans="1:18" x14ac:dyDescent="0.3">
      <c r="A188" t="s">
        <v>697</v>
      </c>
      <c r="B188">
        <v>5</v>
      </c>
      <c r="C188" t="s">
        <v>1</v>
      </c>
      <c r="D188">
        <v>2363</v>
      </c>
      <c r="E188">
        <v>1378</v>
      </c>
      <c r="F188">
        <v>2814</v>
      </c>
      <c r="G188">
        <v>1651</v>
      </c>
      <c r="H188">
        <v>451</v>
      </c>
      <c r="I188">
        <v>273</v>
      </c>
      <c r="J188" t="s">
        <v>588</v>
      </c>
      <c r="K188" t="s">
        <v>651</v>
      </c>
      <c r="L188" t="s">
        <v>34</v>
      </c>
      <c r="M188">
        <v>2588</v>
      </c>
      <c r="N188">
        <v>1514</v>
      </c>
      <c r="O188" t="s">
        <v>589</v>
      </c>
      <c r="P188" t="s">
        <v>198</v>
      </c>
      <c r="Q188" t="s">
        <v>700</v>
      </c>
      <c r="R188" t="s">
        <v>708</v>
      </c>
    </row>
    <row r="189" spans="1:18" x14ac:dyDescent="0.3">
      <c r="A189" t="s">
        <v>697</v>
      </c>
      <c r="B189">
        <v>6</v>
      </c>
      <c r="C189" t="s">
        <v>1</v>
      </c>
      <c r="D189">
        <v>2795</v>
      </c>
      <c r="E189">
        <v>1283</v>
      </c>
      <c r="F189">
        <v>3369</v>
      </c>
      <c r="G189">
        <v>1655</v>
      </c>
      <c r="H189">
        <v>574</v>
      </c>
      <c r="I189">
        <v>372</v>
      </c>
      <c r="J189" t="s">
        <v>709</v>
      </c>
      <c r="K189" t="s">
        <v>710</v>
      </c>
      <c r="L189" t="s">
        <v>327</v>
      </c>
      <c r="M189">
        <v>3082</v>
      </c>
      <c r="N189">
        <v>1469</v>
      </c>
      <c r="O189" t="s">
        <v>711</v>
      </c>
      <c r="P189" t="s">
        <v>96</v>
      </c>
      <c r="Q189" t="s">
        <v>700</v>
      </c>
      <c r="R189" t="s">
        <v>712</v>
      </c>
    </row>
    <row r="190" spans="1:18" x14ac:dyDescent="0.3">
      <c r="A190" t="s">
        <v>697</v>
      </c>
      <c r="B190">
        <v>7</v>
      </c>
      <c r="C190" t="s">
        <v>1</v>
      </c>
      <c r="D190">
        <v>3891</v>
      </c>
      <c r="E190">
        <v>1404</v>
      </c>
      <c r="F190">
        <v>4030</v>
      </c>
      <c r="G190">
        <v>1667</v>
      </c>
      <c r="H190">
        <v>139</v>
      </c>
      <c r="I190">
        <v>263</v>
      </c>
      <c r="J190" t="s">
        <v>713</v>
      </c>
      <c r="K190" t="s">
        <v>706</v>
      </c>
      <c r="L190" t="s">
        <v>361</v>
      </c>
      <c r="M190">
        <v>3960</v>
      </c>
      <c r="N190">
        <v>1535</v>
      </c>
      <c r="O190" t="s">
        <v>714</v>
      </c>
      <c r="P190" t="s">
        <v>695</v>
      </c>
      <c r="Q190" t="s">
        <v>700</v>
      </c>
      <c r="R190" t="s">
        <v>715</v>
      </c>
    </row>
    <row r="191" spans="1:18" x14ac:dyDescent="0.3">
      <c r="A191" t="s">
        <v>697</v>
      </c>
      <c r="B191">
        <v>8</v>
      </c>
      <c r="C191" t="s">
        <v>1</v>
      </c>
      <c r="D191">
        <v>2721</v>
      </c>
      <c r="E191">
        <v>1393</v>
      </c>
      <c r="F191">
        <v>2848</v>
      </c>
      <c r="G191">
        <v>1479</v>
      </c>
      <c r="H191">
        <v>127</v>
      </c>
      <c r="I191">
        <v>86</v>
      </c>
      <c r="J191" t="s">
        <v>716</v>
      </c>
      <c r="K191" t="s">
        <v>717</v>
      </c>
      <c r="L191" t="s">
        <v>608</v>
      </c>
      <c r="M191">
        <v>2784</v>
      </c>
      <c r="N191">
        <v>1436</v>
      </c>
      <c r="O191" t="s">
        <v>718</v>
      </c>
      <c r="P191" t="s">
        <v>115</v>
      </c>
      <c r="Q191" t="s">
        <v>700</v>
      </c>
      <c r="R191" t="s">
        <v>719</v>
      </c>
    </row>
    <row r="192" spans="1:18" x14ac:dyDescent="0.3">
      <c r="A192" t="s">
        <v>697</v>
      </c>
      <c r="B192">
        <v>9</v>
      </c>
      <c r="C192" t="s">
        <v>1</v>
      </c>
      <c r="D192">
        <v>3252</v>
      </c>
      <c r="E192">
        <v>1280</v>
      </c>
      <c r="F192">
        <v>3373</v>
      </c>
      <c r="G192">
        <v>1658</v>
      </c>
      <c r="H192">
        <v>121</v>
      </c>
      <c r="I192">
        <v>378</v>
      </c>
      <c r="J192" t="s">
        <v>692</v>
      </c>
      <c r="K192" t="s">
        <v>137</v>
      </c>
      <c r="L192" t="s">
        <v>720</v>
      </c>
      <c r="M192">
        <v>3312</v>
      </c>
      <c r="N192">
        <v>1469</v>
      </c>
      <c r="O192" t="s">
        <v>694</v>
      </c>
      <c r="P192" t="s">
        <v>721</v>
      </c>
      <c r="Q192" t="s">
        <v>700</v>
      </c>
      <c r="R192" t="s">
        <v>722</v>
      </c>
    </row>
    <row r="193" spans="1:18" x14ac:dyDescent="0.3">
      <c r="A193" t="s">
        <v>723</v>
      </c>
      <c r="B193">
        <v>0</v>
      </c>
      <c r="C193" t="s">
        <v>1</v>
      </c>
      <c r="D193">
        <v>792</v>
      </c>
      <c r="E193">
        <v>1371</v>
      </c>
      <c r="F193">
        <v>1391</v>
      </c>
      <c r="G193">
        <v>1677</v>
      </c>
      <c r="H193">
        <v>599</v>
      </c>
      <c r="I193">
        <v>306</v>
      </c>
      <c r="J193" t="s">
        <v>229</v>
      </c>
      <c r="K193" t="s">
        <v>627</v>
      </c>
      <c r="L193" t="s">
        <v>681</v>
      </c>
      <c r="M193">
        <v>1091</v>
      </c>
      <c r="N193">
        <v>1524</v>
      </c>
      <c r="O193" t="s">
        <v>232</v>
      </c>
      <c r="P193" t="s">
        <v>19</v>
      </c>
      <c r="Q193" t="s">
        <v>724</v>
      </c>
      <c r="R193" t="s">
        <v>400</v>
      </c>
    </row>
    <row r="194" spans="1:18" x14ac:dyDescent="0.3">
      <c r="A194" t="s">
        <v>723</v>
      </c>
      <c r="B194">
        <v>1</v>
      </c>
      <c r="C194" t="s">
        <v>1</v>
      </c>
      <c r="D194">
        <v>1961</v>
      </c>
      <c r="E194">
        <v>1400</v>
      </c>
      <c r="F194">
        <v>2332</v>
      </c>
      <c r="G194">
        <v>1677</v>
      </c>
      <c r="H194">
        <v>371</v>
      </c>
      <c r="I194">
        <v>277</v>
      </c>
      <c r="J194" t="s">
        <v>232</v>
      </c>
      <c r="K194" t="s">
        <v>725</v>
      </c>
      <c r="L194" t="s">
        <v>401</v>
      </c>
      <c r="M194">
        <v>2146</v>
      </c>
      <c r="N194">
        <v>1538</v>
      </c>
      <c r="O194" t="s">
        <v>521</v>
      </c>
      <c r="P194" t="s">
        <v>19</v>
      </c>
      <c r="Q194" t="s">
        <v>724</v>
      </c>
      <c r="R194" t="s">
        <v>227</v>
      </c>
    </row>
    <row r="195" spans="1:18" x14ac:dyDescent="0.3">
      <c r="A195" t="s">
        <v>723</v>
      </c>
      <c r="B195">
        <v>2</v>
      </c>
      <c r="C195" t="s">
        <v>1</v>
      </c>
      <c r="D195">
        <v>2427</v>
      </c>
      <c r="E195">
        <v>1428</v>
      </c>
      <c r="F195">
        <v>2889</v>
      </c>
      <c r="G195">
        <v>1712</v>
      </c>
      <c r="H195">
        <v>462</v>
      </c>
      <c r="I195">
        <v>284</v>
      </c>
      <c r="J195" t="s">
        <v>585</v>
      </c>
      <c r="K195" t="s">
        <v>703</v>
      </c>
      <c r="L195" t="s">
        <v>41</v>
      </c>
      <c r="M195">
        <v>2658</v>
      </c>
      <c r="N195">
        <v>1570</v>
      </c>
      <c r="O195" t="s">
        <v>587</v>
      </c>
      <c r="P195" t="s">
        <v>262</v>
      </c>
      <c r="Q195" t="s">
        <v>724</v>
      </c>
      <c r="R195" t="s">
        <v>335</v>
      </c>
    </row>
    <row r="196" spans="1:18" x14ac:dyDescent="0.3">
      <c r="A196" t="s">
        <v>723</v>
      </c>
      <c r="B196">
        <v>3</v>
      </c>
      <c r="C196" t="s">
        <v>1</v>
      </c>
      <c r="D196">
        <v>1415</v>
      </c>
      <c r="E196">
        <v>1357</v>
      </c>
      <c r="F196">
        <v>1801</v>
      </c>
      <c r="G196">
        <v>1649</v>
      </c>
      <c r="H196">
        <v>386</v>
      </c>
      <c r="I196">
        <v>292</v>
      </c>
      <c r="J196" t="s">
        <v>726</v>
      </c>
      <c r="K196" t="s">
        <v>298</v>
      </c>
      <c r="L196" t="s">
        <v>239</v>
      </c>
      <c r="M196">
        <v>1608</v>
      </c>
      <c r="N196">
        <v>1503</v>
      </c>
      <c r="O196" t="s">
        <v>727</v>
      </c>
      <c r="P196" t="s">
        <v>197</v>
      </c>
      <c r="Q196" t="s">
        <v>724</v>
      </c>
      <c r="R196" t="s">
        <v>728</v>
      </c>
    </row>
    <row r="197" spans="1:18" x14ac:dyDescent="0.3">
      <c r="A197" t="s">
        <v>723</v>
      </c>
      <c r="B197">
        <v>4</v>
      </c>
      <c r="C197" t="s">
        <v>1</v>
      </c>
      <c r="D197">
        <v>368</v>
      </c>
      <c r="E197">
        <v>1374</v>
      </c>
      <c r="F197">
        <v>808</v>
      </c>
      <c r="G197">
        <v>1679</v>
      </c>
      <c r="H197">
        <v>440</v>
      </c>
      <c r="I197">
        <v>305</v>
      </c>
      <c r="J197" t="s">
        <v>471</v>
      </c>
      <c r="K197" t="s">
        <v>592</v>
      </c>
      <c r="L197" t="s">
        <v>492</v>
      </c>
      <c r="M197">
        <v>588</v>
      </c>
      <c r="N197">
        <v>1526</v>
      </c>
      <c r="O197" t="s">
        <v>469</v>
      </c>
      <c r="P197" t="s">
        <v>57</v>
      </c>
      <c r="Q197" t="s">
        <v>724</v>
      </c>
      <c r="R197" t="s">
        <v>729</v>
      </c>
    </row>
    <row r="198" spans="1:18" x14ac:dyDescent="0.3">
      <c r="A198" t="s">
        <v>723</v>
      </c>
      <c r="B198">
        <v>5</v>
      </c>
      <c r="C198" t="s">
        <v>1</v>
      </c>
      <c r="D198">
        <v>3438</v>
      </c>
      <c r="E198">
        <v>1440</v>
      </c>
      <c r="F198">
        <v>4009</v>
      </c>
      <c r="G198">
        <v>1751</v>
      </c>
      <c r="H198">
        <v>571</v>
      </c>
      <c r="I198">
        <v>311</v>
      </c>
      <c r="J198" t="s">
        <v>730</v>
      </c>
      <c r="K198" t="s">
        <v>731</v>
      </c>
      <c r="L198" t="s">
        <v>351</v>
      </c>
      <c r="M198">
        <v>3723</v>
      </c>
      <c r="N198">
        <v>1595</v>
      </c>
      <c r="O198" t="s">
        <v>732</v>
      </c>
      <c r="P198" t="s">
        <v>20</v>
      </c>
      <c r="Q198" t="s">
        <v>724</v>
      </c>
      <c r="R198" t="s">
        <v>733</v>
      </c>
    </row>
    <row r="199" spans="1:18" x14ac:dyDescent="0.3">
      <c r="A199" t="s">
        <v>723</v>
      </c>
      <c r="B199">
        <v>6</v>
      </c>
      <c r="C199" t="s">
        <v>1</v>
      </c>
      <c r="D199">
        <v>0</v>
      </c>
      <c r="E199">
        <v>1365</v>
      </c>
      <c r="F199">
        <v>446</v>
      </c>
      <c r="G199">
        <v>1616</v>
      </c>
      <c r="H199">
        <v>446</v>
      </c>
      <c r="I199">
        <v>251</v>
      </c>
      <c r="J199" t="s">
        <v>734</v>
      </c>
      <c r="K199" t="s">
        <v>561</v>
      </c>
      <c r="L199" t="s">
        <v>124</v>
      </c>
      <c r="M199">
        <v>223</v>
      </c>
      <c r="N199">
        <v>1490</v>
      </c>
      <c r="O199" t="s">
        <v>735</v>
      </c>
      <c r="P199" t="s">
        <v>736</v>
      </c>
      <c r="Q199" t="s">
        <v>724</v>
      </c>
      <c r="R199" t="s">
        <v>146</v>
      </c>
    </row>
    <row r="200" spans="1:18" x14ac:dyDescent="0.3">
      <c r="A200" t="s">
        <v>737</v>
      </c>
      <c r="B200">
        <v>0</v>
      </c>
      <c r="C200" t="s">
        <v>1</v>
      </c>
      <c r="D200">
        <v>362</v>
      </c>
      <c r="E200">
        <v>1341</v>
      </c>
      <c r="F200">
        <v>763</v>
      </c>
      <c r="G200">
        <v>1544</v>
      </c>
      <c r="H200">
        <v>401</v>
      </c>
      <c r="I200">
        <v>203</v>
      </c>
      <c r="J200" t="s">
        <v>649</v>
      </c>
      <c r="K200" t="s">
        <v>738</v>
      </c>
      <c r="L200" t="s">
        <v>89</v>
      </c>
      <c r="M200">
        <v>562</v>
      </c>
      <c r="N200">
        <v>1442</v>
      </c>
      <c r="O200" t="s">
        <v>433</v>
      </c>
      <c r="P200" t="s">
        <v>182</v>
      </c>
      <c r="Q200" t="s">
        <v>739</v>
      </c>
      <c r="R200" t="s">
        <v>53</v>
      </c>
    </row>
    <row r="201" spans="1:18" x14ac:dyDescent="0.3">
      <c r="A201" t="s">
        <v>737</v>
      </c>
      <c r="B201">
        <v>1</v>
      </c>
      <c r="C201" t="s">
        <v>1</v>
      </c>
      <c r="D201">
        <v>2310</v>
      </c>
      <c r="E201">
        <v>1357</v>
      </c>
      <c r="F201">
        <v>2623</v>
      </c>
      <c r="G201">
        <v>1551</v>
      </c>
      <c r="H201">
        <v>313</v>
      </c>
      <c r="I201">
        <v>194</v>
      </c>
      <c r="J201" t="s">
        <v>95</v>
      </c>
      <c r="K201" t="s">
        <v>667</v>
      </c>
      <c r="L201" t="s">
        <v>4</v>
      </c>
      <c r="M201">
        <v>2466</v>
      </c>
      <c r="N201">
        <v>1454</v>
      </c>
      <c r="O201" t="s">
        <v>740</v>
      </c>
      <c r="P201" t="s">
        <v>335</v>
      </c>
      <c r="Q201" t="s">
        <v>739</v>
      </c>
      <c r="R201" t="s">
        <v>741</v>
      </c>
    </row>
    <row r="202" spans="1:18" x14ac:dyDescent="0.3">
      <c r="A202" t="s">
        <v>737</v>
      </c>
      <c r="B202">
        <v>2</v>
      </c>
      <c r="C202" t="s">
        <v>1</v>
      </c>
      <c r="D202">
        <v>1319</v>
      </c>
      <c r="E202">
        <v>1338</v>
      </c>
      <c r="F202">
        <v>1499</v>
      </c>
      <c r="G202">
        <v>1535</v>
      </c>
      <c r="H202">
        <v>180</v>
      </c>
      <c r="I202">
        <v>197</v>
      </c>
      <c r="J202" t="s">
        <v>742</v>
      </c>
      <c r="K202" t="s">
        <v>432</v>
      </c>
      <c r="L202" t="s">
        <v>80</v>
      </c>
      <c r="M202">
        <v>1409</v>
      </c>
      <c r="N202">
        <v>1436</v>
      </c>
      <c r="O202" t="s">
        <v>743</v>
      </c>
      <c r="P202" t="s">
        <v>386</v>
      </c>
      <c r="Q202" t="s">
        <v>739</v>
      </c>
      <c r="R202" t="s">
        <v>744</v>
      </c>
    </row>
    <row r="203" spans="1:18" x14ac:dyDescent="0.3">
      <c r="A203" t="s">
        <v>737</v>
      </c>
      <c r="B203">
        <v>3</v>
      </c>
      <c r="C203" t="s">
        <v>1</v>
      </c>
      <c r="D203">
        <v>1965</v>
      </c>
      <c r="E203">
        <v>1342</v>
      </c>
      <c r="F203">
        <v>2227</v>
      </c>
      <c r="G203">
        <v>1536</v>
      </c>
      <c r="H203">
        <v>262</v>
      </c>
      <c r="I203">
        <v>194</v>
      </c>
      <c r="J203" t="s">
        <v>329</v>
      </c>
      <c r="K203" t="s">
        <v>667</v>
      </c>
      <c r="L203" t="s">
        <v>600</v>
      </c>
      <c r="M203">
        <v>2096</v>
      </c>
      <c r="N203">
        <v>1439</v>
      </c>
      <c r="O203" t="s">
        <v>330</v>
      </c>
      <c r="P203" t="s">
        <v>57</v>
      </c>
      <c r="Q203" t="s">
        <v>739</v>
      </c>
      <c r="R203" t="s">
        <v>745</v>
      </c>
    </row>
    <row r="204" spans="1:18" x14ac:dyDescent="0.3">
      <c r="A204" t="s">
        <v>737</v>
      </c>
      <c r="B204">
        <v>4</v>
      </c>
      <c r="C204" t="s">
        <v>1</v>
      </c>
      <c r="D204">
        <v>2990</v>
      </c>
      <c r="E204">
        <v>1352</v>
      </c>
      <c r="F204">
        <v>3423</v>
      </c>
      <c r="G204">
        <v>1570</v>
      </c>
      <c r="H204">
        <v>433</v>
      </c>
      <c r="I204">
        <v>218</v>
      </c>
      <c r="J204" t="s">
        <v>746</v>
      </c>
      <c r="K204" t="s">
        <v>747</v>
      </c>
      <c r="L204" t="s">
        <v>748</v>
      </c>
      <c r="M204">
        <v>3206</v>
      </c>
      <c r="N204">
        <v>1461</v>
      </c>
      <c r="O204" t="s">
        <v>749</v>
      </c>
      <c r="P204" t="s">
        <v>750</v>
      </c>
      <c r="Q204" t="s">
        <v>739</v>
      </c>
      <c r="R204" t="s">
        <v>751</v>
      </c>
    </row>
    <row r="205" spans="1:18" x14ac:dyDescent="0.3">
      <c r="A205" t="s">
        <v>737</v>
      </c>
      <c r="B205">
        <v>5</v>
      </c>
      <c r="C205" t="s">
        <v>1</v>
      </c>
      <c r="D205">
        <v>1536</v>
      </c>
      <c r="E205">
        <v>1318</v>
      </c>
      <c r="F205">
        <v>1826</v>
      </c>
      <c r="G205">
        <v>1537</v>
      </c>
      <c r="H205">
        <v>290</v>
      </c>
      <c r="I205">
        <v>219</v>
      </c>
      <c r="J205" t="s">
        <v>752</v>
      </c>
      <c r="K205" t="s">
        <v>753</v>
      </c>
      <c r="L205" t="s">
        <v>239</v>
      </c>
      <c r="M205">
        <v>1681</v>
      </c>
      <c r="N205">
        <v>1427</v>
      </c>
      <c r="O205" t="s">
        <v>754</v>
      </c>
      <c r="P205" t="s">
        <v>750</v>
      </c>
      <c r="Q205" t="s">
        <v>739</v>
      </c>
      <c r="R205" t="s">
        <v>755</v>
      </c>
    </row>
    <row r="206" spans="1:18" x14ac:dyDescent="0.3">
      <c r="A206" t="s">
        <v>737</v>
      </c>
      <c r="B206">
        <v>6</v>
      </c>
      <c r="C206" t="s">
        <v>1</v>
      </c>
      <c r="D206">
        <v>0</v>
      </c>
      <c r="E206">
        <v>1275</v>
      </c>
      <c r="F206">
        <v>404</v>
      </c>
      <c r="G206">
        <v>1539</v>
      </c>
      <c r="H206">
        <v>404</v>
      </c>
      <c r="I206">
        <v>264</v>
      </c>
      <c r="J206" t="s">
        <v>663</v>
      </c>
      <c r="K206" t="s">
        <v>479</v>
      </c>
      <c r="L206" t="s">
        <v>562</v>
      </c>
      <c r="M206">
        <v>202</v>
      </c>
      <c r="N206">
        <v>1407</v>
      </c>
      <c r="O206" t="s">
        <v>756</v>
      </c>
      <c r="P206" t="s">
        <v>20</v>
      </c>
      <c r="Q206" t="s">
        <v>739</v>
      </c>
      <c r="R206" t="s">
        <v>757</v>
      </c>
    </row>
    <row r="207" spans="1:18" x14ac:dyDescent="0.3">
      <c r="A207" t="s">
        <v>737</v>
      </c>
      <c r="B207">
        <v>8</v>
      </c>
      <c r="C207" t="s">
        <v>1</v>
      </c>
      <c r="D207">
        <v>3405</v>
      </c>
      <c r="E207">
        <v>1371</v>
      </c>
      <c r="F207">
        <v>3746</v>
      </c>
      <c r="G207">
        <v>1576</v>
      </c>
      <c r="H207">
        <v>341</v>
      </c>
      <c r="I207">
        <v>205</v>
      </c>
      <c r="J207" t="s">
        <v>758</v>
      </c>
      <c r="K207" t="s">
        <v>759</v>
      </c>
      <c r="L207" t="s">
        <v>61</v>
      </c>
      <c r="M207">
        <v>3575</v>
      </c>
      <c r="N207">
        <v>1473</v>
      </c>
      <c r="O207" t="s">
        <v>760</v>
      </c>
      <c r="P207" t="s">
        <v>110</v>
      </c>
      <c r="Q207" t="s">
        <v>739</v>
      </c>
      <c r="R207" t="s">
        <v>336</v>
      </c>
    </row>
    <row r="208" spans="1:18" x14ac:dyDescent="0.3">
      <c r="A208" t="s">
        <v>737</v>
      </c>
      <c r="B208">
        <v>10</v>
      </c>
      <c r="C208" t="s">
        <v>1</v>
      </c>
      <c r="D208">
        <v>2636</v>
      </c>
      <c r="E208">
        <v>1289</v>
      </c>
      <c r="F208">
        <v>3023</v>
      </c>
      <c r="G208">
        <v>1561</v>
      </c>
      <c r="H208">
        <v>387</v>
      </c>
      <c r="I208">
        <v>272</v>
      </c>
      <c r="J208" t="s">
        <v>711</v>
      </c>
      <c r="K208" t="s">
        <v>599</v>
      </c>
      <c r="L208" t="s">
        <v>47</v>
      </c>
      <c r="M208">
        <v>2829</v>
      </c>
      <c r="N208">
        <v>1425</v>
      </c>
      <c r="O208" t="s">
        <v>761</v>
      </c>
      <c r="P208" t="s">
        <v>736</v>
      </c>
      <c r="Q208" t="s">
        <v>739</v>
      </c>
      <c r="R208" t="s">
        <v>762</v>
      </c>
    </row>
    <row r="209" spans="1:18" x14ac:dyDescent="0.3">
      <c r="A209" t="s">
        <v>763</v>
      </c>
      <c r="B209">
        <v>0</v>
      </c>
      <c r="C209" t="s">
        <v>1</v>
      </c>
      <c r="D209">
        <v>0</v>
      </c>
      <c r="E209">
        <v>1519</v>
      </c>
      <c r="F209">
        <v>245</v>
      </c>
      <c r="G209">
        <v>1781</v>
      </c>
      <c r="H209">
        <v>245</v>
      </c>
      <c r="I209">
        <v>262</v>
      </c>
      <c r="J209" t="s">
        <v>764</v>
      </c>
      <c r="K209" t="s">
        <v>520</v>
      </c>
      <c r="L209" t="s">
        <v>240</v>
      </c>
      <c r="M209">
        <v>122</v>
      </c>
      <c r="N209">
        <v>1650</v>
      </c>
      <c r="O209" t="s">
        <v>765</v>
      </c>
      <c r="P209" t="s">
        <v>141</v>
      </c>
      <c r="Q209" t="s">
        <v>766</v>
      </c>
      <c r="R209" t="s">
        <v>640</v>
      </c>
    </row>
    <row r="210" spans="1:18" x14ac:dyDescent="0.3">
      <c r="A210" t="s">
        <v>763</v>
      </c>
      <c r="B210">
        <v>1</v>
      </c>
      <c r="C210" t="s">
        <v>1</v>
      </c>
      <c r="D210">
        <v>571</v>
      </c>
      <c r="E210">
        <v>1534</v>
      </c>
      <c r="F210">
        <v>963</v>
      </c>
      <c r="G210">
        <v>1735</v>
      </c>
      <c r="H210">
        <v>392</v>
      </c>
      <c r="I210">
        <v>201</v>
      </c>
      <c r="J210" t="s">
        <v>440</v>
      </c>
      <c r="K210" t="s">
        <v>357</v>
      </c>
      <c r="L210" t="s">
        <v>645</v>
      </c>
      <c r="M210">
        <v>767</v>
      </c>
      <c r="N210">
        <v>1634</v>
      </c>
      <c r="O210" t="s">
        <v>707</v>
      </c>
      <c r="P210" t="s">
        <v>182</v>
      </c>
      <c r="Q210" t="s">
        <v>766</v>
      </c>
      <c r="R210" t="s">
        <v>767</v>
      </c>
    </row>
    <row r="211" spans="1:18" x14ac:dyDescent="0.3">
      <c r="A211" t="s">
        <v>763</v>
      </c>
      <c r="B211">
        <v>2</v>
      </c>
      <c r="C211" t="s">
        <v>1</v>
      </c>
      <c r="D211">
        <v>89</v>
      </c>
      <c r="E211">
        <v>1484</v>
      </c>
      <c r="F211">
        <v>629</v>
      </c>
      <c r="G211">
        <v>1743</v>
      </c>
      <c r="H211">
        <v>540</v>
      </c>
      <c r="I211">
        <v>259</v>
      </c>
      <c r="J211" t="s">
        <v>768</v>
      </c>
      <c r="K211" t="s">
        <v>769</v>
      </c>
      <c r="L211" t="s">
        <v>272</v>
      </c>
      <c r="M211">
        <v>359</v>
      </c>
      <c r="N211">
        <v>1613</v>
      </c>
      <c r="O211" t="s">
        <v>770</v>
      </c>
      <c r="P211" t="s">
        <v>262</v>
      </c>
      <c r="Q211" t="s">
        <v>766</v>
      </c>
      <c r="R211" t="s">
        <v>771</v>
      </c>
    </row>
    <row r="212" spans="1:18" x14ac:dyDescent="0.3">
      <c r="A212" t="s">
        <v>763</v>
      </c>
      <c r="B212">
        <v>3</v>
      </c>
      <c r="C212" t="s">
        <v>1</v>
      </c>
      <c r="D212">
        <v>2818</v>
      </c>
      <c r="E212">
        <v>1423</v>
      </c>
      <c r="F212">
        <v>3221</v>
      </c>
      <c r="G212">
        <v>1707</v>
      </c>
      <c r="H212">
        <v>403</v>
      </c>
      <c r="I212">
        <v>284</v>
      </c>
      <c r="J212" t="s">
        <v>210</v>
      </c>
      <c r="K212" t="s">
        <v>703</v>
      </c>
      <c r="L212" t="s">
        <v>47</v>
      </c>
      <c r="M212">
        <v>3019</v>
      </c>
      <c r="N212">
        <v>1565</v>
      </c>
      <c r="O212" t="s">
        <v>207</v>
      </c>
      <c r="P212" t="s">
        <v>262</v>
      </c>
      <c r="Q212" t="s">
        <v>766</v>
      </c>
      <c r="R212" t="s">
        <v>772</v>
      </c>
    </row>
    <row r="213" spans="1:18" x14ac:dyDescent="0.3">
      <c r="A213" t="s">
        <v>763</v>
      </c>
      <c r="B213">
        <v>4</v>
      </c>
      <c r="C213" t="s">
        <v>1</v>
      </c>
      <c r="D213">
        <v>2129</v>
      </c>
      <c r="E213">
        <v>1495</v>
      </c>
      <c r="F213">
        <v>2397</v>
      </c>
      <c r="G213">
        <v>1693</v>
      </c>
      <c r="H213">
        <v>268</v>
      </c>
      <c r="I213">
        <v>198</v>
      </c>
      <c r="J213" t="s">
        <v>357</v>
      </c>
      <c r="K213" t="s">
        <v>773</v>
      </c>
      <c r="L213" t="s">
        <v>600</v>
      </c>
      <c r="M213">
        <v>2263</v>
      </c>
      <c r="N213">
        <v>1594</v>
      </c>
      <c r="O213" t="s">
        <v>774</v>
      </c>
      <c r="P213" t="s">
        <v>197</v>
      </c>
      <c r="Q213" t="s">
        <v>766</v>
      </c>
      <c r="R213" t="s">
        <v>458</v>
      </c>
    </row>
    <row r="214" spans="1:18" x14ac:dyDescent="0.3">
      <c r="A214" t="s">
        <v>763</v>
      </c>
      <c r="B214">
        <v>5</v>
      </c>
      <c r="C214" t="s">
        <v>1</v>
      </c>
      <c r="D214">
        <v>3582</v>
      </c>
      <c r="E214">
        <v>1490</v>
      </c>
      <c r="F214">
        <v>4026</v>
      </c>
      <c r="G214">
        <v>1709</v>
      </c>
      <c r="H214">
        <v>444</v>
      </c>
      <c r="I214">
        <v>219</v>
      </c>
      <c r="J214" t="s">
        <v>775</v>
      </c>
      <c r="K214" t="s">
        <v>753</v>
      </c>
      <c r="L214" t="s">
        <v>345</v>
      </c>
      <c r="M214">
        <v>3804</v>
      </c>
      <c r="N214">
        <v>1599</v>
      </c>
      <c r="O214" t="s">
        <v>776</v>
      </c>
      <c r="P214" t="s">
        <v>197</v>
      </c>
      <c r="Q214" t="s">
        <v>766</v>
      </c>
      <c r="R214" t="s">
        <v>777</v>
      </c>
    </row>
    <row r="215" spans="1:18" x14ac:dyDescent="0.3">
      <c r="A215" t="s">
        <v>763</v>
      </c>
      <c r="B215">
        <v>7</v>
      </c>
      <c r="C215" t="s">
        <v>1</v>
      </c>
      <c r="D215">
        <v>1710</v>
      </c>
      <c r="E215">
        <v>1480</v>
      </c>
      <c r="F215">
        <v>1986</v>
      </c>
      <c r="G215">
        <v>1698</v>
      </c>
      <c r="H215">
        <v>276</v>
      </c>
      <c r="I215">
        <v>218</v>
      </c>
      <c r="J215" t="s">
        <v>778</v>
      </c>
      <c r="K215" t="s">
        <v>747</v>
      </c>
      <c r="L215" t="s">
        <v>779</v>
      </c>
      <c r="M215">
        <v>1848</v>
      </c>
      <c r="N215">
        <v>1589</v>
      </c>
      <c r="O215" t="s">
        <v>780</v>
      </c>
      <c r="P215" t="s">
        <v>391</v>
      </c>
      <c r="Q215" t="s">
        <v>766</v>
      </c>
      <c r="R215" t="s">
        <v>402</v>
      </c>
    </row>
    <row r="216" spans="1:18" x14ac:dyDescent="0.3">
      <c r="A216" t="s">
        <v>781</v>
      </c>
      <c r="B216">
        <v>0</v>
      </c>
      <c r="C216" t="s">
        <v>1</v>
      </c>
      <c r="D216">
        <v>2129</v>
      </c>
      <c r="E216">
        <v>1364</v>
      </c>
      <c r="F216">
        <v>2398</v>
      </c>
      <c r="G216">
        <v>1563</v>
      </c>
      <c r="H216">
        <v>269</v>
      </c>
      <c r="I216">
        <v>199</v>
      </c>
      <c r="J216" t="s">
        <v>782</v>
      </c>
      <c r="K216" t="s">
        <v>783</v>
      </c>
      <c r="L216" t="s">
        <v>600</v>
      </c>
      <c r="M216">
        <v>2263</v>
      </c>
      <c r="N216">
        <v>1463</v>
      </c>
      <c r="O216" t="s">
        <v>784</v>
      </c>
      <c r="P216" t="s">
        <v>19</v>
      </c>
      <c r="Q216" t="s">
        <v>616</v>
      </c>
      <c r="R216" t="s">
        <v>785</v>
      </c>
    </row>
    <row r="217" spans="1:18" x14ac:dyDescent="0.3">
      <c r="A217" t="s">
        <v>781</v>
      </c>
      <c r="B217">
        <v>1</v>
      </c>
      <c r="C217" t="s">
        <v>1</v>
      </c>
      <c r="D217">
        <v>0</v>
      </c>
      <c r="E217">
        <v>1340</v>
      </c>
      <c r="F217">
        <v>232</v>
      </c>
      <c r="G217">
        <v>1594</v>
      </c>
      <c r="H217">
        <v>232</v>
      </c>
      <c r="I217">
        <v>254</v>
      </c>
      <c r="J217" t="s">
        <v>786</v>
      </c>
      <c r="K217" t="s">
        <v>787</v>
      </c>
      <c r="L217" t="s">
        <v>80</v>
      </c>
      <c r="M217">
        <v>116</v>
      </c>
      <c r="N217">
        <v>1467</v>
      </c>
      <c r="O217" t="s">
        <v>788</v>
      </c>
      <c r="P217" t="s">
        <v>102</v>
      </c>
      <c r="Q217" t="s">
        <v>616</v>
      </c>
      <c r="R217" t="s">
        <v>789</v>
      </c>
    </row>
    <row r="218" spans="1:18" x14ac:dyDescent="0.3">
      <c r="A218" t="s">
        <v>781</v>
      </c>
      <c r="B218">
        <v>2</v>
      </c>
      <c r="C218" t="s">
        <v>1</v>
      </c>
      <c r="D218">
        <v>525</v>
      </c>
      <c r="E218">
        <v>1371</v>
      </c>
      <c r="F218">
        <v>975</v>
      </c>
      <c r="G218">
        <v>1572</v>
      </c>
      <c r="H218">
        <v>450</v>
      </c>
      <c r="I218">
        <v>201</v>
      </c>
      <c r="J218" t="s">
        <v>790</v>
      </c>
      <c r="K218" t="s">
        <v>357</v>
      </c>
      <c r="L218" t="s">
        <v>791</v>
      </c>
      <c r="M218">
        <v>750</v>
      </c>
      <c r="N218">
        <v>1471</v>
      </c>
      <c r="O218" t="s">
        <v>792</v>
      </c>
      <c r="P218" t="s">
        <v>130</v>
      </c>
      <c r="Q218" t="s">
        <v>616</v>
      </c>
      <c r="R218" t="s">
        <v>793</v>
      </c>
    </row>
    <row r="219" spans="1:18" x14ac:dyDescent="0.3">
      <c r="A219" t="s">
        <v>781</v>
      </c>
      <c r="B219">
        <v>3</v>
      </c>
      <c r="C219" t="s">
        <v>1</v>
      </c>
      <c r="D219">
        <v>3585</v>
      </c>
      <c r="E219">
        <v>1390</v>
      </c>
      <c r="F219">
        <v>4031</v>
      </c>
      <c r="G219">
        <v>1611</v>
      </c>
      <c r="H219">
        <v>446</v>
      </c>
      <c r="I219">
        <v>221</v>
      </c>
      <c r="J219" t="s">
        <v>734</v>
      </c>
      <c r="K219" t="s">
        <v>24</v>
      </c>
      <c r="L219" t="s">
        <v>419</v>
      </c>
      <c r="M219">
        <v>3808</v>
      </c>
      <c r="N219">
        <v>1500</v>
      </c>
      <c r="O219" t="s">
        <v>735</v>
      </c>
      <c r="P219" t="s">
        <v>198</v>
      </c>
      <c r="Q219" t="s">
        <v>616</v>
      </c>
      <c r="R219" t="s">
        <v>777</v>
      </c>
    </row>
    <row r="220" spans="1:18" x14ac:dyDescent="0.3">
      <c r="A220" t="s">
        <v>781</v>
      </c>
      <c r="B220">
        <v>4</v>
      </c>
      <c r="C220" t="s">
        <v>1</v>
      </c>
      <c r="D220">
        <v>1713</v>
      </c>
      <c r="E220">
        <v>1342</v>
      </c>
      <c r="F220">
        <v>1974</v>
      </c>
      <c r="G220">
        <v>1559</v>
      </c>
      <c r="H220">
        <v>261</v>
      </c>
      <c r="I220">
        <v>217</v>
      </c>
      <c r="J220" t="s">
        <v>794</v>
      </c>
      <c r="K220" t="s">
        <v>372</v>
      </c>
      <c r="L220" t="s">
        <v>509</v>
      </c>
      <c r="M220">
        <v>1843</v>
      </c>
      <c r="N220">
        <v>1450</v>
      </c>
      <c r="O220" t="s">
        <v>795</v>
      </c>
      <c r="P220" t="s">
        <v>411</v>
      </c>
      <c r="Q220" t="s">
        <v>616</v>
      </c>
      <c r="R220" t="s">
        <v>150</v>
      </c>
    </row>
    <row r="221" spans="1:18" x14ac:dyDescent="0.3">
      <c r="A221" t="s">
        <v>796</v>
      </c>
      <c r="B221">
        <v>0</v>
      </c>
      <c r="C221" t="s">
        <v>1</v>
      </c>
      <c r="D221">
        <v>0</v>
      </c>
      <c r="E221">
        <v>1369</v>
      </c>
      <c r="F221">
        <v>148</v>
      </c>
      <c r="G221">
        <v>1614</v>
      </c>
      <c r="H221">
        <v>148</v>
      </c>
      <c r="I221">
        <v>245</v>
      </c>
      <c r="J221" t="s">
        <v>797</v>
      </c>
      <c r="K221" t="s">
        <v>798</v>
      </c>
      <c r="L221" t="s">
        <v>75</v>
      </c>
      <c r="M221">
        <v>74</v>
      </c>
      <c r="N221">
        <v>1491</v>
      </c>
      <c r="O221" t="s">
        <v>799</v>
      </c>
      <c r="P221" t="s">
        <v>102</v>
      </c>
      <c r="Q221" t="s">
        <v>800</v>
      </c>
      <c r="R221" t="s">
        <v>715</v>
      </c>
    </row>
    <row r="222" spans="1:18" x14ac:dyDescent="0.3">
      <c r="A222" t="s">
        <v>796</v>
      </c>
      <c r="B222">
        <v>1</v>
      </c>
      <c r="C222" t="s">
        <v>1</v>
      </c>
      <c r="D222">
        <v>441</v>
      </c>
      <c r="E222">
        <v>1403</v>
      </c>
      <c r="F222">
        <v>903</v>
      </c>
      <c r="G222">
        <v>1607</v>
      </c>
      <c r="H222">
        <v>462</v>
      </c>
      <c r="I222">
        <v>204</v>
      </c>
      <c r="J222" t="s">
        <v>585</v>
      </c>
      <c r="K222" t="s">
        <v>436</v>
      </c>
      <c r="L222" t="s">
        <v>801</v>
      </c>
      <c r="M222">
        <v>672</v>
      </c>
      <c r="N222">
        <v>1505</v>
      </c>
      <c r="O222" t="s">
        <v>587</v>
      </c>
      <c r="P222" t="s">
        <v>130</v>
      </c>
      <c r="Q222" t="s">
        <v>800</v>
      </c>
      <c r="R222" t="s">
        <v>802</v>
      </c>
    </row>
    <row r="223" spans="1:18" x14ac:dyDescent="0.3">
      <c r="A223" t="s">
        <v>796</v>
      </c>
      <c r="B223">
        <v>2</v>
      </c>
      <c r="C223" t="s">
        <v>1</v>
      </c>
      <c r="D223">
        <v>1642</v>
      </c>
      <c r="E223">
        <v>1397</v>
      </c>
      <c r="F223">
        <v>1913</v>
      </c>
      <c r="G223">
        <v>1607</v>
      </c>
      <c r="H223">
        <v>271</v>
      </c>
      <c r="I223">
        <v>210</v>
      </c>
      <c r="J223" t="s">
        <v>803</v>
      </c>
      <c r="K223" t="s">
        <v>184</v>
      </c>
      <c r="L223" t="s">
        <v>618</v>
      </c>
      <c r="M223">
        <v>1777</v>
      </c>
      <c r="N223">
        <v>1502</v>
      </c>
      <c r="O223" t="s">
        <v>804</v>
      </c>
      <c r="P223" t="s">
        <v>30</v>
      </c>
      <c r="Q223" t="s">
        <v>800</v>
      </c>
      <c r="R223" t="s">
        <v>805</v>
      </c>
    </row>
    <row r="224" spans="1:18" x14ac:dyDescent="0.3">
      <c r="A224" t="s">
        <v>796</v>
      </c>
      <c r="B224">
        <v>3</v>
      </c>
      <c r="C224" t="s">
        <v>1</v>
      </c>
      <c r="D224">
        <v>2052</v>
      </c>
      <c r="E224">
        <v>1423</v>
      </c>
      <c r="F224">
        <v>2322</v>
      </c>
      <c r="G224">
        <v>1625</v>
      </c>
      <c r="H224">
        <v>270</v>
      </c>
      <c r="I224">
        <v>202</v>
      </c>
      <c r="J224" t="s">
        <v>806</v>
      </c>
      <c r="K224" t="s">
        <v>273</v>
      </c>
      <c r="L224" t="s">
        <v>401</v>
      </c>
      <c r="M224">
        <v>2187</v>
      </c>
      <c r="N224">
        <v>1524</v>
      </c>
      <c r="O224" t="s">
        <v>807</v>
      </c>
      <c r="P224" t="s">
        <v>198</v>
      </c>
      <c r="Q224" t="s">
        <v>800</v>
      </c>
      <c r="R224" t="s">
        <v>14</v>
      </c>
    </row>
    <row r="225" spans="1:18" x14ac:dyDescent="0.3">
      <c r="A225" t="s">
        <v>808</v>
      </c>
      <c r="B225">
        <v>0</v>
      </c>
      <c r="C225" t="s">
        <v>1</v>
      </c>
      <c r="D225">
        <v>452</v>
      </c>
      <c r="E225">
        <v>1361</v>
      </c>
      <c r="F225">
        <v>920</v>
      </c>
      <c r="G225">
        <v>1569</v>
      </c>
      <c r="H225">
        <v>468</v>
      </c>
      <c r="I225">
        <v>208</v>
      </c>
      <c r="J225" t="s">
        <v>809</v>
      </c>
      <c r="K225" t="s">
        <v>810</v>
      </c>
      <c r="L225" t="s">
        <v>811</v>
      </c>
      <c r="M225">
        <v>686</v>
      </c>
      <c r="N225">
        <v>1465</v>
      </c>
      <c r="O225" t="s">
        <v>812</v>
      </c>
      <c r="P225" t="s">
        <v>19</v>
      </c>
      <c r="Q225" t="s">
        <v>813</v>
      </c>
      <c r="R225" t="s">
        <v>238</v>
      </c>
    </row>
    <row r="226" spans="1:18" x14ac:dyDescent="0.3">
      <c r="A226" t="s">
        <v>808</v>
      </c>
      <c r="B226">
        <v>1</v>
      </c>
      <c r="C226" t="s">
        <v>1</v>
      </c>
      <c r="D226">
        <v>0</v>
      </c>
      <c r="E226">
        <v>1342</v>
      </c>
      <c r="F226">
        <v>161</v>
      </c>
      <c r="G226">
        <v>1591</v>
      </c>
      <c r="H226">
        <v>161</v>
      </c>
      <c r="I226">
        <v>249</v>
      </c>
      <c r="J226" t="s">
        <v>814</v>
      </c>
      <c r="K226" t="s">
        <v>815</v>
      </c>
      <c r="L226" t="s">
        <v>110</v>
      </c>
      <c r="M226">
        <v>80</v>
      </c>
      <c r="N226">
        <v>1466</v>
      </c>
      <c r="O226" t="s">
        <v>816</v>
      </c>
      <c r="P226" t="s">
        <v>130</v>
      </c>
      <c r="Q226" t="s">
        <v>813</v>
      </c>
      <c r="R226" t="s">
        <v>817</v>
      </c>
    </row>
    <row r="227" spans="1:18" x14ac:dyDescent="0.3">
      <c r="A227" t="s">
        <v>808</v>
      </c>
      <c r="B227">
        <v>2</v>
      </c>
      <c r="C227" t="s">
        <v>1</v>
      </c>
      <c r="D227">
        <v>1650</v>
      </c>
      <c r="E227">
        <v>1330</v>
      </c>
      <c r="F227">
        <v>1927</v>
      </c>
      <c r="G227">
        <v>1548</v>
      </c>
      <c r="H227">
        <v>277</v>
      </c>
      <c r="I227">
        <v>218</v>
      </c>
      <c r="J227" t="s">
        <v>818</v>
      </c>
      <c r="K227" t="s">
        <v>747</v>
      </c>
      <c r="L227" t="s">
        <v>779</v>
      </c>
      <c r="M227">
        <v>1788</v>
      </c>
      <c r="N227">
        <v>1439</v>
      </c>
      <c r="O227" t="s">
        <v>819</v>
      </c>
      <c r="P227" t="s">
        <v>262</v>
      </c>
      <c r="Q227" t="s">
        <v>813</v>
      </c>
      <c r="R227" t="s">
        <v>820</v>
      </c>
    </row>
    <row r="228" spans="1:18" x14ac:dyDescent="0.3">
      <c r="A228" t="s">
        <v>808</v>
      </c>
      <c r="B228">
        <v>3</v>
      </c>
      <c r="C228" t="s">
        <v>1</v>
      </c>
      <c r="D228">
        <v>2077</v>
      </c>
      <c r="E228">
        <v>1361</v>
      </c>
      <c r="F228">
        <v>2332</v>
      </c>
      <c r="G228">
        <v>1551</v>
      </c>
      <c r="H228">
        <v>255</v>
      </c>
      <c r="I228">
        <v>190</v>
      </c>
      <c r="J228" t="s">
        <v>308</v>
      </c>
      <c r="K228" t="s">
        <v>821</v>
      </c>
      <c r="L228" t="s">
        <v>401</v>
      </c>
      <c r="M228">
        <v>2204</v>
      </c>
      <c r="N228">
        <v>1456</v>
      </c>
      <c r="O228" t="s">
        <v>309</v>
      </c>
      <c r="P228" t="s">
        <v>198</v>
      </c>
      <c r="Q228" t="s">
        <v>813</v>
      </c>
      <c r="R228" t="s">
        <v>295</v>
      </c>
    </row>
    <row r="229" spans="1:18" x14ac:dyDescent="0.3">
      <c r="A229" t="s">
        <v>808</v>
      </c>
      <c r="B229">
        <v>6</v>
      </c>
      <c r="C229" t="s">
        <v>1</v>
      </c>
      <c r="D229">
        <v>1980</v>
      </c>
      <c r="E229">
        <v>1426</v>
      </c>
      <c r="F229">
        <v>2160</v>
      </c>
      <c r="G229">
        <v>1544</v>
      </c>
      <c r="H229">
        <v>180</v>
      </c>
      <c r="I229">
        <v>118</v>
      </c>
      <c r="J229" t="s">
        <v>742</v>
      </c>
      <c r="K229" t="s">
        <v>822</v>
      </c>
      <c r="L229" t="s">
        <v>562</v>
      </c>
      <c r="M229">
        <v>2070</v>
      </c>
      <c r="N229">
        <v>1485</v>
      </c>
      <c r="O229" t="s">
        <v>743</v>
      </c>
      <c r="P229" t="s">
        <v>172</v>
      </c>
      <c r="Q229" t="s">
        <v>813</v>
      </c>
      <c r="R229" t="s">
        <v>823</v>
      </c>
    </row>
    <row r="230" spans="1:18" x14ac:dyDescent="0.3">
      <c r="A230" t="s">
        <v>824</v>
      </c>
      <c r="B230">
        <v>0</v>
      </c>
      <c r="C230" t="s">
        <v>1</v>
      </c>
      <c r="D230">
        <v>2134</v>
      </c>
      <c r="E230">
        <v>1513</v>
      </c>
      <c r="F230">
        <v>2412</v>
      </c>
      <c r="G230">
        <v>1713</v>
      </c>
      <c r="H230">
        <v>278</v>
      </c>
      <c r="I230">
        <v>200</v>
      </c>
      <c r="J230" t="s">
        <v>26</v>
      </c>
      <c r="K230" t="s">
        <v>323</v>
      </c>
      <c r="L230" t="s">
        <v>575</v>
      </c>
      <c r="M230">
        <v>2273</v>
      </c>
      <c r="N230">
        <v>1613</v>
      </c>
      <c r="O230" t="s">
        <v>29</v>
      </c>
      <c r="P230" t="s">
        <v>102</v>
      </c>
      <c r="Q230" t="s">
        <v>825</v>
      </c>
      <c r="R230" t="s">
        <v>826</v>
      </c>
    </row>
    <row r="231" spans="1:18" x14ac:dyDescent="0.3">
      <c r="A231" t="s">
        <v>824</v>
      </c>
      <c r="B231">
        <v>2</v>
      </c>
      <c r="C231" t="s">
        <v>1</v>
      </c>
      <c r="D231">
        <v>555</v>
      </c>
      <c r="E231">
        <v>1542</v>
      </c>
      <c r="F231">
        <v>961</v>
      </c>
      <c r="G231">
        <v>1745</v>
      </c>
      <c r="H231">
        <v>406</v>
      </c>
      <c r="I231">
        <v>203</v>
      </c>
      <c r="J231" t="s">
        <v>827</v>
      </c>
      <c r="K231" t="s">
        <v>738</v>
      </c>
      <c r="L231" t="s">
        <v>699</v>
      </c>
      <c r="M231">
        <v>758</v>
      </c>
      <c r="N231">
        <v>1643</v>
      </c>
      <c r="O231" t="s">
        <v>828</v>
      </c>
      <c r="P231" t="s">
        <v>386</v>
      </c>
      <c r="Q231" t="s">
        <v>825</v>
      </c>
      <c r="R231" t="s">
        <v>829</v>
      </c>
    </row>
    <row r="232" spans="1:18" x14ac:dyDescent="0.3">
      <c r="A232" t="s">
        <v>824</v>
      </c>
      <c r="B232">
        <v>3</v>
      </c>
      <c r="C232" t="s">
        <v>1</v>
      </c>
      <c r="D232">
        <v>1719</v>
      </c>
      <c r="E232">
        <v>1493</v>
      </c>
      <c r="F232">
        <v>1994</v>
      </c>
      <c r="G232">
        <v>1713</v>
      </c>
      <c r="H232">
        <v>275</v>
      </c>
      <c r="I232">
        <v>220</v>
      </c>
      <c r="J232" t="s">
        <v>830</v>
      </c>
      <c r="K232" t="s">
        <v>390</v>
      </c>
      <c r="L232" t="s">
        <v>244</v>
      </c>
      <c r="M232">
        <v>1856</v>
      </c>
      <c r="N232">
        <v>1603</v>
      </c>
      <c r="O232" t="s">
        <v>831</v>
      </c>
      <c r="P232" t="s">
        <v>30</v>
      </c>
      <c r="Q232" t="s">
        <v>825</v>
      </c>
      <c r="R232" t="s">
        <v>295</v>
      </c>
    </row>
    <row r="233" spans="1:18" x14ac:dyDescent="0.3">
      <c r="A233" t="s">
        <v>824</v>
      </c>
      <c r="B233">
        <v>4</v>
      </c>
      <c r="C233" t="s">
        <v>1</v>
      </c>
      <c r="D233">
        <v>0</v>
      </c>
      <c r="E233">
        <v>1524</v>
      </c>
      <c r="F233">
        <v>196</v>
      </c>
      <c r="G233">
        <v>1657</v>
      </c>
      <c r="H233">
        <v>196</v>
      </c>
      <c r="I233">
        <v>133</v>
      </c>
      <c r="J233" t="s">
        <v>832</v>
      </c>
      <c r="K233" t="s">
        <v>833</v>
      </c>
      <c r="L233" t="s">
        <v>456</v>
      </c>
      <c r="M233">
        <v>98</v>
      </c>
      <c r="N233">
        <v>1590</v>
      </c>
      <c r="O233" t="s">
        <v>834</v>
      </c>
      <c r="P233" t="s">
        <v>361</v>
      </c>
      <c r="Q233" t="s">
        <v>825</v>
      </c>
      <c r="R233" t="s">
        <v>111</v>
      </c>
    </row>
    <row r="234" spans="1:18" x14ac:dyDescent="0.3">
      <c r="A234" t="s">
        <v>835</v>
      </c>
      <c r="B234">
        <v>0</v>
      </c>
      <c r="C234" t="s">
        <v>1</v>
      </c>
      <c r="D234">
        <v>589</v>
      </c>
      <c r="E234">
        <v>1326</v>
      </c>
      <c r="F234">
        <v>1002</v>
      </c>
      <c r="G234">
        <v>1533</v>
      </c>
      <c r="H234">
        <v>413</v>
      </c>
      <c r="I234">
        <v>207</v>
      </c>
      <c r="J234" t="s">
        <v>836</v>
      </c>
      <c r="K234" t="s">
        <v>778</v>
      </c>
      <c r="L234" t="s">
        <v>699</v>
      </c>
      <c r="M234">
        <v>795</v>
      </c>
      <c r="N234">
        <v>1429</v>
      </c>
      <c r="O234" t="s">
        <v>837</v>
      </c>
      <c r="P234" t="s">
        <v>141</v>
      </c>
      <c r="Q234" t="s">
        <v>838</v>
      </c>
      <c r="R234" t="s">
        <v>839</v>
      </c>
    </row>
    <row r="235" spans="1:18" x14ac:dyDescent="0.3">
      <c r="A235" t="s">
        <v>835</v>
      </c>
      <c r="B235">
        <v>1</v>
      </c>
      <c r="C235" t="s">
        <v>1</v>
      </c>
      <c r="D235">
        <v>0</v>
      </c>
      <c r="E235">
        <v>1289</v>
      </c>
      <c r="F235">
        <v>266</v>
      </c>
      <c r="G235">
        <v>1546</v>
      </c>
      <c r="H235">
        <v>266</v>
      </c>
      <c r="I235">
        <v>257</v>
      </c>
      <c r="J235" t="s">
        <v>840</v>
      </c>
      <c r="K235" t="s">
        <v>841</v>
      </c>
      <c r="L235" t="s">
        <v>842</v>
      </c>
      <c r="M235">
        <v>133</v>
      </c>
      <c r="N235">
        <v>1417</v>
      </c>
      <c r="O235" t="s">
        <v>843</v>
      </c>
      <c r="P235" t="s">
        <v>335</v>
      </c>
      <c r="Q235" t="s">
        <v>838</v>
      </c>
      <c r="R235" t="s">
        <v>331</v>
      </c>
    </row>
    <row r="236" spans="1:18" x14ac:dyDescent="0.3">
      <c r="A236" t="s">
        <v>835</v>
      </c>
      <c r="B236">
        <v>2</v>
      </c>
      <c r="C236" t="s">
        <v>1</v>
      </c>
      <c r="D236">
        <v>1725</v>
      </c>
      <c r="E236">
        <v>1312</v>
      </c>
      <c r="F236">
        <v>2007</v>
      </c>
      <c r="G236">
        <v>1530</v>
      </c>
      <c r="H236">
        <v>282</v>
      </c>
      <c r="I236">
        <v>218</v>
      </c>
      <c r="J236" t="s">
        <v>844</v>
      </c>
      <c r="K236" t="s">
        <v>747</v>
      </c>
      <c r="L236" t="s">
        <v>618</v>
      </c>
      <c r="M236">
        <v>1866</v>
      </c>
      <c r="N236">
        <v>1421</v>
      </c>
      <c r="O236" t="s">
        <v>845</v>
      </c>
      <c r="P236" t="s">
        <v>411</v>
      </c>
      <c r="Q236" t="s">
        <v>838</v>
      </c>
      <c r="R236" t="s">
        <v>150</v>
      </c>
    </row>
    <row r="237" spans="1:18" x14ac:dyDescent="0.3">
      <c r="A237" t="s">
        <v>835</v>
      </c>
      <c r="B237">
        <v>3</v>
      </c>
      <c r="C237" t="s">
        <v>1</v>
      </c>
      <c r="D237">
        <v>236</v>
      </c>
      <c r="E237">
        <v>1302</v>
      </c>
      <c r="F237">
        <v>685</v>
      </c>
      <c r="G237">
        <v>1524</v>
      </c>
      <c r="H237">
        <v>449</v>
      </c>
      <c r="I237">
        <v>222</v>
      </c>
      <c r="J237" t="s">
        <v>846</v>
      </c>
      <c r="K237" t="s">
        <v>847</v>
      </c>
      <c r="L237" t="s">
        <v>419</v>
      </c>
      <c r="M237">
        <v>460</v>
      </c>
      <c r="N237">
        <v>1413</v>
      </c>
      <c r="O237" t="s">
        <v>848</v>
      </c>
      <c r="P237" t="s">
        <v>642</v>
      </c>
      <c r="Q237" t="s">
        <v>838</v>
      </c>
      <c r="R237" t="s">
        <v>336</v>
      </c>
    </row>
    <row r="238" spans="1:18" x14ac:dyDescent="0.3">
      <c r="A238" t="s">
        <v>835</v>
      </c>
      <c r="B238">
        <v>4</v>
      </c>
      <c r="C238" t="s">
        <v>1</v>
      </c>
      <c r="D238">
        <v>2143</v>
      </c>
      <c r="E238">
        <v>1339</v>
      </c>
      <c r="F238">
        <v>2416</v>
      </c>
      <c r="G238">
        <v>1545</v>
      </c>
      <c r="H238">
        <v>273</v>
      </c>
      <c r="I238">
        <v>206</v>
      </c>
      <c r="J238" t="s">
        <v>385</v>
      </c>
      <c r="K238" t="s">
        <v>849</v>
      </c>
      <c r="L238" t="s">
        <v>567</v>
      </c>
      <c r="M238">
        <v>2279</v>
      </c>
      <c r="N238">
        <v>1442</v>
      </c>
      <c r="O238" t="s">
        <v>850</v>
      </c>
      <c r="P238" t="s">
        <v>690</v>
      </c>
      <c r="Q238" t="s">
        <v>838</v>
      </c>
      <c r="R238" t="s">
        <v>851</v>
      </c>
    </row>
    <row r="239" spans="1:18" x14ac:dyDescent="0.3">
      <c r="A239" t="s">
        <v>835</v>
      </c>
      <c r="B239">
        <v>5</v>
      </c>
      <c r="C239" t="s">
        <v>1</v>
      </c>
      <c r="D239">
        <v>427</v>
      </c>
      <c r="E239">
        <v>1303</v>
      </c>
      <c r="F239">
        <v>687</v>
      </c>
      <c r="G239">
        <v>1516</v>
      </c>
      <c r="H239">
        <v>260</v>
      </c>
      <c r="I239">
        <v>213</v>
      </c>
      <c r="J239" t="s">
        <v>852</v>
      </c>
      <c r="K239" t="s">
        <v>853</v>
      </c>
      <c r="L239" t="s">
        <v>854</v>
      </c>
      <c r="M239">
        <v>557</v>
      </c>
      <c r="N239">
        <v>1409</v>
      </c>
      <c r="O239" t="s">
        <v>855</v>
      </c>
      <c r="P239" t="s">
        <v>856</v>
      </c>
      <c r="Q239" t="s">
        <v>838</v>
      </c>
      <c r="R239" t="s">
        <v>857</v>
      </c>
    </row>
    <row r="240" spans="1:18" hidden="1" x14ac:dyDescent="0.3">
      <c r="A240" t="s">
        <v>835</v>
      </c>
      <c r="B240">
        <v>7</v>
      </c>
      <c r="C240" t="s">
        <v>97</v>
      </c>
      <c r="D240">
        <v>2141</v>
      </c>
      <c r="E240">
        <v>1338</v>
      </c>
      <c r="F240">
        <v>2418</v>
      </c>
      <c r="G240">
        <v>1546</v>
      </c>
      <c r="H240">
        <v>277</v>
      </c>
      <c r="I240">
        <v>208</v>
      </c>
      <c r="J240" t="s">
        <v>818</v>
      </c>
      <c r="K240" t="s">
        <v>810</v>
      </c>
      <c r="L240" t="s">
        <v>567</v>
      </c>
      <c r="M240">
        <v>2279</v>
      </c>
      <c r="N240">
        <v>1442</v>
      </c>
      <c r="O240" t="s">
        <v>858</v>
      </c>
      <c r="P240" t="s">
        <v>859</v>
      </c>
      <c r="Q240" t="s">
        <v>838</v>
      </c>
      <c r="R240" t="s">
        <v>851</v>
      </c>
    </row>
    <row r="241" spans="1:18" x14ac:dyDescent="0.3">
      <c r="A241" t="s">
        <v>860</v>
      </c>
      <c r="B241">
        <v>0</v>
      </c>
      <c r="C241" t="s">
        <v>1</v>
      </c>
      <c r="D241">
        <v>546</v>
      </c>
      <c r="E241">
        <v>1364</v>
      </c>
      <c r="F241">
        <v>961</v>
      </c>
      <c r="G241">
        <v>1567</v>
      </c>
      <c r="H241">
        <v>415</v>
      </c>
      <c r="I241">
        <v>203</v>
      </c>
      <c r="J241" t="s">
        <v>861</v>
      </c>
      <c r="K241" t="s">
        <v>738</v>
      </c>
      <c r="L241" t="s">
        <v>51</v>
      </c>
      <c r="M241">
        <v>753</v>
      </c>
      <c r="N241">
        <v>1465</v>
      </c>
      <c r="O241" t="s">
        <v>577</v>
      </c>
      <c r="P241" t="s">
        <v>141</v>
      </c>
      <c r="Q241" t="s">
        <v>862</v>
      </c>
      <c r="R241" t="s">
        <v>793</v>
      </c>
    </row>
    <row r="242" spans="1:18" x14ac:dyDescent="0.3">
      <c r="A242" t="s">
        <v>860</v>
      </c>
      <c r="B242">
        <v>1</v>
      </c>
      <c r="C242" t="s">
        <v>1</v>
      </c>
      <c r="D242">
        <v>2117</v>
      </c>
      <c r="E242">
        <v>1371</v>
      </c>
      <c r="F242">
        <v>2391</v>
      </c>
      <c r="G242">
        <v>1570</v>
      </c>
      <c r="H242">
        <v>274</v>
      </c>
      <c r="I242">
        <v>199</v>
      </c>
      <c r="J242" t="s">
        <v>863</v>
      </c>
      <c r="K242" t="s">
        <v>783</v>
      </c>
      <c r="L242" t="s">
        <v>209</v>
      </c>
      <c r="M242">
        <v>2254</v>
      </c>
      <c r="N242">
        <v>1470</v>
      </c>
      <c r="O242" t="s">
        <v>864</v>
      </c>
      <c r="P242" t="s">
        <v>182</v>
      </c>
      <c r="Q242" t="s">
        <v>862</v>
      </c>
      <c r="R242" t="s">
        <v>820</v>
      </c>
    </row>
    <row r="243" spans="1:18" x14ac:dyDescent="0.3">
      <c r="A243" t="s">
        <v>860</v>
      </c>
      <c r="B243">
        <v>2</v>
      </c>
      <c r="C243" t="s">
        <v>1</v>
      </c>
      <c r="D243">
        <v>0</v>
      </c>
      <c r="E243">
        <v>1344</v>
      </c>
      <c r="F243">
        <v>231</v>
      </c>
      <c r="G243">
        <v>1585</v>
      </c>
      <c r="H243">
        <v>231</v>
      </c>
      <c r="I243">
        <v>241</v>
      </c>
      <c r="J243" t="s">
        <v>637</v>
      </c>
      <c r="K243" t="s">
        <v>865</v>
      </c>
      <c r="L243" t="s">
        <v>67</v>
      </c>
      <c r="M243">
        <v>115</v>
      </c>
      <c r="N243">
        <v>1464</v>
      </c>
      <c r="O243" t="s">
        <v>639</v>
      </c>
      <c r="P243" t="s">
        <v>335</v>
      </c>
      <c r="Q243" t="s">
        <v>862</v>
      </c>
      <c r="R243" t="s">
        <v>640</v>
      </c>
    </row>
    <row r="244" spans="1:18" x14ac:dyDescent="0.3">
      <c r="A244" t="s">
        <v>860</v>
      </c>
      <c r="B244">
        <v>3</v>
      </c>
      <c r="C244" t="s">
        <v>1</v>
      </c>
      <c r="D244">
        <v>1699</v>
      </c>
      <c r="E244">
        <v>1344</v>
      </c>
      <c r="F244">
        <v>1981</v>
      </c>
      <c r="G244">
        <v>1565</v>
      </c>
      <c r="H244">
        <v>282</v>
      </c>
      <c r="I244">
        <v>221</v>
      </c>
      <c r="J244" t="s">
        <v>844</v>
      </c>
      <c r="K244" t="s">
        <v>24</v>
      </c>
      <c r="L244" t="s">
        <v>686</v>
      </c>
      <c r="M244">
        <v>1840</v>
      </c>
      <c r="N244">
        <v>1454</v>
      </c>
      <c r="O244" t="s">
        <v>845</v>
      </c>
      <c r="P244" t="s">
        <v>262</v>
      </c>
      <c r="Q244" t="s">
        <v>862</v>
      </c>
      <c r="R244" t="s">
        <v>150</v>
      </c>
    </row>
    <row r="245" spans="1:18" x14ac:dyDescent="0.3">
      <c r="A245" t="s">
        <v>860</v>
      </c>
      <c r="B245">
        <v>4</v>
      </c>
      <c r="C245" t="s">
        <v>1</v>
      </c>
      <c r="D245">
        <v>204</v>
      </c>
      <c r="E245">
        <v>1338</v>
      </c>
      <c r="F245">
        <v>665</v>
      </c>
      <c r="G245">
        <v>1561</v>
      </c>
      <c r="H245">
        <v>461</v>
      </c>
      <c r="I245">
        <v>223</v>
      </c>
      <c r="J245" t="s">
        <v>866</v>
      </c>
      <c r="K245" t="s">
        <v>867</v>
      </c>
      <c r="L245" t="s">
        <v>868</v>
      </c>
      <c r="M245">
        <v>434</v>
      </c>
      <c r="N245">
        <v>1449</v>
      </c>
      <c r="O245" t="s">
        <v>869</v>
      </c>
      <c r="P245" t="s">
        <v>313</v>
      </c>
      <c r="Q245" t="s">
        <v>862</v>
      </c>
      <c r="R245" t="s">
        <v>870</v>
      </c>
    </row>
    <row r="246" spans="1:18" x14ac:dyDescent="0.3">
      <c r="A246" t="s">
        <v>871</v>
      </c>
      <c r="B246">
        <v>0</v>
      </c>
      <c r="C246" t="s">
        <v>1</v>
      </c>
      <c r="D246">
        <v>451</v>
      </c>
      <c r="E246">
        <v>1365</v>
      </c>
      <c r="F246">
        <v>903</v>
      </c>
      <c r="G246">
        <v>1574</v>
      </c>
      <c r="H246">
        <v>452</v>
      </c>
      <c r="I246">
        <v>209</v>
      </c>
      <c r="J246" t="s">
        <v>872</v>
      </c>
      <c r="K246" t="s">
        <v>873</v>
      </c>
      <c r="L246" t="s">
        <v>874</v>
      </c>
      <c r="M246">
        <v>677</v>
      </c>
      <c r="N246">
        <v>1469</v>
      </c>
      <c r="O246" t="s">
        <v>875</v>
      </c>
      <c r="P246" t="s">
        <v>102</v>
      </c>
      <c r="Q246" t="s">
        <v>876</v>
      </c>
      <c r="R246" t="s">
        <v>877</v>
      </c>
    </row>
    <row r="247" spans="1:18" x14ac:dyDescent="0.3">
      <c r="A247" t="s">
        <v>871</v>
      </c>
      <c r="B247">
        <v>1</v>
      </c>
      <c r="C247" t="s">
        <v>1</v>
      </c>
      <c r="D247">
        <v>1650</v>
      </c>
      <c r="E247">
        <v>1345</v>
      </c>
      <c r="F247">
        <v>1923</v>
      </c>
      <c r="G247">
        <v>1562</v>
      </c>
      <c r="H247">
        <v>273</v>
      </c>
      <c r="I247">
        <v>217</v>
      </c>
      <c r="J247" t="s">
        <v>385</v>
      </c>
      <c r="K247" t="s">
        <v>372</v>
      </c>
      <c r="L247" t="s">
        <v>878</v>
      </c>
      <c r="M247">
        <v>1786</v>
      </c>
      <c r="N247">
        <v>1453</v>
      </c>
      <c r="O247" t="s">
        <v>850</v>
      </c>
      <c r="P247" t="s">
        <v>30</v>
      </c>
      <c r="Q247" t="s">
        <v>876</v>
      </c>
      <c r="R247" t="s">
        <v>240</v>
      </c>
    </row>
    <row r="248" spans="1:18" x14ac:dyDescent="0.3">
      <c r="A248" t="s">
        <v>871</v>
      </c>
      <c r="B248">
        <v>2</v>
      </c>
      <c r="C248" t="s">
        <v>1</v>
      </c>
      <c r="D248">
        <v>2073</v>
      </c>
      <c r="E248">
        <v>1374</v>
      </c>
      <c r="F248">
        <v>2333</v>
      </c>
      <c r="G248">
        <v>1568</v>
      </c>
      <c r="H248">
        <v>260</v>
      </c>
      <c r="I248">
        <v>194</v>
      </c>
      <c r="J248" t="s">
        <v>852</v>
      </c>
      <c r="K248" t="s">
        <v>667</v>
      </c>
      <c r="L248" t="s">
        <v>401</v>
      </c>
      <c r="M248">
        <v>2203</v>
      </c>
      <c r="N248">
        <v>1471</v>
      </c>
      <c r="O248" t="s">
        <v>855</v>
      </c>
      <c r="P248" t="s">
        <v>69</v>
      </c>
      <c r="Q248" t="s">
        <v>876</v>
      </c>
      <c r="R248" t="s">
        <v>150</v>
      </c>
    </row>
    <row r="249" spans="1:18" x14ac:dyDescent="0.3">
      <c r="A249" t="s">
        <v>879</v>
      </c>
      <c r="B249">
        <v>0</v>
      </c>
      <c r="C249" t="s">
        <v>1</v>
      </c>
      <c r="D249">
        <v>2038</v>
      </c>
      <c r="E249">
        <v>1498</v>
      </c>
      <c r="F249">
        <v>2305</v>
      </c>
      <c r="G249">
        <v>1688</v>
      </c>
      <c r="H249">
        <v>267</v>
      </c>
      <c r="I249">
        <v>190</v>
      </c>
      <c r="J249" t="s">
        <v>880</v>
      </c>
      <c r="K249" t="s">
        <v>821</v>
      </c>
      <c r="L249" t="s">
        <v>148</v>
      </c>
      <c r="M249">
        <v>2171</v>
      </c>
      <c r="N249">
        <v>1593</v>
      </c>
      <c r="O249" t="s">
        <v>881</v>
      </c>
      <c r="P249" t="s">
        <v>335</v>
      </c>
      <c r="Q249" t="s">
        <v>882</v>
      </c>
      <c r="R249" t="s">
        <v>87</v>
      </c>
    </row>
    <row r="250" spans="1:18" x14ac:dyDescent="0.3">
      <c r="A250" t="s">
        <v>879</v>
      </c>
      <c r="B250">
        <v>1</v>
      </c>
      <c r="C250" t="s">
        <v>1</v>
      </c>
      <c r="D250">
        <v>0</v>
      </c>
      <c r="E250">
        <v>1465</v>
      </c>
      <c r="F250">
        <v>118</v>
      </c>
      <c r="G250">
        <v>1706</v>
      </c>
      <c r="H250">
        <v>118</v>
      </c>
      <c r="I250">
        <v>241</v>
      </c>
      <c r="J250" t="s">
        <v>883</v>
      </c>
      <c r="K250" t="s">
        <v>865</v>
      </c>
      <c r="L250" t="s">
        <v>884</v>
      </c>
      <c r="M250">
        <v>59</v>
      </c>
      <c r="N250">
        <v>1585</v>
      </c>
      <c r="O250" t="s">
        <v>885</v>
      </c>
      <c r="P250" t="s">
        <v>262</v>
      </c>
      <c r="Q250" t="s">
        <v>882</v>
      </c>
      <c r="R250" t="s">
        <v>886</v>
      </c>
    </row>
    <row r="251" spans="1:18" x14ac:dyDescent="0.3">
      <c r="A251" t="s">
        <v>879</v>
      </c>
      <c r="B251">
        <v>2</v>
      </c>
      <c r="C251" t="s">
        <v>1</v>
      </c>
      <c r="D251">
        <v>423</v>
      </c>
      <c r="E251">
        <v>1489</v>
      </c>
      <c r="F251">
        <v>873</v>
      </c>
      <c r="G251">
        <v>1689</v>
      </c>
      <c r="H251">
        <v>450</v>
      </c>
      <c r="I251">
        <v>200</v>
      </c>
      <c r="J251" t="s">
        <v>790</v>
      </c>
      <c r="K251" t="s">
        <v>323</v>
      </c>
      <c r="L251" t="s">
        <v>811</v>
      </c>
      <c r="M251">
        <v>648</v>
      </c>
      <c r="N251">
        <v>1589</v>
      </c>
      <c r="O251" t="s">
        <v>792</v>
      </c>
      <c r="P251" t="s">
        <v>197</v>
      </c>
      <c r="Q251" t="s">
        <v>882</v>
      </c>
      <c r="R251" t="s">
        <v>20</v>
      </c>
    </row>
    <row r="252" spans="1:18" x14ac:dyDescent="0.3">
      <c r="A252" t="s">
        <v>879</v>
      </c>
      <c r="B252">
        <v>3</v>
      </c>
      <c r="C252" t="s">
        <v>1</v>
      </c>
      <c r="D252">
        <v>1615</v>
      </c>
      <c r="E252">
        <v>1466</v>
      </c>
      <c r="F252">
        <v>1959</v>
      </c>
      <c r="G252">
        <v>1685</v>
      </c>
      <c r="H252">
        <v>344</v>
      </c>
      <c r="I252">
        <v>219</v>
      </c>
      <c r="J252" t="s">
        <v>887</v>
      </c>
      <c r="K252" t="s">
        <v>753</v>
      </c>
      <c r="L252" t="s">
        <v>94</v>
      </c>
      <c r="M252">
        <v>1787</v>
      </c>
      <c r="N252">
        <v>1575</v>
      </c>
      <c r="O252" t="s">
        <v>888</v>
      </c>
      <c r="P252" t="s">
        <v>63</v>
      </c>
      <c r="Q252" t="s">
        <v>882</v>
      </c>
      <c r="R252" t="s">
        <v>240</v>
      </c>
    </row>
    <row r="253" spans="1:18" x14ac:dyDescent="0.3">
      <c r="A253" t="s">
        <v>889</v>
      </c>
      <c r="B253">
        <v>0</v>
      </c>
      <c r="C253" t="s">
        <v>1</v>
      </c>
      <c r="D253">
        <v>564</v>
      </c>
      <c r="E253">
        <v>1445</v>
      </c>
      <c r="F253">
        <v>982</v>
      </c>
      <c r="G253">
        <v>1650</v>
      </c>
      <c r="H253">
        <v>418</v>
      </c>
      <c r="I253">
        <v>205</v>
      </c>
      <c r="J253" t="s">
        <v>490</v>
      </c>
      <c r="K253" t="s">
        <v>759</v>
      </c>
      <c r="L253" t="s">
        <v>51</v>
      </c>
      <c r="M253">
        <v>773</v>
      </c>
      <c r="N253">
        <v>1547</v>
      </c>
      <c r="O253" t="s">
        <v>493</v>
      </c>
      <c r="P253" t="s">
        <v>182</v>
      </c>
      <c r="Q253" t="s">
        <v>890</v>
      </c>
      <c r="R253" t="s">
        <v>891</v>
      </c>
    </row>
    <row r="254" spans="1:18" x14ac:dyDescent="0.3">
      <c r="A254" t="s">
        <v>889</v>
      </c>
      <c r="B254">
        <v>1</v>
      </c>
      <c r="C254" t="s">
        <v>1</v>
      </c>
      <c r="D254">
        <v>1</v>
      </c>
      <c r="E254">
        <v>1400</v>
      </c>
      <c r="F254">
        <v>247</v>
      </c>
      <c r="G254">
        <v>1660</v>
      </c>
      <c r="H254">
        <v>246</v>
      </c>
      <c r="I254">
        <v>260</v>
      </c>
      <c r="J254" t="s">
        <v>892</v>
      </c>
      <c r="K254" t="s">
        <v>541</v>
      </c>
      <c r="L254" t="s">
        <v>295</v>
      </c>
      <c r="M254">
        <v>124</v>
      </c>
      <c r="N254">
        <v>1530</v>
      </c>
      <c r="O254" t="s">
        <v>893</v>
      </c>
      <c r="P254" t="s">
        <v>386</v>
      </c>
      <c r="Q254" t="s">
        <v>890</v>
      </c>
      <c r="R254" t="s">
        <v>310</v>
      </c>
    </row>
    <row r="255" spans="1:18" x14ac:dyDescent="0.3">
      <c r="A255" t="s">
        <v>889</v>
      </c>
      <c r="B255">
        <v>2</v>
      </c>
      <c r="C255" t="s">
        <v>1</v>
      </c>
      <c r="D255">
        <v>2154</v>
      </c>
      <c r="E255">
        <v>1470</v>
      </c>
      <c r="F255">
        <v>2415</v>
      </c>
      <c r="G255">
        <v>1669</v>
      </c>
      <c r="H255">
        <v>261</v>
      </c>
      <c r="I255">
        <v>199</v>
      </c>
      <c r="J255" t="s">
        <v>794</v>
      </c>
      <c r="K255" t="s">
        <v>783</v>
      </c>
      <c r="L255" t="s">
        <v>894</v>
      </c>
      <c r="M255">
        <v>2284</v>
      </c>
      <c r="N255">
        <v>1569</v>
      </c>
      <c r="O255" t="s">
        <v>795</v>
      </c>
      <c r="P255" t="s">
        <v>386</v>
      </c>
      <c r="Q255" t="s">
        <v>890</v>
      </c>
      <c r="R255" t="s">
        <v>851</v>
      </c>
    </row>
    <row r="256" spans="1:18" x14ac:dyDescent="0.3">
      <c r="A256" t="s">
        <v>889</v>
      </c>
      <c r="B256">
        <v>3</v>
      </c>
      <c r="C256" t="s">
        <v>1</v>
      </c>
      <c r="D256">
        <v>1727</v>
      </c>
      <c r="E256">
        <v>1439</v>
      </c>
      <c r="F256">
        <v>2006</v>
      </c>
      <c r="G256">
        <v>1650</v>
      </c>
      <c r="H256">
        <v>279</v>
      </c>
      <c r="I256">
        <v>211</v>
      </c>
      <c r="J256" t="s">
        <v>895</v>
      </c>
      <c r="K256" t="s">
        <v>896</v>
      </c>
      <c r="L256" t="s">
        <v>239</v>
      </c>
      <c r="M256">
        <v>1866</v>
      </c>
      <c r="N256">
        <v>1544</v>
      </c>
      <c r="O256" t="s">
        <v>897</v>
      </c>
      <c r="P256" t="s">
        <v>750</v>
      </c>
      <c r="Q256" t="s">
        <v>890</v>
      </c>
      <c r="R256" t="s">
        <v>168</v>
      </c>
    </row>
    <row r="257" spans="1:18" x14ac:dyDescent="0.3">
      <c r="A257" t="s">
        <v>889</v>
      </c>
      <c r="B257">
        <v>5</v>
      </c>
      <c r="C257" t="s">
        <v>1</v>
      </c>
      <c r="D257">
        <v>221</v>
      </c>
      <c r="E257">
        <v>1441</v>
      </c>
      <c r="F257">
        <v>642</v>
      </c>
      <c r="G257">
        <v>1632</v>
      </c>
      <c r="H257">
        <v>421</v>
      </c>
      <c r="I257">
        <v>191</v>
      </c>
      <c r="J257" t="s">
        <v>898</v>
      </c>
      <c r="K257" t="s">
        <v>308</v>
      </c>
      <c r="L257" t="s">
        <v>899</v>
      </c>
      <c r="M257">
        <v>431</v>
      </c>
      <c r="N257">
        <v>1536</v>
      </c>
      <c r="O257" t="s">
        <v>900</v>
      </c>
      <c r="P257" t="s">
        <v>736</v>
      </c>
      <c r="Q257" t="s">
        <v>890</v>
      </c>
      <c r="R257" t="s">
        <v>870</v>
      </c>
    </row>
    <row r="258" spans="1:18" x14ac:dyDescent="0.3">
      <c r="A258" t="s">
        <v>889</v>
      </c>
      <c r="B258">
        <v>6</v>
      </c>
      <c r="C258" t="s">
        <v>1</v>
      </c>
      <c r="D258">
        <v>415</v>
      </c>
      <c r="E258">
        <v>1445</v>
      </c>
      <c r="F258">
        <v>644</v>
      </c>
      <c r="G258">
        <v>1630</v>
      </c>
      <c r="H258">
        <v>229</v>
      </c>
      <c r="I258">
        <v>185</v>
      </c>
      <c r="J258" t="s">
        <v>901</v>
      </c>
      <c r="K258" t="s">
        <v>902</v>
      </c>
      <c r="L258" t="s">
        <v>903</v>
      </c>
      <c r="M258">
        <v>529</v>
      </c>
      <c r="N258">
        <v>1537</v>
      </c>
      <c r="O258" t="s">
        <v>904</v>
      </c>
      <c r="P258" t="s">
        <v>695</v>
      </c>
      <c r="Q258" t="s">
        <v>890</v>
      </c>
      <c r="R258" t="s">
        <v>569</v>
      </c>
    </row>
    <row r="259" spans="1:18" x14ac:dyDescent="0.3">
      <c r="A259" t="s">
        <v>905</v>
      </c>
      <c r="B259">
        <v>0</v>
      </c>
      <c r="C259" t="s">
        <v>1</v>
      </c>
      <c r="D259">
        <v>2330</v>
      </c>
      <c r="E259">
        <v>1650</v>
      </c>
      <c r="F259">
        <v>2658</v>
      </c>
      <c r="G259">
        <v>1857</v>
      </c>
      <c r="H259">
        <v>328</v>
      </c>
      <c r="I259">
        <v>207</v>
      </c>
      <c r="J259" t="s">
        <v>459</v>
      </c>
      <c r="K259" t="s">
        <v>778</v>
      </c>
      <c r="L259" t="s">
        <v>231</v>
      </c>
      <c r="M259">
        <v>2494</v>
      </c>
      <c r="N259">
        <v>1753</v>
      </c>
      <c r="O259" t="s">
        <v>906</v>
      </c>
      <c r="P259" t="s">
        <v>141</v>
      </c>
      <c r="Q259" t="s">
        <v>907</v>
      </c>
      <c r="R259" t="s">
        <v>908</v>
      </c>
    </row>
    <row r="260" spans="1:18" x14ac:dyDescent="0.3">
      <c r="A260" t="s">
        <v>905</v>
      </c>
      <c r="B260">
        <v>1</v>
      </c>
      <c r="C260" t="s">
        <v>1</v>
      </c>
      <c r="D260">
        <v>1984</v>
      </c>
      <c r="E260">
        <v>1626</v>
      </c>
      <c r="F260">
        <v>2247</v>
      </c>
      <c r="G260">
        <v>1828</v>
      </c>
      <c r="H260">
        <v>263</v>
      </c>
      <c r="I260">
        <v>202</v>
      </c>
      <c r="J260" t="s">
        <v>909</v>
      </c>
      <c r="K260" t="s">
        <v>273</v>
      </c>
      <c r="L260" t="s">
        <v>441</v>
      </c>
      <c r="M260">
        <v>2115</v>
      </c>
      <c r="N260">
        <v>1727</v>
      </c>
      <c r="O260" t="s">
        <v>910</v>
      </c>
      <c r="P260" t="s">
        <v>141</v>
      </c>
      <c r="Q260" t="s">
        <v>907</v>
      </c>
      <c r="R260" t="s">
        <v>911</v>
      </c>
    </row>
    <row r="261" spans="1:18" x14ac:dyDescent="0.3">
      <c r="A261" t="s">
        <v>905</v>
      </c>
      <c r="B261">
        <v>2</v>
      </c>
      <c r="C261" t="s">
        <v>1</v>
      </c>
      <c r="D261">
        <v>380</v>
      </c>
      <c r="E261">
        <v>1589</v>
      </c>
      <c r="F261">
        <v>795</v>
      </c>
      <c r="G261">
        <v>1804</v>
      </c>
      <c r="H261">
        <v>415</v>
      </c>
      <c r="I261">
        <v>215</v>
      </c>
      <c r="J261" t="s">
        <v>861</v>
      </c>
      <c r="K261" t="s">
        <v>365</v>
      </c>
      <c r="L261" t="s">
        <v>409</v>
      </c>
      <c r="M261">
        <v>587</v>
      </c>
      <c r="N261">
        <v>1696</v>
      </c>
      <c r="O261" t="s">
        <v>577</v>
      </c>
      <c r="P261" t="s">
        <v>182</v>
      </c>
      <c r="Q261" t="s">
        <v>907</v>
      </c>
      <c r="R261" t="s">
        <v>96</v>
      </c>
    </row>
    <row r="262" spans="1:18" x14ac:dyDescent="0.3">
      <c r="A262" t="s">
        <v>905</v>
      </c>
      <c r="B262">
        <v>3</v>
      </c>
      <c r="C262" t="s">
        <v>1</v>
      </c>
      <c r="D262">
        <v>1554</v>
      </c>
      <c r="E262">
        <v>1591</v>
      </c>
      <c r="F262">
        <v>1847</v>
      </c>
      <c r="G262">
        <v>1813</v>
      </c>
      <c r="H262">
        <v>293</v>
      </c>
      <c r="I262">
        <v>222</v>
      </c>
      <c r="J262" t="s">
        <v>912</v>
      </c>
      <c r="K262" t="s">
        <v>847</v>
      </c>
      <c r="L262" t="s">
        <v>239</v>
      </c>
      <c r="M262">
        <v>1700</v>
      </c>
      <c r="N262">
        <v>1702</v>
      </c>
      <c r="O262" t="s">
        <v>913</v>
      </c>
      <c r="P262" t="s">
        <v>69</v>
      </c>
      <c r="Q262" t="s">
        <v>907</v>
      </c>
      <c r="R262" t="s">
        <v>13</v>
      </c>
    </row>
    <row r="263" spans="1:18" x14ac:dyDescent="0.3">
      <c r="A263" t="s">
        <v>905</v>
      </c>
      <c r="B263">
        <v>6</v>
      </c>
      <c r="C263" t="s">
        <v>1</v>
      </c>
      <c r="D263">
        <v>2</v>
      </c>
      <c r="E263">
        <v>1476</v>
      </c>
      <c r="F263">
        <v>272</v>
      </c>
      <c r="G263">
        <v>1649</v>
      </c>
      <c r="H263">
        <v>270</v>
      </c>
      <c r="I263">
        <v>173</v>
      </c>
      <c r="J263" t="s">
        <v>806</v>
      </c>
      <c r="K263" t="s">
        <v>914</v>
      </c>
      <c r="L263" t="s">
        <v>915</v>
      </c>
      <c r="M263">
        <v>137</v>
      </c>
      <c r="N263">
        <v>1562</v>
      </c>
      <c r="O263" t="s">
        <v>807</v>
      </c>
      <c r="P263" t="s">
        <v>721</v>
      </c>
      <c r="Q263" t="s">
        <v>907</v>
      </c>
      <c r="R263" t="s">
        <v>916</v>
      </c>
    </row>
    <row r="264" spans="1:18" x14ac:dyDescent="0.3">
      <c r="A264" t="s">
        <v>917</v>
      </c>
      <c r="B264">
        <v>0</v>
      </c>
      <c r="C264" t="s">
        <v>1</v>
      </c>
      <c r="D264">
        <v>0</v>
      </c>
      <c r="E264">
        <v>1401</v>
      </c>
      <c r="F264">
        <v>402</v>
      </c>
      <c r="G264">
        <v>1661</v>
      </c>
      <c r="H264">
        <v>402</v>
      </c>
      <c r="I264">
        <v>260</v>
      </c>
      <c r="J264" t="s">
        <v>918</v>
      </c>
      <c r="K264" t="s">
        <v>541</v>
      </c>
      <c r="L264" t="s">
        <v>919</v>
      </c>
      <c r="M264">
        <v>201</v>
      </c>
      <c r="N264">
        <v>1531</v>
      </c>
      <c r="O264" t="s">
        <v>920</v>
      </c>
      <c r="P264" t="s">
        <v>102</v>
      </c>
      <c r="Q264" t="s">
        <v>921</v>
      </c>
      <c r="R264" t="s">
        <v>642</v>
      </c>
    </row>
    <row r="265" spans="1:18" x14ac:dyDescent="0.3">
      <c r="A265" t="s">
        <v>917</v>
      </c>
      <c r="B265">
        <v>1</v>
      </c>
      <c r="C265" t="s">
        <v>1</v>
      </c>
      <c r="D265">
        <v>674</v>
      </c>
      <c r="E265">
        <v>1440</v>
      </c>
      <c r="F265">
        <v>1084</v>
      </c>
      <c r="G265">
        <v>1635</v>
      </c>
      <c r="H265">
        <v>410</v>
      </c>
      <c r="I265">
        <v>195</v>
      </c>
      <c r="J265" t="s">
        <v>922</v>
      </c>
      <c r="K265" t="s">
        <v>852</v>
      </c>
      <c r="L265" t="s">
        <v>290</v>
      </c>
      <c r="M265">
        <v>879</v>
      </c>
      <c r="N265">
        <v>1537</v>
      </c>
      <c r="O265" t="s">
        <v>923</v>
      </c>
      <c r="P265" t="s">
        <v>182</v>
      </c>
      <c r="Q265" t="s">
        <v>921</v>
      </c>
      <c r="R265" t="s">
        <v>924</v>
      </c>
    </row>
    <row r="266" spans="1:18" x14ac:dyDescent="0.3">
      <c r="A266" t="s">
        <v>917</v>
      </c>
      <c r="B266">
        <v>2</v>
      </c>
      <c r="C266" t="s">
        <v>1</v>
      </c>
      <c r="D266">
        <v>2232</v>
      </c>
      <c r="E266">
        <v>1436</v>
      </c>
      <c r="F266">
        <v>2512</v>
      </c>
      <c r="G266">
        <v>1633</v>
      </c>
      <c r="H266">
        <v>280</v>
      </c>
      <c r="I266">
        <v>197</v>
      </c>
      <c r="J266" t="s">
        <v>184</v>
      </c>
      <c r="K266" t="s">
        <v>432</v>
      </c>
      <c r="L266" t="s">
        <v>47</v>
      </c>
      <c r="M266">
        <v>2372</v>
      </c>
      <c r="N266">
        <v>1534</v>
      </c>
      <c r="O266" t="s">
        <v>185</v>
      </c>
      <c r="P266" t="s">
        <v>386</v>
      </c>
      <c r="Q266" t="s">
        <v>921</v>
      </c>
      <c r="R266" t="s">
        <v>925</v>
      </c>
    </row>
    <row r="267" spans="1:18" x14ac:dyDescent="0.3">
      <c r="A267" t="s">
        <v>917</v>
      </c>
      <c r="B267">
        <v>3</v>
      </c>
      <c r="C267" t="s">
        <v>1</v>
      </c>
      <c r="D267">
        <v>1056</v>
      </c>
      <c r="E267">
        <v>1438</v>
      </c>
      <c r="F267">
        <v>1257</v>
      </c>
      <c r="G267">
        <v>1653</v>
      </c>
      <c r="H267">
        <v>201</v>
      </c>
      <c r="I267">
        <v>215</v>
      </c>
      <c r="J267" t="s">
        <v>926</v>
      </c>
      <c r="K267" t="s">
        <v>365</v>
      </c>
      <c r="L267" t="s">
        <v>246</v>
      </c>
      <c r="M267">
        <v>1156</v>
      </c>
      <c r="N267">
        <v>1545</v>
      </c>
      <c r="O267" t="s">
        <v>927</v>
      </c>
      <c r="P267" t="s">
        <v>63</v>
      </c>
      <c r="Q267" t="s">
        <v>921</v>
      </c>
      <c r="R267" t="s">
        <v>928</v>
      </c>
    </row>
    <row r="268" spans="1:18" x14ac:dyDescent="0.3">
      <c r="A268" t="s">
        <v>917</v>
      </c>
      <c r="B268">
        <v>4</v>
      </c>
      <c r="C268" t="s">
        <v>1</v>
      </c>
      <c r="D268">
        <v>369</v>
      </c>
      <c r="E268">
        <v>1428</v>
      </c>
      <c r="F268">
        <v>749</v>
      </c>
      <c r="G268">
        <v>1615</v>
      </c>
      <c r="H268">
        <v>380</v>
      </c>
      <c r="I268">
        <v>187</v>
      </c>
      <c r="J268" t="s">
        <v>564</v>
      </c>
      <c r="K268" t="s">
        <v>929</v>
      </c>
      <c r="L268" t="s">
        <v>345</v>
      </c>
      <c r="M268">
        <v>559</v>
      </c>
      <c r="N268">
        <v>1521</v>
      </c>
      <c r="O268" t="s">
        <v>930</v>
      </c>
      <c r="P268" t="s">
        <v>313</v>
      </c>
      <c r="Q268" t="s">
        <v>921</v>
      </c>
      <c r="R268" t="s">
        <v>53</v>
      </c>
    </row>
    <row r="269" spans="1:18" x14ac:dyDescent="0.3">
      <c r="A269" t="s">
        <v>917</v>
      </c>
      <c r="B269">
        <v>5</v>
      </c>
      <c r="C269" t="s">
        <v>1</v>
      </c>
      <c r="D269">
        <v>1817</v>
      </c>
      <c r="E269">
        <v>1412</v>
      </c>
      <c r="F269">
        <v>2088</v>
      </c>
      <c r="G269">
        <v>1632</v>
      </c>
      <c r="H269">
        <v>271</v>
      </c>
      <c r="I269">
        <v>220</v>
      </c>
      <c r="J269" t="s">
        <v>803</v>
      </c>
      <c r="K269" t="s">
        <v>390</v>
      </c>
      <c r="L269" t="s">
        <v>931</v>
      </c>
      <c r="M269">
        <v>1952</v>
      </c>
      <c r="N269">
        <v>1522</v>
      </c>
      <c r="O269" t="s">
        <v>804</v>
      </c>
      <c r="P269" t="s">
        <v>155</v>
      </c>
      <c r="Q269" t="s">
        <v>921</v>
      </c>
      <c r="R269" t="s">
        <v>823</v>
      </c>
    </row>
    <row r="270" spans="1:18" x14ac:dyDescent="0.3">
      <c r="A270" t="s">
        <v>917</v>
      </c>
      <c r="B270">
        <v>6</v>
      </c>
      <c r="C270" t="s">
        <v>1</v>
      </c>
      <c r="D270">
        <v>2959</v>
      </c>
      <c r="E270">
        <v>1404</v>
      </c>
      <c r="F270">
        <v>3276</v>
      </c>
      <c r="G270">
        <v>1658</v>
      </c>
      <c r="H270">
        <v>317</v>
      </c>
      <c r="I270">
        <v>254</v>
      </c>
      <c r="J270" t="s">
        <v>932</v>
      </c>
      <c r="K270" t="s">
        <v>787</v>
      </c>
      <c r="L270" t="s">
        <v>244</v>
      </c>
      <c r="M270">
        <v>3117</v>
      </c>
      <c r="N270">
        <v>1531</v>
      </c>
      <c r="O270" t="s">
        <v>933</v>
      </c>
      <c r="P270" t="s">
        <v>104</v>
      </c>
      <c r="Q270" t="s">
        <v>921</v>
      </c>
      <c r="R270" t="s">
        <v>934</v>
      </c>
    </row>
    <row r="271" spans="1:18" x14ac:dyDescent="0.3">
      <c r="A271" t="s">
        <v>917</v>
      </c>
      <c r="B271">
        <v>7</v>
      </c>
      <c r="C271" t="s">
        <v>1</v>
      </c>
      <c r="D271">
        <v>2582</v>
      </c>
      <c r="E271">
        <v>1449</v>
      </c>
      <c r="F271">
        <v>2768</v>
      </c>
      <c r="G271">
        <v>1649</v>
      </c>
      <c r="H271">
        <v>186</v>
      </c>
      <c r="I271">
        <v>200</v>
      </c>
      <c r="J271" t="s">
        <v>935</v>
      </c>
      <c r="K271" t="s">
        <v>323</v>
      </c>
      <c r="L271" t="s">
        <v>246</v>
      </c>
      <c r="M271">
        <v>2675</v>
      </c>
      <c r="N271">
        <v>1549</v>
      </c>
      <c r="O271" t="s">
        <v>936</v>
      </c>
      <c r="P271" t="s">
        <v>20</v>
      </c>
      <c r="Q271" t="s">
        <v>921</v>
      </c>
      <c r="R271" t="s">
        <v>8</v>
      </c>
    </row>
    <row r="272" spans="1:18" x14ac:dyDescent="0.3">
      <c r="A272" t="s">
        <v>917</v>
      </c>
      <c r="B272">
        <v>9</v>
      </c>
      <c r="C272" t="s">
        <v>1</v>
      </c>
      <c r="D272">
        <v>2581</v>
      </c>
      <c r="E272">
        <v>1448</v>
      </c>
      <c r="F272">
        <v>2909</v>
      </c>
      <c r="G272">
        <v>1649</v>
      </c>
      <c r="H272">
        <v>328</v>
      </c>
      <c r="I272">
        <v>201</v>
      </c>
      <c r="J272" t="s">
        <v>459</v>
      </c>
      <c r="K272" t="s">
        <v>357</v>
      </c>
      <c r="L272" t="s">
        <v>41</v>
      </c>
      <c r="M272">
        <v>2745</v>
      </c>
      <c r="N272">
        <v>1548</v>
      </c>
      <c r="O272" t="s">
        <v>906</v>
      </c>
      <c r="P272" t="s">
        <v>73</v>
      </c>
      <c r="Q272" t="s">
        <v>921</v>
      </c>
      <c r="R272" t="s">
        <v>937</v>
      </c>
    </row>
    <row r="273" spans="1:18" x14ac:dyDescent="0.3">
      <c r="A273" t="s">
        <v>938</v>
      </c>
      <c r="B273">
        <v>0</v>
      </c>
      <c r="C273" t="s">
        <v>1</v>
      </c>
      <c r="D273">
        <v>382</v>
      </c>
      <c r="E273">
        <v>1390</v>
      </c>
      <c r="F273">
        <v>840</v>
      </c>
      <c r="G273">
        <v>1597</v>
      </c>
      <c r="H273">
        <v>458</v>
      </c>
      <c r="I273">
        <v>207</v>
      </c>
      <c r="J273" t="s">
        <v>452</v>
      </c>
      <c r="K273" t="s">
        <v>778</v>
      </c>
      <c r="L273" t="s">
        <v>364</v>
      </c>
      <c r="M273">
        <v>611</v>
      </c>
      <c r="N273">
        <v>1493</v>
      </c>
      <c r="O273" t="s">
        <v>449</v>
      </c>
      <c r="P273" t="s">
        <v>102</v>
      </c>
      <c r="Q273" t="s">
        <v>939</v>
      </c>
      <c r="R273" t="s">
        <v>940</v>
      </c>
    </row>
    <row r="274" spans="1:18" x14ac:dyDescent="0.3">
      <c r="A274" t="s">
        <v>938</v>
      </c>
      <c r="B274">
        <v>1</v>
      </c>
      <c r="C274" t="s">
        <v>1</v>
      </c>
      <c r="D274">
        <v>2010</v>
      </c>
      <c r="E274">
        <v>1424</v>
      </c>
      <c r="F274">
        <v>2282</v>
      </c>
      <c r="G274">
        <v>1623</v>
      </c>
      <c r="H274">
        <v>272</v>
      </c>
      <c r="I274">
        <v>199</v>
      </c>
      <c r="J274" t="s">
        <v>436</v>
      </c>
      <c r="K274" t="s">
        <v>783</v>
      </c>
      <c r="L274" t="s">
        <v>294</v>
      </c>
      <c r="M274">
        <v>2146</v>
      </c>
      <c r="N274">
        <v>1523</v>
      </c>
      <c r="O274" t="s">
        <v>437</v>
      </c>
      <c r="P274" t="s">
        <v>130</v>
      </c>
      <c r="Q274" t="s">
        <v>939</v>
      </c>
      <c r="R274" t="s">
        <v>941</v>
      </c>
    </row>
    <row r="275" spans="1:18" x14ac:dyDescent="0.3">
      <c r="A275" t="s">
        <v>938</v>
      </c>
      <c r="B275">
        <v>2</v>
      </c>
      <c r="C275" t="s">
        <v>1</v>
      </c>
      <c r="D275">
        <v>1594</v>
      </c>
      <c r="E275">
        <v>1389</v>
      </c>
      <c r="F275">
        <v>1866</v>
      </c>
      <c r="G275">
        <v>1607</v>
      </c>
      <c r="H275">
        <v>272</v>
      </c>
      <c r="I275">
        <v>218</v>
      </c>
      <c r="J275" t="s">
        <v>436</v>
      </c>
      <c r="K275" t="s">
        <v>747</v>
      </c>
      <c r="L275" t="s">
        <v>244</v>
      </c>
      <c r="M275">
        <v>1730</v>
      </c>
      <c r="N275">
        <v>1498</v>
      </c>
      <c r="O275" t="s">
        <v>437</v>
      </c>
      <c r="P275" t="s">
        <v>182</v>
      </c>
      <c r="Q275" t="s">
        <v>939</v>
      </c>
      <c r="R275" t="s">
        <v>942</v>
      </c>
    </row>
    <row r="276" spans="1:18" x14ac:dyDescent="0.3">
      <c r="A276" t="s">
        <v>938</v>
      </c>
      <c r="B276">
        <v>3</v>
      </c>
      <c r="C276" t="s">
        <v>1</v>
      </c>
      <c r="D276">
        <v>793</v>
      </c>
      <c r="E276">
        <v>1399</v>
      </c>
      <c r="F276">
        <v>983</v>
      </c>
      <c r="G276">
        <v>1612</v>
      </c>
      <c r="H276">
        <v>190</v>
      </c>
      <c r="I276">
        <v>213</v>
      </c>
      <c r="J276" t="s">
        <v>943</v>
      </c>
      <c r="K276" t="s">
        <v>853</v>
      </c>
      <c r="L276" t="s">
        <v>19</v>
      </c>
      <c r="M276">
        <v>888</v>
      </c>
      <c r="N276">
        <v>1505</v>
      </c>
      <c r="O276" t="s">
        <v>944</v>
      </c>
      <c r="P276" t="s">
        <v>335</v>
      </c>
      <c r="Q276" t="s">
        <v>939</v>
      </c>
      <c r="R276" t="s">
        <v>198</v>
      </c>
    </row>
    <row r="277" spans="1:18" x14ac:dyDescent="0.3">
      <c r="A277" t="s">
        <v>938</v>
      </c>
      <c r="B277">
        <v>4</v>
      </c>
      <c r="C277" t="s">
        <v>1</v>
      </c>
      <c r="D277">
        <v>2356</v>
      </c>
      <c r="E277">
        <v>1449</v>
      </c>
      <c r="F277">
        <v>2522</v>
      </c>
      <c r="G277">
        <v>1637</v>
      </c>
      <c r="H277">
        <v>166</v>
      </c>
      <c r="I277">
        <v>188</v>
      </c>
      <c r="J277" t="s">
        <v>284</v>
      </c>
      <c r="K277" t="s">
        <v>945</v>
      </c>
      <c r="L277" t="s">
        <v>102</v>
      </c>
      <c r="M277">
        <v>2439</v>
      </c>
      <c r="N277">
        <v>1543</v>
      </c>
      <c r="O277" t="s">
        <v>286</v>
      </c>
      <c r="P277" t="s">
        <v>63</v>
      </c>
      <c r="Q277" t="s">
        <v>939</v>
      </c>
      <c r="R277" t="s">
        <v>946</v>
      </c>
    </row>
    <row r="278" spans="1:18" x14ac:dyDescent="0.3">
      <c r="A278" t="s">
        <v>938</v>
      </c>
      <c r="B278">
        <v>5</v>
      </c>
      <c r="C278" t="s">
        <v>1</v>
      </c>
      <c r="D278">
        <v>52</v>
      </c>
      <c r="E278">
        <v>1364</v>
      </c>
      <c r="F278">
        <v>471</v>
      </c>
      <c r="G278">
        <v>1558</v>
      </c>
      <c r="H278">
        <v>419</v>
      </c>
      <c r="I278">
        <v>194</v>
      </c>
      <c r="J278" t="s">
        <v>675</v>
      </c>
      <c r="K278" t="s">
        <v>667</v>
      </c>
      <c r="L278" t="s">
        <v>874</v>
      </c>
      <c r="M278">
        <v>261</v>
      </c>
      <c r="N278">
        <v>1461</v>
      </c>
      <c r="O278" t="s">
        <v>676</v>
      </c>
      <c r="P278" t="s">
        <v>69</v>
      </c>
      <c r="Q278" t="s">
        <v>939</v>
      </c>
      <c r="R278" t="s">
        <v>947</v>
      </c>
    </row>
    <row r="279" spans="1:18" x14ac:dyDescent="0.3">
      <c r="A279" t="s">
        <v>938</v>
      </c>
      <c r="B279">
        <v>6</v>
      </c>
      <c r="C279" t="s">
        <v>1</v>
      </c>
      <c r="D279">
        <v>0</v>
      </c>
      <c r="E279">
        <v>1384</v>
      </c>
      <c r="F279">
        <v>86</v>
      </c>
      <c r="G279">
        <v>1603</v>
      </c>
      <c r="H279">
        <v>86</v>
      </c>
      <c r="I279">
        <v>219</v>
      </c>
      <c r="J279" t="s">
        <v>948</v>
      </c>
      <c r="K279" t="s">
        <v>753</v>
      </c>
      <c r="L279" t="s">
        <v>624</v>
      </c>
      <c r="M279">
        <v>43</v>
      </c>
      <c r="N279">
        <v>1493</v>
      </c>
      <c r="O279" t="s">
        <v>949</v>
      </c>
      <c r="P279" t="s">
        <v>20</v>
      </c>
      <c r="Q279" t="s">
        <v>939</v>
      </c>
      <c r="R279" t="s">
        <v>368</v>
      </c>
    </row>
    <row r="280" spans="1:18" x14ac:dyDescent="0.3">
      <c r="A280" t="s">
        <v>938</v>
      </c>
      <c r="B280">
        <v>7</v>
      </c>
      <c r="C280" t="s">
        <v>1</v>
      </c>
      <c r="D280">
        <v>2662</v>
      </c>
      <c r="E280">
        <v>1400</v>
      </c>
      <c r="F280">
        <v>3020</v>
      </c>
      <c r="G280">
        <v>1661</v>
      </c>
      <c r="H280">
        <v>358</v>
      </c>
      <c r="I280">
        <v>261</v>
      </c>
      <c r="J280" t="s">
        <v>950</v>
      </c>
      <c r="K280" t="s">
        <v>250</v>
      </c>
      <c r="L280" t="s">
        <v>294</v>
      </c>
      <c r="M280">
        <v>2841</v>
      </c>
      <c r="N280">
        <v>1530</v>
      </c>
      <c r="O280" t="s">
        <v>951</v>
      </c>
      <c r="P280" t="s">
        <v>215</v>
      </c>
      <c r="Q280" t="s">
        <v>939</v>
      </c>
      <c r="R280" t="s">
        <v>696</v>
      </c>
    </row>
    <row r="281" spans="1:18" x14ac:dyDescent="0.3">
      <c r="A281" t="s">
        <v>952</v>
      </c>
      <c r="B281">
        <v>0</v>
      </c>
      <c r="C281" t="s">
        <v>1</v>
      </c>
      <c r="D281">
        <v>3182</v>
      </c>
      <c r="E281">
        <v>1423</v>
      </c>
      <c r="F281">
        <v>3691</v>
      </c>
      <c r="G281">
        <v>1667</v>
      </c>
      <c r="H281">
        <v>509</v>
      </c>
      <c r="I281">
        <v>244</v>
      </c>
      <c r="J281" t="s">
        <v>953</v>
      </c>
      <c r="K281" t="s">
        <v>954</v>
      </c>
      <c r="L281" t="s">
        <v>955</v>
      </c>
      <c r="M281">
        <v>3436</v>
      </c>
      <c r="N281">
        <v>1545</v>
      </c>
      <c r="O281" t="s">
        <v>956</v>
      </c>
      <c r="P281" t="s">
        <v>13</v>
      </c>
      <c r="Q281" t="s">
        <v>957</v>
      </c>
      <c r="R281" t="s">
        <v>164</v>
      </c>
    </row>
    <row r="282" spans="1:18" x14ac:dyDescent="0.3">
      <c r="A282" t="s">
        <v>952</v>
      </c>
      <c r="B282">
        <v>1</v>
      </c>
      <c r="C282" t="s">
        <v>1</v>
      </c>
      <c r="D282">
        <v>2395</v>
      </c>
      <c r="E282">
        <v>1427</v>
      </c>
      <c r="F282">
        <v>2720</v>
      </c>
      <c r="G282">
        <v>1628</v>
      </c>
      <c r="H282">
        <v>325</v>
      </c>
      <c r="I282">
        <v>201</v>
      </c>
      <c r="J282" t="s">
        <v>528</v>
      </c>
      <c r="K282" t="s">
        <v>357</v>
      </c>
      <c r="L282" t="s">
        <v>162</v>
      </c>
      <c r="M282">
        <v>2557</v>
      </c>
      <c r="N282">
        <v>1527</v>
      </c>
      <c r="O282" t="s">
        <v>530</v>
      </c>
      <c r="P282" t="s">
        <v>102</v>
      </c>
      <c r="Q282" t="s">
        <v>957</v>
      </c>
      <c r="R282" t="s">
        <v>958</v>
      </c>
    </row>
    <row r="283" spans="1:18" x14ac:dyDescent="0.3">
      <c r="A283" t="s">
        <v>952</v>
      </c>
      <c r="B283">
        <v>2</v>
      </c>
      <c r="C283" t="s">
        <v>1</v>
      </c>
      <c r="D283">
        <v>2767</v>
      </c>
      <c r="E283">
        <v>1359</v>
      </c>
      <c r="F283">
        <v>3193</v>
      </c>
      <c r="G283">
        <v>1657</v>
      </c>
      <c r="H283">
        <v>426</v>
      </c>
      <c r="I283">
        <v>298</v>
      </c>
      <c r="J283" t="s">
        <v>702</v>
      </c>
      <c r="K283" t="s">
        <v>177</v>
      </c>
      <c r="L283" t="s">
        <v>573</v>
      </c>
      <c r="M283">
        <v>2980</v>
      </c>
      <c r="N283">
        <v>1508</v>
      </c>
      <c r="O283" t="s">
        <v>46</v>
      </c>
      <c r="P283" t="s">
        <v>102</v>
      </c>
      <c r="Q283" t="s">
        <v>957</v>
      </c>
      <c r="R283" t="s">
        <v>959</v>
      </c>
    </row>
    <row r="284" spans="1:18" x14ac:dyDescent="0.3">
      <c r="A284" t="s">
        <v>952</v>
      </c>
      <c r="B284">
        <v>3</v>
      </c>
      <c r="C284" t="s">
        <v>1</v>
      </c>
      <c r="D284">
        <v>437</v>
      </c>
      <c r="E284">
        <v>1409</v>
      </c>
      <c r="F284">
        <v>853</v>
      </c>
      <c r="G284">
        <v>1611</v>
      </c>
      <c r="H284">
        <v>416</v>
      </c>
      <c r="I284">
        <v>202</v>
      </c>
      <c r="J284" t="s">
        <v>503</v>
      </c>
      <c r="K284" t="s">
        <v>273</v>
      </c>
      <c r="L284" t="s">
        <v>960</v>
      </c>
      <c r="M284">
        <v>645</v>
      </c>
      <c r="N284">
        <v>1510</v>
      </c>
      <c r="O284" t="s">
        <v>961</v>
      </c>
      <c r="P284" t="s">
        <v>130</v>
      </c>
      <c r="Q284" t="s">
        <v>957</v>
      </c>
      <c r="R284" t="s">
        <v>20</v>
      </c>
    </row>
    <row r="285" spans="1:18" x14ac:dyDescent="0.3">
      <c r="A285" t="s">
        <v>952</v>
      </c>
      <c r="B285">
        <v>4</v>
      </c>
      <c r="C285" t="s">
        <v>1</v>
      </c>
      <c r="D285">
        <v>2032</v>
      </c>
      <c r="E285">
        <v>1414</v>
      </c>
      <c r="F285">
        <v>2316</v>
      </c>
      <c r="G285">
        <v>1611</v>
      </c>
      <c r="H285">
        <v>284</v>
      </c>
      <c r="I285">
        <v>197</v>
      </c>
      <c r="J285" t="s">
        <v>853</v>
      </c>
      <c r="K285" t="s">
        <v>432</v>
      </c>
      <c r="L285" t="s">
        <v>492</v>
      </c>
      <c r="M285">
        <v>2174</v>
      </c>
      <c r="N285">
        <v>1512</v>
      </c>
      <c r="O285" t="s">
        <v>962</v>
      </c>
      <c r="P285" t="s">
        <v>335</v>
      </c>
      <c r="Q285" t="s">
        <v>957</v>
      </c>
      <c r="R285" t="s">
        <v>168</v>
      </c>
    </row>
    <row r="286" spans="1:18" x14ac:dyDescent="0.3">
      <c r="A286" t="s">
        <v>952</v>
      </c>
      <c r="B286">
        <v>5</v>
      </c>
      <c r="C286" t="s">
        <v>1</v>
      </c>
      <c r="D286">
        <v>18</v>
      </c>
      <c r="E286">
        <v>1406</v>
      </c>
      <c r="F286">
        <v>528</v>
      </c>
      <c r="G286">
        <v>1610</v>
      </c>
      <c r="H286">
        <v>510</v>
      </c>
      <c r="I286">
        <v>204</v>
      </c>
      <c r="J286" t="s">
        <v>963</v>
      </c>
      <c r="K286" t="s">
        <v>436</v>
      </c>
      <c r="L286" t="s">
        <v>964</v>
      </c>
      <c r="M286">
        <v>273</v>
      </c>
      <c r="N286">
        <v>1508</v>
      </c>
      <c r="O286" t="s">
        <v>965</v>
      </c>
      <c r="P286" t="s">
        <v>69</v>
      </c>
      <c r="Q286" t="s">
        <v>957</v>
      </c>
      <c r="R286" t="s">
        <v>966</v>
      </c>
    </row>
    <row r="287" spans="1:18" x14ac:dyDescent="0.3">
      <c r="A287" t="s">
        <v>952</v>
      </c>
      <c r="B287">
        <v>6</v>
      </c>
      <c r="C287" t="s">
        <v>1</v>
      </c>
      <c r="D287">
        <v>1619</v>
      </c>
      <c r="E287">
        <v>1383</v>
      </c>
      <c r="F287">
        <v>1909</v>
      </c>
      <c r="G287">
        <v>1607</v>
      </c>
      <c r="H287">
        <v>290</v>
      </c>
      <c r="I287">
        <v>224</v>
      </c>
      <c r="J287" t="s">
        <v>752</v>
      </c>
      <c r="K287" t="s">
        <v>967</v>
      </c>
      <c r="L287" t="s">
        <v>618</v>
      </c>
      <c r="M287">
        <v>1764</v>
      </c>
      <c r="N287">
        <v>1495</v>
      </c>
      <c r="O287" t="s">
        <v>754</v>
      </c>
      <c r="P287" t="s">
        <v>238</v>
      </c>
      <c r="Q287" t="s">
        <v>957</v>
      </c>
      <c r="R287" t="s">
        <v>785</v>
      </c>
    </row>
    <row r="288" spans="1:18" x14ac:dyDescent="0.3">
      <c r="A288" t="s">
        <v>952</v>
      </c>
      <c r="B288">
        <v>7</v>
      </c>
      <c r="C288" t="s">
        <v>1</v>
      </c>
      <c r="D288">
        <v>3669</v>
      </c>
      <c r="E288">
        <v>1454</v>
      </c>
      <c r="F288">
        <v>3993</v>
      </c>
      <c r="G288">
        <v>1666</v>
      </c>
      <c r="H288">
        <v>324</v>
      </c>
      <c r="I288">
        <v>212</v>
      </c>
      <c r="J288" t="s">
        <v>483</v>
      </c>
      <c r="K288" t="s">
        <v>968</v>
      </c>
      <c r="L288" t="s">
        <v>562</v>
      </c>
      <c r="M288">
        <v>3831</v>
      </c>
      <c r="N288">
        <v>1560</v>
      </c>
      <c r="O288" t="s">
        <v>969</v>
      </c>
      <c r="P288" t="s">
        <v>96</v>
      </c>
      <c r="Q288" t="s">
        <v>957</v>
      </c>
      <c r="R288" t="s">
        <v>642</v>
      </c>
    </row>
    <row r="289" spans="1:18" x14ac:dyDescent="0.3">
      <c r="A289" t="s">
        <v>952</v>
      </c>
      <c r="B289">
        <v>9</v>
      </c>
      <c r="C289" t="s">
        <v>1</v>
      </c>
      <c r="D289">
        <v>279</v>
      </c>
      <c r="E289">
        <v>1412</v>
      </c>
      <c r="F289">
        <v>523</v>
      </c>
      <c r="G289">
        <v>1603</v>
      </c>
      <c r="H289">
        <v>244</v>
      </c>
      <c r="I289">
        <v>191</v>
      </c>
      <c r="J289" t="s">
        <v>970</v>
      </c>
      <c r="K289" t="s">
        <v>308</v>
      </c>
      <c r="L289" t="s">
        <v>686</v>
      </c>
      <c r="M289">
        <v>401</v>
      </c>
      <c r="N289">
        <v>1507</v>
      </c>
      <c r="O289" t="s">
        <v>971</v>
      </c>
      <c r="P289" t="s">
        <v>642</v>
      </c>
      <c r="Q289" t="s">
        <v>957</v>
      </c>
      <c r="R289" t="s">
        <v>426</v>
      </c>
    </row>
    <row r="290" spans="1:18" x14ac:dyDescent="0.3">
      <c r="A290" t="s">
        <v>952</v>
      </c>
      <c r="B290">
        <v>10</v>
      </c>
      <c r="C290" t="s">
        <v>1</v>
      </c>
      <c r="D290">
        <v>1257</v>
      </c>
      <c r="E290">
        <v>1364</v>
      </c>
      <c r="F290">
        <v>1535</v>
      </c>
      <c r="G290">
        <v>1607</v>
      </c>
      <c r="H290">
        <v>278</v>
      </c>
      <c r="I290">
        <v>243</v>
      </c>
      <c r="J290" t="s">
        <v>26</v>
      </c>
      <c r="K290" t="s">
        <v>483</v>
      </c>
      <c r="L290" t="s">
        <v>972</v>
      </c>
      <c r="M290">
        <v>1396</v>
      </c>
      <c r="N290">
        <v>1485</v>
      </c>
      <c r="O290" t="s">
        <v>29</v>
      </c>
      <c r="P290" t="s">
        <v>115</v>
      </c>
      <c r="Q290" t="s">
        <v>957</v>
      </c>
      <c r="R290" t="s">
        <v>453</v>
      </c>
    </row>
    <row r="291" spans="1:18" x14ac:dyDescent="0.3">
      <c r="A291" t="s">
        <v>952</v>
      </c>
      <c r="B291">
        <v>12</v>
      </c>
      <c r="C291" t="s">
        <v>1</v>
      </c>
      <c r="D291">
        <v>2699</v>
      </c>
      <c r="E291">
        <v>1433</v>
      </c>
      <c r="F291">
        <v>2803</v>
      </c>
      <c r="G291">
        <v>1531</v>
      </c>
      <c r="H291">
        <v>104</v>
      </c>
      <c r="I291">
        <v>98</v>
      </c>
      <c r="J291" t="s">
        <v>973</v>
      </c>
      <c r="K291" t="s">
        <v>974</v>
      </c>
      <c r="L291" t="s">
        <v>975</v>
      </c>
      <c r="M291">
        <v>2751</v>
      </c>
      <c r="N291">
        <v>1482</v>
      </c>
      <c r="O291" t="s">
        <v>976</v>
      </c>
      <c r="P291" t="s">
        <v>721</v>
      </c>
      <c r="Q291" t="s">
        <v>957</v>
      </c>
      <c r="R291" t="s">
        <v>977</v>
      </c>
    </row>
    <row r="292" spans="1:18" x14ac:dyDescent="0.3">
      <c r="A292" t="s">
        <v>978</v>
      </c>
      <c r="B292">
        <v>0</v>
      </c>
      <c r="C292" t="s">
        <v>1</v>
      </c>
      <c r="D292">
        <v>3164</v>
      </c>
      <c r="E292">
        <v>1612</v>
      </c>
      <c r="F292">
        <v>3663</v>
      </c>
      <c r="G292">
        <v>1853</v>
      </c>
      <c r="H292">
        <v>499</v>
      </c>
      <c r="I292">
        <v>241</v>
      </c>
      <c r="J292" t="s">
        <v>533</v>
      </c>
      <c r="K292" t="s">
        <v>865</v>
      </c>
      <c r="L292" t="s">
        <v>868</v>
      </c>
      <c r="M292">
        <v>3413</v>
      </c>
      <c r="N292">
        <v>1732</v>
      </c>
      <c r="O292" t="s">
        <v>535</v>
      </c>
      <c r="P292" t="s">
        <v>19</v>
      </c>
      <c r="Q292" t="s">
        <v>979</v>
      </c>
      <c r="R292" t="s">
        <v>729</v>
      </c>
    </row>
    <row r="293" spans="1:18" x14ac:dyDescent="0.3">
      <c r="A293" t="s">
        <v>978</v>
      </c>
      <c r="B293">
        <v>1</v>
      </c>
      <c r="C293" t="s">
        <v>1</v>
      </c>
      <c r="D293">
        <v>444</v>
      </c>
      <c r="E293">
        <v>1581</v>
      </c>
      <c r="F293">
        <v>879</v>
      </c>
      <c r="G293">
        <v>1780</v>
      </c>
      <c r="H293">
        <v>435</v>
      </c>
      <c r="I293">
        <v>199</v>
      </c>
      <c r="J293" t="s">
        <v>980</v>
      </c>
      <c r="K293" t="s">
        <v>783</v>
      </c>
      <c r="L293" t="s">
        <v>981</v>
      </c>
      <c r="M293">
        <v>661</v>
      </c>
      <c r="N293">
        <v>1680</v>
      </c>
      <c r="O293" t="s">
        <v>982</v>
      </c>
      <c r="P293" t="s">
        <v>141</v>
      </c>
      <c r="Q293" t="s">
        <v>979</v>
      </c>
      <c r="R293" t="s">
        <v>983</v>
      </c>
    </row>
    <row r="294" spans="1:18" x14ac:dyDescent="0.3">
      <c r="A294" t="s">
        <v>978</v>
      </c>
      <c r="B294">
        <v>2</v>
      </c>
      <c r="C294" t="s">
        <v>1</v>
      </c>
      <c r="D294">
        <v>3642</v>
      </c>
      <c r="E294">
        <v>1640</v>
      </c>
      <c r="F294">
        <v>3975</v>
      </c>
      <c r="G294">
        <v>1855</v>
      </c>
      <c r="H294">
        <v>333</v>
      </c>
      <c r="I294">
        <v>215</v>
      </c>
      <c r="J294" t="s">
        <v>984</v>
      </c>
      <c r="K294" t="s">
        <v>365</v>
      </c>
      <c r="L294" t="s">
        <v>919</v>
      </c>
      <c r="M294">
        <v>3808</v>
      </c>
      <c r="N294">
        <v>1747</v>
      </c>
      <c r="O294" t="s">
        <v>985</v>
      </c>
      <c r="P294" t="s">
        <v>63</v>
      </c>
      <c r="Q294" t="s">
        <v>979</v>
      </c>
      <c r="R294" t="s">
        <v>757</v>
      </c>
    </row>
    <row r="295" spans="1:18" x14ac:dyDescent="0.3">
      <c r="A295" t="s">
        <v>978</v>
      </c>
      <c r="B295">
        <v>3</v>
      </c>
      <c r="C295" t="s">
        <v>1</v>
      </c>
      <c r="D295">
        <v>2391</v>
      </c>
      <c r="E295">
        <v>1609</v>
      </c>
      <c r="F295">
        <v>2716</v>
      </c>
      <c r="G295">
        <v>1815</v>
      </c>
      <c r="H295">
        <v>325</v>
      </c>
      <c r="I295">
        <v>206</v>
      </c>
      <c r="J295" t="s">
        <v>528</v>
      </c>
      <c r="K295" t="s">
        <v>849</v>
      </c>
      <c r="L295" t="s">
        <v>231</v>
      </c>
      <c r="M295">
        <v>2553</v>
      </c>
      <c r="N295">
        <v>1712</v>
      </c>
      <c r="O295" t="s">
        <v>530</v>
      </c>
      <c r="P295" t="s">
        <v>63</v>
      </c>
      <c r="Q295" t="s">
        <v>979</v>
      </c>
      <c r="R295" t="s">
        <v>986</v>
      </c>
    </row>
    <row r="296" spans="1:18" x14ac:dyDescent="0.3">
      <c r="A296" t="s">
        <v>978</v>
      </c>
      <c r="B296">
        <v>4</v>
      </c>
      <c r="C296" t="s">
        <v>1</v>
      </c>
      <c r="D296">
        <v>1617</v>
      </c>
      <c r="E296">
        <v>1567</v>
      </c>
      <c r="F296">
        <v>1906</v>
      </c>
      <c r="G296">
        <v>1786</v>
      </c>
      <c r="H296">
        <v>289</v>
      </c>
      <c r="I296">
        <v>219</v>
      </c>
      <c r="J296" t="s">
        <v>987</v>
      </c>
      <c r="K296" t="s">
        <v>753</v>
      </c>
      <c r="L296" t="s">
        <v>239</v>
      </c>
      <c r="M296">
        <v>1761</v>
      </c>
      <c r="N296">
        <v>1676</v>
      </c>
      <c r="O296" t="s">
        <v>988</v>
      </c>
      <c r="P296" t="s">
        <v>750</v>
      </c>
      <c r="Q296" t="s">
        <v>979</v>
      </c>
      <c r="R296" t="s">
        <v>989</v>
      </c>
    </row>
    <row r="297" spans="1:18" x14ac:dyDescent="0.3">
      <c r="A297" t="s">
        <v>978</v>
      </c>
      <c r="B297">
        <v>5</v>
      </c>
      <c r="C297" t="s">
        <v>1</v>
      </c>
      <c r="D297">
        <v>2760</v>
      </c>
      <c r="E297">
        <v>1550</v>
      </c>
      <c r="F297">
        <v>3171</v>
      </c>
      <c r="G297">
        <v>1840</v>
      </c>
      <c r="H297">
        <v>411</v>
      </c>
      <c r="I297">
        <v>290</v>
      </c>
      <c r="J297" t="s">
        <v>644</v>
      </c>
      <c r="K297" t="s">
        <v>491</v>
      </c>
      <c r="L297" t="s">
        <v>47</v>
      </c>
      <c r="M297">
        <v>2965</v>
      </c>
      <c r="N297">
        <v>1695</v>
      </c>
      <c r="O297" t="s">
        <v>990</v>
      </c>
      <c r="P297" t="s">
        <v>30</v>
      </c>
      <c r="Q297" t="s">
        <v>979</v>
      </c>
      <c r="R297" t="s">
        <v>991</v>
      </c>
    </row>
    <row r="298" spans="1:18" x14ac:dyDescent="0.3">
      <c r="A298" t="s">
        <v>978</v>
      </c>
      <c r="B298">
        <v>6</v>
      </c>
      <c r="C298" t="s">
        <v>1</v>
      </c>
      <c r="D298">
        <v>2047</v>
      </c>
      <c r="E298">
        <v>1592</v>
      </c>
      <c r="F298">
        <v>2310</v>
      </c>
      <c r="G298">
        <v>1790</v>
      </c>
      <c r="H298">
        <v>263</v>
      </c>
      <c r="I298">
        <v>198</v>
      </c>
      <c r="J298" t="s">
        <v>909</v>
      </c>
      <c r="K298" t="s">
        <v>773</v>
      </c>
      <c r="L298" t="s">
        <v>567</v>
      </c>
      <c r="M298">
        <v>2178</v>
      </c>
      <c r="N298">
        <v>1691</v>
      </c>
      <c r="O298" t="s">
        <v>910</v>
      </c>
      <c r="P298" t="s">
        <v>411</v>
      </c>
      <c r="Q298" t="s">
        <v>979</v>
      </c>
      <c r="R298" t="s">
        <v>826</v>
      </c>
    </row>
    <row r="299" spans="1:18" x14ac:dyDescent="0.3">
      <c r="A299" t="s">
        <v>978</v>
      </c>
      <c r="B299">
        <v>8</v>
      </c>
      <c r="C299" t="s">
        <v>1</v>
      </c>
      <c r="D299">
        <v>291</v>
      </c>
      <c r="E299">
        <v>1579</v>
      </c>
      <c r="F299">
        <v>525</v>
      </c>
      <c r="G299">
        <v>1766</v>
      </c>
      <c r="H299">
        <v>234</v>
      </c>
      <c r="I299">
        <v>187</v>
      </c>
      <c r="J299" t="s">
        <v>992</v>
      </c>
      <c r="K299" t="s">
        <v>929</v>
      </c>
      <c r="L299" t="s">
        <v>244</v>
      </c>
      <c r="M299">
        <v>408</v>
      </c>
      <c r="N299">
        <v>1672</v>
      </c>
      <c r="O299" t="s">
        <v>993</v>
      </c>
      <c r="P299" t="s">
        <v>73</v>
      </c>
      <c r="Q299" t="s">
        <v>979</v>
      </c>
      <c r="R299" t="s">
        <v>994</v>
      </c>
    </row>
    <row r="300" spans="1:18" x14ac:dyDescent="0.3">
      <c r="A300" t="s">
        <v>978</v>
      </c>
      <c r="B300">
        <v>9</v>
      </c>
      <c r="C300" t="s">
        <v>1</v>
      </c>
      <c r="D300">
        <v>2700</v>
      </c>
      <c r="E300">
        <v>1622</v>
      </c>
      <c r="F300">
        <v>2797</v>
      </c>
      <c r="G300">
        <v>1707</v>
      </c>
      <c r="H300">
        <v>97</v>
      </c>
      <c r="I300">
        <v>85</v>
      </c>
      <c r="J300" t="s">
        <v>995</v>
      </c>
      <c r="K300" t="s">
        <v>996</v>
      </c>
      <c r="L300" t="s">
        <v>972</v>
      </c>
      <c r="M300">
        <v>2748</v>
      </c>
      <c r="N300">
        <v>1664</v>
      </c>
      <c r="O300" t="s">
        <v>997</v>
      </c>
      <c r="P300" t="s">
        <v>115</v>
      </c>
      <c r="Q300" t="s">
        <v>979</v>
      </c>
      <c r="R300" t="s">
        <v>320</v>
      </c>
    </row>
    <row r="301" spans="1:18" x14ac:dyDescent="0.3">
      <c r="A301" t="s">
        <v>978</v>
      </c>
      <c r="B301">
        <v>11</v>
      </c>
      <c r="C301" t="s">
        <v>1</v>
      </c>
      <c r="D301">
        <v>9</v>
      </c>
      <c r="E301">
        <v>1574</v>
      </c>
      <c r="F301">
        <v>523</v>
      </c>
      <c r="G301">
        <v>1776</v>
      </c>
      <c r="H301">
        <v>514</v>
      </c>
      <c r="I301">
        <v>202</v>
      </c>
      <c r="J301" t="s">
        <v>634</v>
      </c>
      <c r="K301" t="s">
        <v>273</v>
      </c>
      <c r="L301" t="s">
        <v>998</v>
      </c>
      <c r="M301">
        <v>266</v>
      </c>
      <c r="N301">
        <v>1675</v>
      </c>
      <c r="O301" t="s">
        <v>999</v>
      </c>
      <c r="P301" t="s">
        <v>115</v>
      </c>
      <c r="Q301" t="s">
        <v>979</v>
      </c>
      <c r="R301" t="s">
        <v>248</v>
      </c>
    </row>
    <row r="302" spans="1:18" x14ac:dyDescent="0.3">
      <c r="A302" t="s">
        <v>1000</v>
      </c>
      <c r="B302">
        <v>0</v>
      </c>
      <c r="C302" t="s">
        <v>1</v>
      </c>
      <c r="D302">
        <v>2958</v>
      </c>
      <c r="E302">
        <v>1440</v>
      </c>
      <c r="F302">
        <v>3435</v>
      </c>
      <c r="G302">
        <v>1676</v>
      </c>
      <c r="H302">
        <v>477</v>
      </c>
      <c r="I302">
        <v>236</v>
      </c>
      <c r="J302" t="s">
        <v>1001</v>
      </c>
      <c r="K302" t="s">
        <v>1002</v>
      </c>
      <c r="L302" t="s">
        <v>419</v>
      </c>
      <c r="M302">
        <v>3196</v>
      </c>
      <c r="N302">
        <v>1558</v>
      </c>
      <c r="O302" t="s">
        <v>1003</v>
      </c>
      <c r="P302" t="s">
        <v>19</v>
      </c>
      <c r="Q302" t="s">
        <v>1004</v>
      </c>
      <c r="R302" t="s">
        <v>1005</v>
      </c>
    </row>
    <row r="303" spans="1:18" x14ac:dyDescent="0.3">
      <c r="A303" t="s">
        <v>1000</v>
      </c>
      <c r="B303">
        <v>1</v>
      </c>
      <c r="C303" t="s">
        <v>1</v>
      </c>
      <c r="D303">
        <v>239</v>
      </c>
      <c r="E303">
        <v>1400</v>
      </c>
      <c r="F303">
        <v>655</v>
      </c>
      <c r="G303">
        <v>1606</v>
      </c>
      <c r="H303">
        <v>416</v>
      </c>
      <c r="I303">
        <v>206</v>
      </c>
      <c r="J303" t="s">
        <v>503</v>
      </c>
      <c r="K303" t="s">
        <v>849</v>
      </c>
      <c r="L303" t="s">
        <v>419</v>
      </c>
      <c r="M303">
        <v>447</v>
      </c>
      <c r="N303">
        <v>1503</v>
      </c>
      <c r="O303" t="s">
        <v>961</v>
      </c>
      <c r="P303" t="s">
        <v>130</v>
      </c>
      <c r="Q303" t="s">
        <v>1004</v>
      </c>
      <c r="R303" t="s">
        <v>1006</v>
      </c>
    </row>
    <row r="304" spans="1:18" x14ac:dyDescent="0.3">
      <c r="A304" t="s">
        <v>1000</v>
      </c>
      <c r="B304">
        <v>2</v>
      </c>
      <c r="C304" t="s">
        <v>1</v>
      </c>
      <c r="D304">
        <v>1441</v>
      </c>
      <c r="E304">
        <v>1389</v>
      </c>
      <c r="F304">
        <v>1718</v>
      </c>
      <c r="G304">
        <v>1607</v>
      </c>
      <c r="H304">
        <v>277</v>
      </c>
      <c r="I304">
        <v>218</v>
      </c>
      <c r="J304" t="s">
        <v>818</v>
      </c>
      <c r="K304" t="s">
        <v>747</v>
      </c>
      <c r="L304" t="s">
        <v>779</v>
      </c>
      <c r="M304">
        <v>1579</v>
      </c>
      <c r="N304">
        <v>1498</v>
      </c>
      <c r="O304" t="s">
        <v>819</v>
      </c>
      <c r="P304" t="s">
        <v>262</v>
      </c>
      <c r="Q304" t="s">
        <v>1004</v>
      </c>
      <c r="R304" t="s">
        <v>1007</v>
      </c>
    </row>
    <row r="305" spans="1:18" x14ac:dyDescent="0.3">
      <c r="A305" t="s">
        <v>1000</v>
      </c>
      <c r="B305">
        <v>3</v>
      </c>
      <c r="C305" t="s">
        <v>1</v>
      </c>
      <c r="D305">
        <v>2202</v>
      </c>
      <c r="E305">
        <v>1444</v>
      </c>
      <c r="F305">
        <v>2517</v>
      </c>
      <c r="G305">
        <v>1635</v>
      </c>
      <c r="H305">
        <v>315</v>
      </c>
      <c r="I305">
        <v>191</v>
      </c>
      <c r="J305" t="s">
        <v>1008</v>
      </c>
      <c r="K305" t="s">
        <v>308</v>
      </c>
      <c r="L305" t="s">
        <v>34</v>
      </c>
      <c r="M305">
        <v>2359</v>
      </c>
      <c r="N305">
        <v>1539</v>
      </c>
      <c r="O305" t="s">
        <v>1009</v>
      </c>
      <c r="P305" t="s">
        <v>197</v>
      </c>
      <c r="Q305" t="s">
        <v>1004</v>
      </c>
      <c r="R305" t="s">
        <v>1010</v>
      </c>
    </row>
    <row r="306" spans="1:18" x14ac:dyDescent="0.3">
      <c r="A306" t="s">
        <v>1000</v>
      </c>
      <c r="B306">
        <v>4</v>
      </c>
      <c r="C306" t="s">
        <v>1</v>
      </c>
      <c r="D306">
        <v>1851</v>
      </c>
      <c r="E306">
        <v>1419</v>
      </c>
      <c r="F306">
        <v>2124</v>
      </c>
      <c r="G306">
        <v>1616</v>
      </c>
      <c r="H306">
        <v>273</v>
      </c>
      <c r="I306">
        <v>197</v>
      </c>
      <c r="J306" t="s">
        <v>385</v>
      </c>
      <c r="K306" t="s">
        <v>432</v>
      </c>
      <c r="L306" t="s">
        <v>575</v>
      </c>
      <c r="M306">
        <v>1987</v>
      </c>
      <c r="N306">
        <v>1517</v>
      </c>
      <c r="O306" t="s">
        <v>850</v>
      </c>
      <c r="P306" t="s">
        <v>57</v>
      </c>
      <c r="Q306" t="s">
        <v>1004</v>
      </c>
      <c r="R306" t="s">
        <v>1011</v>
      </c>
    </row>
    <row r="307" spans="1:18" x14ac:dyDescent="0.3">
      <c r="A307" t="s">
        <v>1000</v>
      </c>
      <c r="B307">
        <v>5</v>
      </c>
      <c r="C307" t="s">
        <v>1</v>
      </c>
      <c r="D307">
        <v>1211</v>
      </c>
      <c r="E307">
        <v>1440</v>
      </c>
      <c r="F307">
        <v>1357</v>
      </c>
      <c r="G307">
        <v>1610</v>
      </c>
      <c r="H307">
        <v>146</v>
      </c>
      <c r="I307">
        <v>170</v>
      </c>
      <c r="J307" t="s">
        <v>1012</v>
      </c>
      <c r="K307" t="s">
        <v>1013</v>
      </c>
      <c r="L307" t="s">
        <v>141</v>
      </c>
      <c r="M307">
        <v>1284</v>
      </c>
      <c r="N307">
        <v>1525</v>
      </c>
      <c r="O307" t="s">
        <v>1014</v>
      </c>
      <c r="P307" t="s">
        <v>411</v>
      </c>
      <c r="Q307" t="s">
        <v>1004</v>
      </c>
      <c r="R307" t="s">
        <v>255</v>
      </c>
    </row>
    <row r="308" spans="1:18" x14ac:dyDescent="0.3">
      <c r="A308" t="s">
        <v>1000</v>
      </c>
      <c r="B308">
        <v>6</v>
      </c>
      <c r="C308" t="s">
        <v>1</v>
      </c>
      <c r="D308">
        <v>1</v>
      </c>
      <c r="E308">
        <v>1335</v>
      </c>
      <c r="F308">
        <v>224</v>
      </c>
      <c r="G308">
        <v>1607</v>
      </c>
      <c r="H308">
        <v>223</v>
      </c>
      <c r="I308">
        <v>272</v>
      </c>
      <c r="J308" t="s">
        <v>1015</v>
      </c>
      <c r="K308" t="s">
        <v>599</v>
      </c>
      <c r="L308" t="s">
        <v>262</v>
      </c>
      <c r="M308">
        <v>112</v>
      </c>
      <c r="N308">
        <v>1471</v>
      </c>
      <c r="O308" t="s">
        <v>1016</v>
      </c>
      <c r="P308" t="s">
        <v>36</v>
      </c>
      <c r="Q308" t="s">
        <v>1004</v>
      </c>
      <c r="R308" t="s">
        <v>640</v>
      </c>
    </row>
    <row r="309" spans="1:18" x14ac:dyDescent="0.3">
      <c r="A309" t="s">
        <v>1000</v>
      </c>
      <c r="B309">
        <v>8</v>
      </c>
      <c r="C309" t="s">
        <v>1</v>
      </c>
      <c r="D309">
        <v>2567</v>
      </c>
      <c r="E309">
        <v>1373</v>
      </c>
      <c r="F309">
        <v>2964</v>
      </c>
      <c r="G309">
        <v>1655</v>
      </c>
      <c r="H309">
        <v>397</v>
      </c>
      <c r="I309">
        <v>282</v>
      </c>
      <c r="J309" t="s">
        <v>177</v>
      </c>
      <c r="K309" t="s">
        <v>393</v>
      </c>
      <c r="L309" t="s">
        <v>148</v>
      </c>
      <c r="M309">
        <v>2765</v>
      </c>
      <c r="N309">
        <v>1514</v>
      </c>
      <c r="O309" t="s">
        <v>1017</v>
      </c>
      <c r="P309" t="s">
        <v>215</v>
      </c>
      <c r="Q309" t="s">
        <v>1004</v>
      </c>
      <c r="R309" t="s">
        <v>1018</v>
      </c>
    </row>
    <row r="310" spans="1:18" x14ac:dyDescent="0.3">
      <c r="A310" t="s">
        <v>1000</v>
      </c>
      <c r="B310">
        <v>9</v>
      </c>
      <c r="C310" t="s">
        <v>1</v>
      </c>
      <c r="D310">
        <v>3425</v>
      </c>
      <c r="E310">
        <v>1462</v>
      </c>
      <c r="F310">
        <v>3719</v>
      </c>
      <c r="G310">
        <v>1663</v>
      </c>
      <c r="H310">
        <v>294</v>
      </c>
      <c r="I310">
        <v>201</v>
      </c>
      <c r="J310" t="s">
        <v>163</v>
      </c>
      <c r="K310" t="s">
        <v>357</v>
      </c>
      <c r="L310" t="s">
        <v>545</v>
      </c>
      <c r="M310">
        <v>3572</v>
      </c>
      <c r="N310">
        <v>1562</v>
      </c>
      <c r="O310" t="s">
        <v>1019</v>
      </c>
      <c r="P310" t="s">
        <v>695</v>
      </c>
      <c r="Q310" t="s">
        <v>1004</v>
      </c>
      <c r="R310" t="s">
        <v>1020</v>
      </c>
    </row>
    <row r="311" spans="1:18" x14ac:dyDescent="0.3">
      <c r="A311" t="s">
        <v>1021</v>
      </c>
      <c r="B311">
        <v>0</v>
      </c>
      <c r="C311" t="s">
        <v>1</v>
      </c>
      <c r="D311">
        <v>384</v>
      </c>
      <c r="E311">
        <v>1285</v>
      </c>
      <c r="F311">
        <v>828</v>
      </c>
      <c r="G311">
        <v>1494</v>
      </c>
      <c r="H311">
        <v>444</v>
      </c>
      <c r="I311">
        <v>209</v>
      </c>
      <c r="J311" t="s">
        <v>775</v>
      </c>
      <c r="K311" t="s">
        <v>873</v>
      </c>
      <c r="L311" t="s">
        <v>1022</v>
      </c>
      <c r="M311">
        <v>606</v>
      </c>
      <c r="N311">
        <v>1389</v>
      </c>
      <c r="O311" t="s">
        <v>776</v>
      </c>
      <c r="P311" t="s">
        <v>182</v>
      </c>
      <c r="Q311" t="s">
        <v>1023</v>
      </c>
      <c r="R311" t="s">
        <v>164</v>
      </c>
    </row>
    <row r="312" spans="1:18" x14ac:dyDescent="0.3">
      <c r="A312" t="s">
        <v>1021</v>
      </c>
      <c r="B312">
        <v>1</v>
      </c>
      <c r="C312" t="s">
        <v>1</v>
      </c>
      <c r="D312">
        <v>1979</v>
      </c>
      <c r="E312">
        <v>1318</v>
      </c>
      <c r="F312">
        <v>2260</v>
      </c>
      <c r="G312">
        <v>1523</v>
      </c>
      <c r="H312">
        <v>281</v>
      </c>
      <c r="I312">
        <v>205</v>
      </c>
      <c r="J312" t="s">
        <v>1024</v>
      </c>
      <c r="K312" t="s">
        <v>759</v>
      </c>
      <c r="L312" t="s">
        <v>294</v>
      </c>
      <c r="M312">
        <v>2119</v>
      </c>
      <c r="N312">
        <v>1420</v>
      </c>
      <c r="O312" t="s">
        <v>1025</v>
      </c>
      <c r="P312" t="s">
        <v>386</v>
      </c>
      <c r="Q312" t="s">
        <v>1023</v>
      </c>
      <c r="R312" t="s">
        <v>67</v>
      </c>
    </row>
    <row r="313" spans="1:18" x14ac:dyDescent="0.3">
      <c r="A313" t="s">
        <v>1021</v>
      </c>
      <c r="B313">
        <v>2</v>
      </c>
      <c r="C313" t="s">
        <v>1</v>
      </c>
      <c r="D313">
        <v>2698</v>
      </c>
      <c r="E313">
        <v>1289</v>
      </c>
      <c r="F313">
        <v>3098</v>
      </c>
      <c r="G313">
        <v>1567</v>
      </c>
      <c r="H313">
        <v>400</v>
      </c>
      <c r="I313">
        <v>278</v>
      </c>
      <c r="J313" t="s">
        <v>167</v>
      </c>
      <c r="K313" t="s">
        <v>1026</v>
      </c>
      <c r="L313" t="s">
        <v>492</v>
      </c>
      <c r="M313">
        <v>2898</v>
      </c>
      <c r="N313">
        <v>1428</v>
      </c>
      <c r="O313" t="s">
        <v>641</v>
      </c>
      <c r="P313" t="s">
        <v>36</v>
      </c>
      <c r="Q313" t="s">
        <v>1023</v>
      </c>
      <c r="R313" t="s">
        <v>1027</v>
      </c>
    </row>
    <row r="314" spans="1:18" x14ac:dyDescent="0.3">
      <c r="A314" t="s">
        <v>1021</v>
      </c>
      <c r="B314">
        <v>4</v>
      </c>
      <c r="C314" t="s">
        <v>1</v>
      </c>
      <c r="D314">
        <v>1578</v>
      </c>
      <c r="E314">
        <v>1286</v>
      </c>
      <c r="F314">
        <v>1877</v>
      </c>
      <c r="G314">
        <v>1501</v>
      </c>
      <c r="H314">
        <v>299</v>
      </c>
      <c r="I314">
        <v>215</v>
      </c>
      <c r="J314" t="s">
        <v>300</v>
      </c>
      <c r="K314" t="s">
        <v>365</v>
      </c>
      <c r="L314" t="s">
        <v>575</v>
      </c>
      <c r="M314">
        <v>1727</v>
      </c>
      <c r="N314">
        <v>1393</v>
      </c>
      <c r="O314" t="s">
        <v>302</v>
      </c>
      <c r="P314" t="s">
        <v>505</v>
      </c>
      <c r="Q314" t="s">
        <v>1023</v>
      </c>
      <c r="R314" t="s">
        <v>1028</v>
      </c>
    </row>
    <row r="315" spans="1:18" x14ac:dyDescent="0.3">
      <c r="A315" t="s">
        <v>1021</v>
      </c>
      <c r="B315">
        <v>5</v>
      </c>
      <c r="C315" t="s">
        <v>1</v>
      </c>
      <c r="D315">
        <v>1373</v>
      </c>
      <c r="E315">
        <v>1312</v>
      </c>
      <c r="F315">
        <v>1493</v>
      </c>
      <c r="G315">
        <v>1502</v>
      </c>
      <c r="H315">
        <v>120</v>
      </c>
      <c r="I315">
        <v>190</v>
      </c>
      <c r="J315" t="s">
        <v>1029</v>
      </c>
      <c r="K315" t="s">
        <v>821</v>
      </c>
      <c r="L315" t="s">
        <v>215</v>
      </c>
      <c r="M315">
        <v>1433</v>
      </c>
      <c r="N315">
        <v>1407</v>
      </c>
      <c r="O315" t="s">
        <v>1030</v>
      </c>
      <c r="P315" t="s">
        <v>817</v>
      </c>
      <c r="Q315" t="s">
        <v>1023</v>
      </c>
      <c r="R315" t="s">
        <v>986</v>
      </c>
    </row>
    <row r="316" spans="1:18" x14ac:dyDescent="0.3">
      <c r="A316" t="s">
        <v>1021</v>
      </c>
      <c r="B316">
        <v>6</v>
      </c>
      <c r="C316" t="s">
        <v>1</v>
      </c>
      <c r="D316">
        <v>172</v>
      </c>
      <c r="E316">
        <v>1219</v>
      </c>
      <c r="F316">
        <v>392</v>
      </c>
      <c r="G316">
        <v>1483</v>
      </c>
      <c r="H316">
        <v>220</v>
      </c>
      <c r="I316">
        <v>264</v>
      </c>
      <c r="J316" t="s">
        <v>1031</v>
      </c>
      <c r="K316" t="s">
        <v>479</v>
      </c>
      <c r="L316" t="s">
        <v>386</v>
      </c>
      <c r="M316">
        <v>282</v>
      </c>
      <c r="N316">
        <v>1351</v>
      </c>
      <c r="O316" t="s">
        <v>1032</v>
      </c>
      <c r="P316" t="s">
        <v>396</v>
      </c>
      <c r="Q316" t="s">
        <v>1023</v>
      </c>
      <c r="R316" t="s">
        <v>1033</v>
      </c>
    </row>
    <row r="317" spans="1:18" x14ac:dyDescent="0.3">
      <c r="A317" t="s">
        <v>1021</v>
      </c>
      <c r="B317">
        <v>9</v>
      </c>
      <c r="C317" t="s">
        <v>1</v>
      </c>
      <c r="D317">
        <v>2336</v>
      </c>
      <c r="E317">
        <v>1336</v>
      </c>
      <c r="F317">
        <v>2648</v>
      </c>
      <c r="G317">
        <v>1546</v>
      </c>
      <c r="H317">
        <v>312</v>
      </c>
      <c r="I317">
        <v>210</v>
      </c>
      <c r="J317" t="s">
        <v>62</v>
      </c>
      <c r="K317" t="s">
        <v>184</v>
      </c>
      <c r="L317" t="s">
        <v>460</v>
      </c>
      <c r="M317">
        <v>2492</v>
      </c>
      <c r="N317">
        <v>1441</v>
      </c>
      <c r="O317" t="s">
        <v>1034</v>
      </c>
      <c r="P317" t="s">
        <v>285</v>
      </c>
      <c r="Q317" t="s">
        <v>1023</v>
      </c>
      <c r="R317" t="s">
        <v>102</v>
      </c>
    </row>
    <row r="318" spans="1:18" x14ac:dyDescent="0.3">
      <c r="A318" t="s">
        <v>1021</v>
      </c>
      <c r="B318">
        <v>11</v>
      </c>
      <c r="C318" t="s">
        <v>1</v>
      </c>
      <c r="D318">
        <v>3115</v>
      </c>
      <c r="E318">
        <v>1355</v>
      </c>
      <c r="F318">
        <v>3617</v>
      </c>
      <c r="G318">
        <v>1471</v>
      </c>
      <c r="H318">
        <v>502</v>
      </c>
      <c r="I318">
        <v>116</v>
      </c>
      <c r="J318" t="s">
        <v>1035</v>
      </c>
      <c r="K318" t="s">
        <v>1036</v>
      </c>
      <c r="L318" t="s">
        <v>1037</v>
      </c>
      <c r="M318">
        <v>3366</v>
      </c>
      <c r="N318">
        <v>1413</v>
      </c>
      <c r="O318" t="s">
        <v>1038</v>
      </c>
      <c r="P318" t="s">
        <v>285</v>
      </c>
      <c r="Q318" t="s">
        <v>1023</v>
      </c>
      <c r="R318" t="s">
        <v>1039</v>
      </c>
    </row>
    <row r="319" spans="1:18" x14ac:dyDescent="0.3">
      <c r="A319" t="s">
        <v>1021</v>
      </c>
      <c r="B319">
        <v>13</v>
      </c>
      <c r="C319" t="s">
        <v>1</v>
      </c>
      <c r="D319">
        <v>0</v>
      </c>
      <c r="E319">
        <v>1210</v>
      </c>
      <c r="F319">
        <v>391</v>
      </c>
      <c r="G319">
        <v>1488</v>
      </c>
      <c r="H319">
        <v>391</v>
      </c>
      <c r="I319">
        <v>278</v>
      </c>
      <c r="J319" t="s">
        <v>1040</v>
      </c>
      <c r="K319" t="s">
        <v>1026</v>
      </c>
      <c r="L319" t="s">
        <v>148</v>
      </c>
      <c r="M319">
        <v>195</v>
      </c>
      <c r="N319">
        <v>1349</v>
      </c>
      <c r="O319" t="s">
        <v>1041</v>
      </c>
      <c r="P319" t="s">
        <v>172</v>
      </c>
      <c r="Q319" t="s">
        <v>1023</v>
      </c>
      <c r="R319" t="s">
        <v>619</v>
      </c>
    </row>
    <row r="320" spans="1:18" x14ac:dyDescent="0.3">
      <c r="A320" t="s">
        <v>1042</v>
      </c>
      <c r="B320">
        <v>0</v>
      </c>
      <c r="C320" t="s">
        <v>1</v>
      </c>
      <c r="D320">
        <v>1849</v>
      </c>
      <c r="E320">
        <v>1340</v>
      </c>
      <c r="F320">
        <v>2399</v>
      </c>
      <c r="G320">
        <v>1720</v>
      </c>
      <c r="H320">
        <v>550</v>
      </c>
      <c r="I320">
        <v>380</v>
      </c>
      <c r="J320" t="s">
        <v>1043</v>
      </c>
      <c r="K320" t="s">
        <v>230</v>
      </c>
      <c r="L320" t="s">
        <v>85</v>
      </c>
      <c r="M320">
        <v>2124</v>
      </c>
      <c r="N320">
        <v>1530</v>
      </c>
      <c r="O320" t="s">
        <v>1044</v>
      </c>
      <c r="P320" t="s">
        <v>19</v>
      </c>
      <c r="Q320" t="s">
        <v>1045</v>
      </c>
      <c r="R320" t="s">
        <v>501</v>
      </c>
    </row>
    <row r="321" spans="1:18" x14ac:dyDescent="0.3">
      <c r="A321" t="s">
        <v>1042</v>
      </c>
      <c r="B321">
        <v>1</v>
      </c>
      <c r="C321" t="s">
        <v>1</v>
      </c>
      <c r="D321">
        <v>1</v>
      </c>
      <c r="E321">
        <v>1303</v>
      </c>
      <c r="F321">
        <v>306</v>
      </c>
      <c r="G321">
        <v>1702</v>
      </c>
      <c r="H321">
        <v>305</v>
      </c>
      <c r="I321">
        <v>399</v>
      </c>
      <c r="J321" t="s">
        <v>1046</v>
      </c>
      <c r="K321" t="s">
        <v>208</v>
      </c>
      <c r="L321" t="s">
        <v>750</v>
      </c>
      <c r="M321">
        <v>153</v>
      </c>
      <c r="N321">
        <v>1502</v>
      </c>
      <c r="O321" t="s">
        <v>1047</v>
      </c>
      <c r="P321" t="s">
        <v>57</v>
      </c>
      <c r="Q321" t="s">
        <v>1045</v>
      </c>
      <c r="R321" t="s">
        <v>1048</v>
      </c>
    </row>
    <row r="322" spans="1:18" x14ac:dyDescent="0.3">
      <c r="A322" t="s">
        <v>1042</v>
      </c>
      <c r="B322">
        <v>2</v>
      </c>
      <c r="C322" t="s">
        <v>1</v>
      </c>
      <c r="D322">
        <v>998</v>
      </c>
      <c r="E322">
        <v>1267</v>
      </c>
      <c r="F322">
        <v>1699</v>
      </c>
      <c r="G322">
        <v>1710</v>
      </c>
      <c r="H322">
        <v>701</v>
      </c>
      <c r="I322">
        <v>443</v>
      </c>
      <c r="J322" t="s">
        <v>1049</v>
      </c>
      <c r="K322" t="s">
        <v>395</v>
      </c>
      <c r="L322" t="s">
        <v>231</v>
      </c>
      <c r="M322">
        <v>1348</v>
      </c>
      <c r="N322">
        <v>1488</v>
      </c>
      <c r="O322" t="s">
        <v>932</v>
      </c>
      <c r="P322" t="s">
        <v>75</v>
      </c>
      <c r="Q322" t="s">
        <v>1045</v>
      </c>
      <c r="R322" t="s">
        <v>1050</v>
      </c>
    </row>
    <row r="323" spans="1:18" hidden="1" x14ac:dyDescent="0.3">
      <c r="A323" t="s">
        <v>1042</v>
      </c>
      <c r="B323">
        <v>3</v>
      </c>
      <c r="C323" t="s">
        <v>97</v>
      </c>
      <c r="D323">
        <v>996</v>
      </c>
      <c r="E323">
        <v>1268</v>
      </c>
      <c r="F323">
        <v>1698</v>
      </c>
      <c r="G323">
        <v>1711</v>
      </c>
      <c r="H323">
        <v>702</v>
      </c>
      <c r="I323">
        <v>443</v>
      </c>
      <c r="J323" t="s">
        <v>1051</v>
      </c>
      <c r="K323" t="s">
        <v>395</v>
      </c>
      <c r="L323" t="s">
        <v>231</v>
      </c>
      <c r="M323">
        <v>1347</v>
      </c>
      <c r="N323">
        <v>1489</v>
      </c>
      <c r="O323" t="s">
        <v>1052</v>
      </c>
      <c r="P323" t="s">
        <v>1053</v>
      </c>
      <c r="Q323" t="s">
        <v>1045</v>
      </c>
      <c r="R323" t="s">
        <v>1050</v>
      </c>
    </row>
    <row r="324" spans="1:18" x14ac:dyDescent="0.3">
      <c r="A324" t="s">
        <v>1054</v>
      </c>
      <c r="B324">
        <v>0</v>
      </c>
      <c r="C324" t="s">
        <v>1</v>
      </c>
      <c r="D324">
        <v>1902</v>
      </c>
      <c r="E324">
        <v>1364</v>
      </c>
      <c r="F324">
        <v>2461</v>
      </c>
      <c r="G324">
        <v>1755</v>
      </c>
      <c r="H324">
        <v>559</v>
      </c>
      <c r="I324">
        <v>391</v>
      </c>
      <c r="J324" t="s">
        <v>175</v>
      </c>
      <c r="K324" t="s">
        <v>46</v>
      </c>
      <c r="L324" t="s">
        <v>573</v>
      </c>
      <c r="M324">
        <v>2181</v>
      </c>
      <c r="N324">
        <v>1559</v>
      </c>
      <c r="O324" t="s">
        <v>177</v>
      </c>
      <c r="P324" t="s">
        <v>19</v>
      </c>
      <c r="Q324" t="s">
        <v>1055</v>
      </c>
      <c r="R324" t="s">
        <v>1056</v>
      </c>
    </row>
    <row r="325" spans="1:18" x14ac:dyDescent="0.3">
      <c r="A325" t="s">
        <v>1054</v>
      </c>
      <c r="B325">
        <v>1</v>
      </c>
      <c r="C325" t="s">
        <v>1</v>
      </c>
      <c r="D325">
        <v>1</v>
      </c>
      <c r="E325">
        <v>1331</v>
      </c>
      <c r="F325">
        <v>362</v>
      </c>
      <c r="G325">
        <v>1733</v>
      </c>
      <c r="H325">
        <v>361</v>
      </c>
      <c r="I325">
        <v>402</v>
      </c>
      <c r="J325" t="s">
        <v>1057</v>
      </c>
      <c r="K325" t="s">
        <v>1058</v>
      </c>
      <c r="L325" t="s">
        <v>13</v>
      </c>
      <c r="M325">
        <v>181</v>
      </c>
      <c r="N325">
        <v>1532</v>
      </c>
      <c r="O325" t="s">
        <v>1059</v>
      </c>
      <c r="P325" t="s">
        <v>182</v>
      </c>
      <c r="Q325" t="s">
        <v>1055</v>
      </c>
      <c r="R325" t="s">
        <v>619</v>
      </c>
    </row>
    <row r="326" spans="1:18" x14ac:dyDescent="0.3">
      <c r="A326" t="s">
        <v>1054</v>
      </c>
      <c r="B326">
        <v>2</v>
      </c>
      <c r="C326" t="s">
        <v>1</v>
      </c>
      <c r="D326">
        <v>1049</v>
      </c>
      <c r="E326">
        <v>1291</v>
      </c>
      <c r="F326">
        <v>1746</v>
      </c>
      <c r="G326">
        <v>1737</v>
      </c>
      <c r="H326">
        <v>697</v>
      </c>
      <c r="I326">
        <v>446</v>
      </c>
      <c r="J326" t="s">
        <v>1060</v>
      </c>
      <c r="K326" t="s">
        <v>355</v>
      </c>
      <c r="L326" t="s">
        <v>915</v>
      </c>
      <c r="M326">
        <v>1397</v>
      </c>
      <c r="N326">
        <v>1514</v>
      </c>
      <c r="O326" t="s">
        <v>1061</v>
      </c>
      <c r="P326" t="s">
        <v>36</v>
      </c>
      <c r="Q326" t="s">
        <v>1055</v>
      </c>
      <c r="R326" t="s">
        <v>453</v>
      </c>
    </row>
    <row r="327" spans="1:18" x14ac:dyDescent="0.3">
      <c r="A327" t="s">
        <v>1062</v>
      </c>
      <c r="B327">
        <v>0</v>
      </c>
      <c r="C327" t="s">
        <v>1</v>
      </c>
      <c r="D327">
        <v>2537</v>
      </c>
      <c r="E327">
        <v>1438</v>
      </c>
      <c r="F327">
        <v>3335</v>
      </c>
      <c r="G327">
        <v>1843</v>
      </c>
      <c r="H327">
        <v>798</v>
      </c>
      <c r="I327">
        <v>405</v>
      </c>
      <c r="J327" t="s">
        <v>251</v>
      </c>
      <c r="K327" t="s">
        <v>768</v>
      </c>
      <c r="L327" t="s">
        <v>17</v>
      </c>
      <c r="M327">
        <v>2936</v>
      </c>
      <c r="N327">
        <v>1640</v>
      </c>
      <c r="O327" t="s">
        <v>254</v>
      </c>
      <c r="P327" t="s">
        <v>6</v>
      </c>
      <c r="Q327" t="s">
        <v>1063</v>
      </c>
      <c r="R327" t="s">
        <v>572</v>
      </c>
    </row>
    <row r="328" spans="1:18" x14ac:dyDescent="0.3">
      <c r="A328" t="s">
        <v>1062</v>
      </c>
      <c r="B328">
        <v>1</v>
      </c>
      <c r="C328" t="s">
        <v>1</v>
      </c>
      <c r="D328">
        <v>1704</v>
      </c>
      <c r="E328">
        <v>1440</v>
      </c>
      <c r="F328">
        <v>2262</v>
      </c>
      <c r="G328">
        <v>1827</v>
      </c>
      <c r="H328">
        <v>558</v>
      </c>
      <c r="I328">
        <v>387</v>
      </c>
      <c r="J328" t="s">
        <v>83</v>
      </c>
      <c r="K328" t="s">
        <v>3</v>
      </c>
      <c r="L328" t="s">
        <v>492</v>
      </c>
      <c r="M328">
        <v>1983</v>
      </c>
      <c r="N328">
        <v>1633</v>
      </c>
      <c r="O328" t="s">
        <v>86</v>
      </c>
      <c r="P328" t="s">
        <v>13</v>
      </c>
      <c r="Q328" t="s">
        <v>1063</v>
      </c>
      <c r="R328" t="s">
        <v>481</v>
      </c>
    </row>
    <row r="329" spans="1:18" x14ac:dyDescent="0.3">
      <c r="A329" t="s">
        <v>1062</v>
      </c>
      <c r="B329">
        <v>2</v>
      </c>
      <c r="C329" t="s">
        <v>1</v>
      </c>
      <c r="D329">
        <v>30</v>
      </c>
      <c r="E329">
        <v>1469</v>
      </c>
      <c r="F329">
        <v>792</v>
      </c>
      <c r="G329">
        <v>1890</v>
      </c>
      <c r="H329">
        <v>762</v>
      </c>
      <c r="I329">
        <v>421</v>
      </c>
      <c r="J329" t="s">
        <v>1064</v>
      </c>
      <c r="K329" t="s">
        <v>1065</v>
      </c>
      <c r="L329" t="s">
        <v>1066</v>
      </c>
      <c r="M329">
        <v>411</v>
      </c>
      <c r="N329">
        <v>1679</v>
      </c>
      <c r="O329" t="s">
        <v>1067</v>
      </c>
      <c r="P329" t="s">
        <v>141</v>
      </c>
      <c r="Q329" t="s">
        <v>1063</v>
      </c>
      <c r="R329" t="s">
        <v>994</v>
      </c>
    </row>
    <row r="330" spans="1:18" x14ac:dyDescent="0.3">
      <c r="A330" t="s">
        <v>1062</v>
      </c>
      <c r="B330">
        <v>3</v>
      </c>
      <c r="C330" t="s">
        <v>1</v>
      </c>
      <c r="D330">
        <v>835</v>
      </c>
      <c r="E330">
        <v>1392</v>
      </c>
      <c r="F330">
        <v>1544</v>
      </c>
      <c r="G330">
        <v>1839</v>
      </c>
      <c r="H330">
        <v>709</v>
      </c>
      <c r="I330">
        <v>447</v>
      </c>
      <c r="J330" t="s">
        <v>1068</v>
      </c>
      <c r="K330" t="s">
        <v>1069</v>
      </c>
      <c r="L330" t="s">
        <v>380</v>
      </c>
      <c r="M330">
        <v>1189</v>
      </c>
      <c r="N330">
        <v>1615</v>
      </c>
      <c r="O330" t="s">
        <v>1070</v>
      </c>
      <c r="P330" t="s">
        <v>63</v>
      </c>
      <c r="Q330" t="s">
        <v>1063</v>
      </c>
      <c r="R330" t="s">
        <v>1071</v>
      </c>
    </row>
    <row r="331" spans="1:18" x14ac:dyDescent="0.3">
      <c r="A331" t="s">
        <v>1072</v>
      </c>
      <c r="B331">
        <v>0</v>
      </c>
      <c r="C331" t="s">
        <v>1</v>
      </c>
      <c r="D331">
        <v>1739</v>
      </c>
      <c r="E331">
        <v>1408</v>
      </c>
      <c r="F331">
        <v>2286</v>
      </c>
      <c r="G331">
        <v>1798</v>
      </c>
      <c r="H331">
        <v>547</v>
      </c>
      <c r="I331">
        <v>390</v>
      </c>
      <c r="J331" t="s">
        <v>828</v>
      </c>
      <c r="K331" t="s">
        <v>252</v>
      </c>
      <c r="L331" t="s">
        <v>11</v>
      </c>
      <c r="M331">
        <v>2012</v>
      </c>
      <c r="N331">
        <v>1603</v>
      </c>
      <c r="O331" t="s">
        <v>827</v>
      </c>
      <c r="P331" t="s">
        <v>13</v>
      </c>
      <c r="Q331" t="s">
        <v>1073</v>
      </c>
      <c r="R331" t="s">
        <v>378</v>
      </c>
    </row>
    <row r="332" spans="1:18" x14ac:dyDescent="0.3">
      <c r="A332" t="s">
        <v>1072</v>
      </c>
      <c r="B332">
        <v>1</v>
      </c>
      <c r="C332" t="s">
        <v>1</v>
      </c>
      <c r="D332">
        <v>878</v>
      </c>
      <c r="E332">
        <v>1350</v>
      </c>
      <c r="F332">
        <v>1578</v>
      </c>
      <c r="G332">
        <v>1791</v>
      </c>
      <c r="H332">
        <v>700</v>
      </c>
      <c r="I332">
        <v>441</v>
      </c>
      <c r="J332" t="s">
        <v>1074</v>
      </c>
      <c r="K332" t="s">
        <v>1075</v>
      </c>
      <c r="L332" t="s">
        <v>380</v>
      </c>
      <c r="M332">
        <v>1228</v>
      </c>
      <c r="N332">
        <v>1570</v>
      </c>
      <c r="O332" t="s">
        <v>497</v>
      </c>
      <c r="P332" t="s">
        <v>19</v>
      </c>
      <c r="Q332" t="s">
        <v>1073</v>
      </c>
      <c r="R332" t="s">
        <v>347</v>
      </c>
    </row>
    <row r="333" spans="1:18" x14ac:dyDescent="0.3">
      <c r="A333" t="s">
        <v>1072</v>
      </c>
      <c r="B333">
        <v>2</v>
      </c>
      <c r="C333" t="s">
        <v>1</v>
      </c>
      <c r="D333">
        <v>17</v>
      </c>
      <c r="E333">
        <v>1406</v>
      </c>
      <c r="F333">
        <v>832</v>
      </c>
      <c r="G333">
        <v>1818</v>
      </c>
      <c r="H333">
        <v>815</v>
      </c>
      <c r="I333">
        <v>412</v>
      </c>
      <c r="J333" t="s">
        <v>1076</v>
      </c>
      <c r="K333" t="s">
        <v>1077</v>
      </c>
      <c r="L333" t="s">
        <v>89</v>
      </c>
      <c r="M333">
        <v>424</v>
      </c>
      <c r="N333">
        <v>1612</v>
      </c>
      <c r="O333" t="s">
        <v>1078</v>
      </c>
      <c r="P333" t="s">
        <v>102</v>
      </c>
      <c r="Q333" t="s">
        <v>1073</v>
      </c>
      <c r="R333" t="s">
        <v>1079</v>
      </c>
    </row>
    <row r="334" spans="1:18" x14ac:dyDescent="0.3">
      <c r="A334" t="s">
        <v>1080</v>
      </c>
      <c r="B334">
        <v>0</v>
      </c>
      <c r="C334" t="s">
        <v>1</v>
      </c>
      <c r="D334">
        <v>2418</v>
      </c>
      <c r="E334">
        <v>1291</v>
      </c>
      <c r="F334">
        <v>3063</v>
      </c>
      <c r="G334">
        <v>1696</v>
      </c>
      <c r="H334">
        <v>645</v>
      </c>
      <c r="I334">
        <v>405</v>
      </c>
      <c r="J334" t="s">
        <v>427</v>
      </c>
      <c r="K334" t="s">
        <v>768</v>
      </c>
      <c r="L334" t="s">
        <v>380</v>
      </c>
      <c r="M334">
        <v>2740</v>
      </c>
      <c r="N334">
        <v>1493</v>
      </c>
      <c r="O334" t="s">
        <v>428</v>
      </c>
      <c r="P334" t="s">
        <v>6</v>
      </c>
      <c r="Q334" t="s">
        <v>1081</v>
      </c>
      <c r="R334" t="s">
        <v>262</v>
      </c>
    </row>
    <row r="335" spans="1:18" x14ac:dyDescent="0.3">
      <c r="A335" t="s">
        <v>1080</v>
      </c>
      <c r="B335">
        <v>1</v>
      </c>
      <c r="C335" t="s">
        <v>1</v>
      </c>
      <c r="D335">
        <v>29</v>
      </c>
      <c r="E335">
        <v>1249</v>
      </c>
      <c r="F335">
        <v>781</v>
      </c>
      <c r="G335">
        <v>1672</v>
      </c>
      <c r="H335">
        <v>752</v>
      </c>
      <c r="I335">
        <v>423</v>
      </c>
      <c r="J335" t="s">
        <v>1082</v>
      </c>
      <c r="K335" t="s">
        <v>1083</v>
      </c>
      <c r="L335" t="s">
        <v>124</v>
      </c>
      <c r="M335">
        <v>405</v>
      </c>
      <c r="N335">
        <v>1460</v>
      </c>
      <c r="O335" t="s">
        <v>1084</v>
      </c>
      <c r="P335" t="s">
        <v>80</v>
      </c>
      <c r="Q335" t="s">
        <v>1081</v>
      </c>
      <c r="R335" t="s">
        <v>75</v>
      </c>
    </row>
    <row r="336" spans="1:18" x14ac:dyDescent="0.3">
      <c r="A336" t="s">
        <v>1080</v>
      </c>
      <c r="B336">
        <v>2</v>
      </c>
      <c r="C336" t="s">
        <v>1</v>
      </c>
      <c r="D336">
        <v>1703</v>
      </c>
      <c r="E336">
        <v>1271</v>
      </c>
      <c r="F336">
        <v>2258</v>
      </c>
      <c r="G336">
        <v>1659</v>
      </c>
      <c r="H336">
        <v>555</v>
      </c>
      <c r="I336">
        <v>388</v>
      </c>
      <c r="J336" t="s">
        <v>165</v>
      </c>
      <c r="K336" t="s">
        <v>1085</v>
      </c>
      <c r="L336" t="s">
        <v>573</v>
      </c>
      <c r="M336">
        <v>1980</v>
      </c>
      <c r="N336">
        <v>1465</v>
      </c>
      <c r="O336" t="s">
        <v>167</v>
      </c>
      <c r="P336" t="s">
        <v>13</v>
      </c>
      <c r="Q336" t="s">
        <v>1081</v>
      </c>
      <c r="R336" t="s">
        <v>49</v>
      </c>
    </row>
    <row r="337" spans="1:18" x14ac:dyDescent="0.3">
      <c r="A337" t="s">
        <v>1080</v>
      </c>
      <c r="B337">
        <v>3</v>
      </c>
      <c r="C337" t="s">
        <v>1</v>
      </c>
      <c r="D337">
        <v>826</v>
      </c>
      <c r="E337">
        <v>1195</v>
      </c>
      <c r="F337">
        <v>1536</v>
      </c>
      <c r="G337">
        <v>1645</v>
      </c>
      <c r="H337">
        <v>710</v>
      </c>
      <c r="I337">
        <v>450</v>
      </c>
      <c r="J337" t="s">
        <v>92</v>
      </c>
      <c r="K337" t="s">
        <v>1086</v>
      </c>
      <c r="L337" t="s">
        <v>231</v>
      </c>
      <c r="M337">
        <v>1181</v>
      </c>
      <c r="N337">
        <v>1420</v>
      </c>
      <c r="O337" t="s">
        <v>95</v>
      </c>
      <c r="P337" t="s">
        <v>313</v>
      </c>
      <c r="Q337" t="s">
        <v>1081</v>
      </c>
      <c r="R337" t="s">
        <v>1087</v>
      </c>
    </row>
    <row r="338" spans="1:18" x14ac:dyDescent="0.3">
      <c r="A338" t="s">
        <v>1088</v>
      </c>
      <c r="B338">
        <v>0</v>
      </c>
      <c r="C338" t="s">
        <v>1</v>
      </c>
      <c r="D338">
        <v>2278</v>
      </c>
      <c r="E338">
        <v>1268</v>
      </c>
      <c r="F338">
        <v>2916</v>
      </c>
      <c r="G338">
        <v>1681</v>
      </c>
      <c r="H338">
        <v>638</v>
      </c>
      <c r="I338">
        <v>413</v>
      </c>
      <c r="J338" t="s">
        <v>249</v>
      </c>
      <c r="K338" t="s">
        <v>152</v>
      </c>
      <c r="L338" t="s">
        <v>327</v>
      </c>
      <c r="M338">
        <v>2597</v>
      </c>
      <c r="N338">
        <v>1474</v>
      </c>
      <c r="O338" t="s">
        <v>250</v>
      </c>
      <c r="P338" t="s">
        <v>6</v>
      </c>
      <c r="Q338" t="s">
        <v>1089</v>
      </c>
      <c r="R338" t="s">
        <v>1090</v>
      </c>
    </row>
    <row r="339" spans="1:18" x14ac:dyDescent="0.3">
      <c r="A339" t="s">
        <v>1088</v>
      </c>
      <c r="B339">
        <v>1</v>
      </c>
      <c r="C339" t="s">
        <v>1</v>
      </c>
      <c r="D339">
        <v>1532</v>
      </c>
      <c r="E339">
        <v>1244</v>
      </c>
      <c r="F339">
        <v>2114</v>
      </c>
      <c r="G339">
        <v>1646</v>
      </c>
      <c r="H339">
        <v>582</v>
      </c>
      <c r="I339">
        <v>402</v>
      </c>
      <c r="J339" t="s">
        <v>1091</v>
      </c>
      <c r="K339" t="s">
        <v>1058</v>
      </c>
      <c r="L339" t="s">
        <v>85</v>
      </c>
      <c r="M339">
        <v>1823</v>
      </c>
      <c r="N339">
        <v>1445</v>
      </c>
      <c r="O339" t="s">
        <v>465</v>
      </c>
      <c r="P339" t="s">
        <v>80</v>
      </c>
      <c r="Q339" t="s">
        <v>1089</v>
      </c>
      <c r="R339" t="s">
        <v>1092</v>
      </c>
    </row>
    <row r="340" spans="1:18" x14ac:dyDescent="0.3">
      <c r="A340" t="s">
        <v>1088</v>
      </c>
      <c r="B340">
        <v>2</v>
      </c>
      <c r="C340" t="s">
        <v>1</v>
      </c>
      <c r="D340">
        <v>614</v>
      </c>
      <c r="E340">
        <v>1171</v>
      </c>
      <c r="F340">
        <v>1385</v>
      </c>
      <c r="G340">
        <v>1638</v>
      </c>
      <c r="H340">
        <v>771</v>
      </c>
      <c r="I340">
        <v>467</v>
      </c>
      <c r="J340" t="s">
        <v>1093</v>
      </c>
      <c r="K340" t="s">
        <v>1094</v>
      </c>
      <c r="L340" t="s">
        <v>34</v>
      </c>
      <c r="M340">
        <v>999</v>
      </c>
      <c r="N340">
        <v>1404</v>
      </c>
      <c r="O340" t="s">
        <v>1095</v>
      </c>
      <c r="P340" t="s">
        <v>313</v>
      </c>
      <c r="Q340" t="s">
        <v>1089</v>
      </c>
      <c r="R340" t="s">
        <v>1096</v>
      </c>
    </row>
    <row r="341" spans="1:18" x14ac:dyDescent="0.3">
      <c r="A341" t="s">
        <v>1088</v>
      </c>
      <c r="B341">
        <v>3</v>
      </c>
      <c r="C341" t="s">
        <v>1</v>
      </c>
      <c r="D341">
        <v>1</v>
      </c>
      <c r="E341">
        <v>1103</v>
      </c>
      <c r="F341">
        <v>583</v>
      </c>
      <c r="G341">
        <v>1663</v>
      </c>
      <c r="H341">
        <v>582</v>
      </c>
      <c r="I341">
        <v>560</v>
      </c>
      <c r="J341" t="s">
        <v>1091</v>
      </c>
      <c r="K341" t="s">
        <v>1097</v>
      </c>
      <c r="L341" t="s">
        <v>842</v>
      </c>
      <c r="M341">
        <v>292</v>
      </c>
      <c r="N341">
        <v>1383</v>
      </c>
      <c r="O341" t="s">
        <v>465</v>
      </c>
      <c r="P341" t="s">
        <v>104</v>
      </c>
      <c r="Q341" t="s">
        <v>1089</v>
      </c>
      <c r="R341" t="s">
        <v>28</v>
      </c>
    </row>
    <row r="342" spans="1:18" x14ac:dyDescent="0.3">
      <c r="A342" t="s">
        <v>1098</v>
      </c>
      <c r="B342">
        <v>0</v>
      </c>
      <c r="C342" t="s">
        <v>1</v>
      </c>
      <c r="D342">
        <v>2550</v>
      </c>
      <c r="E342">
        <v>1379</v>
      </c>
      <c r="F342">
        <v>3226</v>
      </c>
      <c r="G342">
        <v>1788</v>
      </c>
      <c r="H342">
        <v>676</v>
      </c>
      <c r="I342">
        <v>409</v>
      </c>
      <c r="J342" t="s">
        <v>1099</v>
      </c>
      <c r="K342" t="s">
        <v>1100</v>
      </c>
      <c r="L342" t="s">
        <v>34</v>
      </c>
      <c r="M342">
        <v>2888</v>
      </c>
      <c r="N342">
        <v>1583</v>
      </c>
      <c r="O342" t="s">
        <v>1101</v>
      </c>
      <c r="P342" t="s">
        <v>6</v>
      </c>
      <c r="Q342" t="s">
        <v>1102</v>
      </c>
      <c r="R342" t="s">
        <v>1103</v>
      </c>
    </row>
    <row r="343" spans="1:18" x14ac:dyDescent="0.3">
      <c r="A343" t="s">
        <v>1098</v>
      </c>
      <c r="B343">
        <v>1</v>
      </c>
      <c r="C343" t="s">
        <v>1</v>
      </c>
      <c r="D343">
        <v>3147</v>
      </c>
      <c r="E343">
        <v>1397</v>
      </c>
      <c r="F343">
        <v>4029</v>
      </c>
      <c r="G343">
        <v>1837</v>
      </c>
      <c r="H343">
        <v>882</v>
      </c>
      <c r="I343">
        <v>440</v>
      </c>
      <c r="J343" t="s">
        <v>1104</v>
      </c>
      <c r="K343" t="s">
        <v>1105</v>
      </c>
      <c r="L343" t="s">
        <v>699</v>
      </c>
      <c r="M343">
        <v>3588</v>
      </c>
      <c r="N343">
        <v>1617</v>
      </c>
      <c r="O343" t="s">
        <v>1106</v>
      </c>
      <c r="P343" t="s">
        <v>13</v>
      </c>
      <c r="Q343" t="s">
        <v>1102</v>
      </c>
      <c r="R343" t="s">
        <v>467</v>
      </c>
    </row>
    <row r="344" spans="1:18" x14ac:dyDescent="0.3">
      <c r="A344" t="s">
        <v>1098</v>
      </c>
      <c r="B344">
        <v>2</v>
      </c>
      <c r="C344" t="s">
        <v>1</v>
      </c>
      <c r="D344">
        <v>1826</v>
      </c>
      <c r="E344">
        <v>1370</v>
      </c>
      <c r="F344">
        <v>2380</v>
      </c>
      <c r="G344">
        <v>1761</v>
      </c>
      <c r="H344">
        <v>554</v>
      </c>
      <c r="I344">
        <v>391</v>
      </c>
      <c r="J344" t="s">
        <v>433</v>
      </c>
      <c r="K344" t="s">
        <v>46</v>
      </c>
      <c r="L344" t="s">
        <v>47</v>
      </c>
      <c r="M344">
        <v>2103</v>
      </c>
      <c r="N344">
        <v>1565</v>
      </c>
      <c r="O344" t="s">
        <v>434</v>
      </c>
      <c r="P344" t="s">
        <v>130</v>
      </c>
      <c r="Q344" t="s">
        <v>1102</v>
      </c>
      <c r="R344" t="s">
        <v>556</v>
      </c>
    </row>
    <row r="345" spans="1:18" x14ac:dyDescent="0.3">
      <c r="A345" t="s">
        <v>1098</v>
      </c>
      <c r="B345">
        <v>3</v>
      </c>
      <c r="C345" t="s">
        <v>1</v>
      </c>
      <c r="D345">
        <v>1</v>
      </c>
      <c r="E345">
        <v>1364</v>
      </c>
      <c r="F345">
        <v>278</v>
      </c>
      <c r="G345">
        <v>1757</v>
      </c>
      <c r="H345">
        <v>277</v>
      </c>
      <c r="I345">
        <v>393</v>
      </c>
      <c r="J345" t="s">
        <v>818</v>
      </c>
      <c r="K345" t="s">
        <v>289</v>
      </c>
      <c r="L345" t="s">
        <v>36</v>
      </c>
      <c r="M345">
        <v>139</v>
      </c>
      <c r="N345">
        <v>1560</v>
      </c>
      <c r="O345" t="s">
        <v>819</v>
      </c>
      <c r="P345" t="s">
        <v>411</v>
      </c>
      <c r="Q345" t="s">
        <v>1102</v>
      </c>
      <c r="R345" t="s">
        <v>916</v>
      </c>
    </row>
    <row r="346" spans="1:18" x14ac:dyDescent="0.3">
      <c r="A346" t="s">
        <v>1098</v>
      </c>
      <c r="B346">
        <v>4</v>
      </c>
      <c r="C346" t="s">
        <v>1</v>
      </c>
      <c r="D346">
        <v>969</v>
      </c>
      <c r="E346">
        <v>1314</v>
      </c>
      <c r="F346">
        <v>1667</v>
      </c>
      <c r="G346">
        <v>1749</v>
      </c>
      <c r="H346">
        <v>698</v>
      </c>
      <c r="I346">
        <v>435</v>
      </c>
      <c r="J346" t="s">
        <v>1107</v>
      </c>
      <c r="K346" t="s">
        <v>388</v>
      </c>
      <c r="L346" t="s">
        <v>219</v>
      </c>
      <c r="M346">
        <v>1318</v>
      </c>
      <c r="N346">
        <v>1531</v>
      </c>
      <c r="O346" t="s">
        <v>1108</v>
      </c>
      <c r="P346" t="s">
        <v>215</v>
      </c>
      <c r="Q346" t="s">
        <v>1102</v>
      </c>
      <c r="R346" t="s">
        <v>1109</v>
      </c>
    </row>
    <row r="347" spans="1:18" x14ac:dyDescent="0.3">
      <c r="A347" t="s">
        <v>1110</v>
      </c>
      <c r="B347">
        <v>0</v>
      </c>
      <c r="C347" t="s">
        <v>1</v>
      </c>
      <c r="D347">
        <v>2533</v>
      </c>
      <c r="E347">
        <v>1431</v>
      </c>
      <c r="F347">
        <v>3204</v>
      </c>
      <c r="G347">
        <v>1849</v>
      </c>
      <c r="H347">
        <v>671</v>
      </c>
      <c r="I347">
        <v>418</v>
      </c>
      <c r="J347" t="s">
        <v>1111</v>
      </c>
      <c r="K347" t="s">
        <v>376</v>
      </c>
      <c r="L347" t="s">
        <v>4</v>
      </c>
      <c r="M347">
        <v>2868</v>
      </c>
      <c r="N347">
        <v>1640</v>
      </c>
      <c r="O347" t="s">
        <v>1112</v>
      </c>
      <c r="P347" t="s">
        <v>6</v>
      </c>
      <c r="Q347" t="s">
        <v>1113</v>
      </c>
      <c r="R347" t="s">
        <v>488</v>
      </c>
    </row>
    <row r="348" spans="1:18" x14ac:dyDescent="0.3">
      <c r="A348" t="s">
        <v>1110</v>
      </c>
      <c r="B348">
        <v>1</v>
      </c>
      <c r="C348" t="s">
        <v>1</v>
      </c>
      <c r="D348">
        <v>1806</v>
      </c>
      <c r="E348">
        <v>1411</v>
      </c>
      <c r="F348">
        <v>2364</v>
      </c>
      <c r="G348">
        <v>1811</v>
      </c>
      <c r="H348">
        <v>558</v>
      </c>
      <c r="I348">
        <v>400</v>
      </c>
      <c r="J348" t="s">
        <v>83</v>
      </c>
      <c r="K348" t="s">
        <v>176</v>
      </c>
      <c r="L348" t="s">
        <v>11</v>
      </c>
      <c r="M348">
        <v>2085</v>
      </c>
      <c r="N348">
        <v>1611</v>
      </c>
      <c r="O348" t="s">
        <v>86</v>
      </c>
      <c r="P348" t="s">
        <v>13</v>
      </c>
      <c r="Q348" t="s">
        <v>1113</v>
      </c>
      <c r="R348" t="s">
        <v>1114</v>
      </c>
    </row>
    <row r="349" spans="1:18" x14ac:dyDescent="0.3">
      <c r="A349" t="s">
        <v>1110</v>
      </c>
      <c r="B349">
        <v>2</v>
      </c>
      <c r="C349" t="s">
        <v>1</v>
      </c>
      <c r="D349">
        <v>0</v>
      </c>
      <c r="E349">
        <v>1404</v>
      </c>
      <c r="F349">
        <v>213</v>
      </c>
      <c r="G349">
        <v>1804</v>
      </c>
      <c r="H349">
        <v>213</v>
      </c>
      <c r="I349">
        <v>400</v>
      </c>
      <c r="J349" t="s">
        <v>1115</v>
      </c>
      <c r="K349" t="s">
        <v>176</v>
      </c>
      <c r="L349" t="s">
        <v>361</v>
      </c>
      <c r="M349">
        <v>106</v>
      </c>
      <c r="N349">
        <v>1604</v>
      </c>
      <c r="O349" t="s">
        <v>1116</v>
      </c>
      <c r="P349" t="s">
        <v>1117</v>
      </c>
      <c r="Q349" t="s">
        <v>1113</v>
      </c>
      <c r="R349" t="s">
        <v>76</v>
      </c>
    </row>
    <row r="350" spans="1:18" x14ac:dyDescent="0.3">
      <c r="A350" t="s">
        <v>1118</v>
      </c>
      <c r="B350">
        <v>0</v>
      </c>
      <c r="C350" t="s">
        <v>1</v>
      </c>
      <c r="D350">
        <v>202</v>
      </c>
      <c r="E350">
        <v>1445</v>
      </c>
      <c r="F350">
        <v>1075</v>
      </c>
      <c r="G350">
        <v>1883</v>
      </c>
      <c r="H350">
        <v>873</v>
      </c>
      <c r="I350">
        <v>438</v>
      </c>
      <c r="J350" t="s">
        <v>1119</v>
      </c>
      <c r="K350" t="s">
        <v>156</v>
      </c>
      <c r="L350" t="s">
        <v>748</v>
      </c>
      <c r="M350">
        <v>638</v>
      </c>
      <c r="N350">
        <v>1664</v>
      </c>
      <c r="O350" t="s">
        <v>1120</v>
      </c>
      <c r="P350" t="s">
        <v>6</v>
      </c>
      <c r="Q350" t="s">
        <v>1121</v>
      </c>
      <c r="R350" t="s">
        <v>1122</v>
      </c>
    </row>
    <row r="351" spans="1:18" x14ac:dyDescent="0.3">
      <c r="A351" t="s">
        <v>1118</v>
      </c>
      <c r="B351">
        <v>1</v>
      </c>
      <c r="C351" t="s">
        <v>1</v>
      </c>
      <c r="D351">
        <v>1244</v>
      </c>
      <c r="E351">
        <v>1411</v>
      </c>
      <c r="F351">
        <v>1884</v>
      </c>
      <c r="G351">
        <v>1804</v>
      </c>
      <c r="H351">
        <v>640</v>
      </c>
      <c r="I351">
        <v>393</v>
      </c>
      <c r="J351" t="s">
        <v>403</v>
      </c>
      <c r="K351" t="s">
        <v>289</v>
      </c>
      <c r="L351" t="s">
        <v>41</v>
      </c>
      <c r="M351">
        <v>1564</v>
      </c>
      <c r="N351">
        <v>1607</v>
      </c>
      <c r="O351" t="s">
        <v>1123</v>
      </c>
      <c r="P351" t="s">
        <v>6</v>
      </c>
      <c r="Q351" t="s">
        <v>1121</v>
      </c>
      <c r="R351" t="s">
        <v>1124</v>
      </c>
    </row>
    <row r="352" spans="1:18" x14ac:dyDescent="0.3">
      <c r="A352" t="s">
        <v>1118</v>
      </c>
      <c r="B352">
        <v>2</v>
      </c>
      <c r="C352" t="s">
        <v>1</v>
      </c>
      <c r="D352">
        <v>0</v>
      </c>
      <c r="E352">
        <v>1463</v>
      </c>
      <c r="F352">
        <v>359</v>
      </c>
      <c r="G352">
        <v>1924</v>
      </c>
      <c r="H352">
        <v>359</v>
      </c>
      <c r="I352">
        <v>461</v>
      </c>
      <c r="J352" t="s">
        <v>554</v>
      </c>
      <c r="K352" t="s">
        <v>213</v>
      </c>
      <c r="L352" t="s">
        <v>313</v>
      </c>
      <c r="M352">
        <v>179</v>
      </c>
      <c r="N352">
        <v>1693</v>
      </c>
      <c r="O352" t="s">
        <v>236</v>
      </c>
      <c r="P352" t="s">
        <v>19</v>
      </c>
      <c r="Q352" t="s">
        <v>1121</v>
      </c>
      <c r="R352" t="s">
        <v>1053</v>
      </c>
    </row>
    <row r="353" spans="1:18" x14ac:dyDescent="0.3">
      <c r="A353" t="s">
        <v>1118</v>
      </c>
      <c r="B353">
        <v>3</v>
      </c>
      <c r="C353" t="s">
        <v>1</v>
      </c>
      <c r="D353">
        <v>2002</v>
      </c>
      <c r="E353">
        <v>1377</v>
      </c>
      <c r="F353">
        <v>2564</v>
      </c>
      <c r="G353">
        <v>1783</v>
      </c>
      <c r="H353">
        <v>562</v>
      </c>
      <c r="I353">
        <v>406</v>
      </c>
      <c r="J353" t="s">
        <v>1125</v>
      </c>
      <c r="K353" t="s">
        <v>923</v>
      </c>
      <c r="L353" t="s">
        <v>209</v>
      </c>
      <c r="M353">
        <v>2283</v>
      </c>
      <c r="N353">
        <v>1580</v>
      </c>
      <c r="O353" t="s">
        <v>1126</v>
      </c>
      <c r="P353" t="s">
        <v>141</v>
      </c>
      <c r="Q353" t="s">
        <v>1121</v>
      </c>
      <c r="R353" t="s">
        <v>246</v>
      </c>
    </row>
    <row r="354" spans="1:18" x14ac:dyDescent="0.3">
      <c r="A354" t="s">
        <v>1127</v>
      </c>
      <c r="B354">
        <v>0</v>
      </c>
      <c r="C354" t="s">
        <v>1</v>
      </c>
      <c r="D354">
        <v>1166</v>
      </c>
      <c r="E354">
        <v>1467</v>
      </c>
      <c r="F354">
        <v>1821</v>
      </c>
      <c r="G354">
        <v>1851</v>
      </c>
      <c r="H354">
        <v>655</v>
      </c>
      <c r="I354">
        <v>384</v>
      </c>
      <c r="J354" t="s">
        <v>1128</v>
      </c>
      <c r="K354" t="s">
        <v>157</v>
      </c>
      <c r="L354" t="s">
        <v>1129</v>
      </c>
      <c r="M354">
        <v>1493</v>
      </c>
      <c r="N354">
        <v>1659</v>
      </c>
      <c r="O354" t="s">
        <v>1130</v>
      </c>
      <c r="P354" t="s">
        <v>246</v>
      </c>
      <c r="Q354" t="s">
        <v>1131</v>
      </c>
      <c r="R354" t="s">
        <v>563</v>
      </c>
    </row>
    <row r="355" spans="1:18" x14ac:dyDescent="0.3">
      <c r="A355" t="s">
        <v>1127</v>
      </c>
      <c r="B355">
        <v>1</v>
      </c>
      <c r="C355" t="s">
        <v>1</v>
      </c>
      <c r="D355">
        <v>1911</v>
      </c>
      <c r="E355">
        <v>1478</v>
      </c>
      <c r="F355">
        <v>2476</v>
      </c>
      <c r="G355">
        <v>1866</v>
      </c>
      <c r="H355">
        <v>565</v>
      </c>
      <c r="I355">
        <v>388</v>
      </c>
      <c r="J355" t="s">
        <v>1132</v>
      </c>
      <c r="K355" t="s">
        <v>1085</v>
      </c>
      <c r="L355" t="s">
        <v>545</v>
      </c>
      <c r="M355">
        <v>2193</v>
      </c>
      <c r="N355">
        <v>1672</v>
      </c>
      <c r="O355" t="s">
        <v>1133</v>
      </c>
      <c r="P355" t="s">
        <v>80</v>
      </c>
      <c r="Q355" t="s">
        <v>1131</v>
      </c>
      <c r="R355" t="s">
        <v>851</v>
      </c>
    </row>
    <row r="356" spans="1:18" x14ac:dyDescent="0.3">
      <c r="A356" t="s">
        <v>1127</v>
      </c>
      <c r="B356">
        <v>2</v>
      </c>
      <c r="C356" t="s">
        <v>1</v>
      </c>
      <c r="D356">
        <v>2627</v>
      </c>
      <c r="E356">
        <v>1349</v>
      </c>
      <c r="F356">
        <v>3495</v>
      </c>
      <c r="G356">
        <v>1937</v>
      </c>
      <c r="H356">
        <v>868</v>
      </c>
      <c r="I356">
        <v>588</v>
      </c>
      <c r="J356" t="s">
        <v>1134</v>
      </c>
      <c r="K356" t="s">
        <v>1135</v>
      </c>
      <c r="L356" t="s">
        <v>608</v>
      </c>
      <c r="M356">
        <v>3061</v>
      </c>
      <c r="N356">
        <v>1643</v>
      </c>
      <c r="O356" t="s">
        <v>1136</v>
      </c>
      <c r="P356" t="s">
        <v>19</v>
      </c>
      <c r="Q356" t="s">
        <v>1131</v>
      </c>
      <c r="R356" t="s">
        <v>1137</v>
      </c>
    </row>
    <row r="357" spans="1:18" x14ac:dyDescent="0.3">
      <c r="A357" t="s">
        <v>1127</v>
      </c>
      <c r="B357">
        <v>3</v>
      </c>
      <c r="C357" t="s">
        <v>1</v>
      </c>
      <c r="D357">
        <v>1</v>
      </c>
      <c r="E357">
        <v>1441</v>
      </c>
      <c r="F357">
        <v>375</v>
      </c>
      <c r="G357">
        <v>1845</v>
      </c>
      <c r="H357">
        <v>374</v>
      </c>
      <c r="I357">
        <v>404</v>
      </c>
      <c r="J357" t="s">
        <v>275</v>
      </c>
      <c r="K357" t="s">
        <v>293</v>
      </c>
      <c r="L357" t="s">
        <v>246</v>
      </c>
      <c r="M357">
        <v>188</v>
      </c>
      <c r="N357">
        <v>1643</v>
      </c>
      <c r="O357" t="s">
        <v>278</v>
      </c>
      <c r="P357" t="s">
        <v>335</v>
      </c>
      <c r="Q357" t="s">
        <v>1131</v>
      </c>
      <c r="R357" t="s">
        <v>619</v>
      </c>
    </row>
    <row r="358" spans="1:18" x14ac:dyDescent="0.3">
      <c r="A358" t="s">
        <v>1138</v>
      </c>
      <c r="B358">
        <v>0</v>
      </c>
      <c r="C358" t="s">
        <v>1</v>
      </c>
      <c r="D358">
        <v>1070</v>
      </c>
      <c r="E358">
        <v>1453</v>
      </c>
      <c r="F358">
        <v>1722</v>
      </c>
      <c r="G358">
        <v>1844</v>
      </c>
      <c r="H358">
        <v>652</v>
      </c>
      <c r="I358">
        <v>391</v>
      </c>
      <c r="J358" t="s">
        <v>1139</v>
      </c>
      <c r="K358" t="s">
        <v>46</v>
      </c>
      <c r="L358" t="s">
        <v>23</v>
      </c>
      <c r="M358">
        <v>1396</v>
      </c>
      <c r="N358">
        <v>1648</v>
      </c>
      <c r="O358" t="s">
        <v>1140</v>
      </c>
      <c r="P358" t="s">
        <v>80</v>
      </c>
      <c r="Q358" t="s">
        <v>1141</v>
      </c>
      <c r="R358" t="s">
        <v>335</v>
      </c>
    </row>
    <row r="359" spans="1:18" x14ac:dyDescent="0.3">
      <c r="A359" t="s">
        <v>1138</v>
      </c>
      <c r="B359">
        <v>1</v>
      </c>
      <c r="C359" t="s">
        <v>1</v>
      </c>
      <c r="D359">
        <v>266</v>
      </c>
      <c r="E359">
        <v>1477</v>
      </c>
      <c r="F359">
        <v>918</v>
      </c>
      <c r="G359">
        <v>1878</v>
      </c>
      <c r="H359">
        <v>652</v>
      </c>
      <c r="I359">
        <v>401</v>
      </c>
      <c r="J359" t="s">
        <v>1139</v>
      </c>
      <c r="K359" t="s">
        <v>1142</v>
      </c>
      <c r="L359" t="s">
        <v>41</v>
      </c>
      <c r="M359">
        <v>592</v>
      </c>
      <c r="N359">
        <v>1677</v>
      </c>
      <c r="O359" t="s">
        <v>1140</v>
      </c>
      <c r="P359" t="s">
        <v>13</v>
      </c>
      <c r="Q359" t="s">
        <v>1141</v>
      </c>
      <c r="R359" t="s">
        <v>1143</v>
      </c>
    </row>
    <row r="360" spans="1:18" x14ac:dyDescent="0.3">
      <c r="A360" t="s">
        <v>1138</v>
      </c>
      <c r="B360">
        <v>2</v>
      </c>
      <c r="C360" t="s">
        <v>1</v>
      </c>
      <c r="D360">
        <v>1815</v>
      </c>
      <c r="E360">
        <v>1439</v>
      </c>
      <c r="F360">
        <v>2376</v>
      </c>
      <c r="G360">
        <v>1835</v>
      </c>
      <c r="H360">
        <v>561</v>
      </c>
      <c r="I360">
        <v>396</v>
      </c>
      <c r="J360" t="s">
        <v>1144</v>
      </c>
      <c r="K360" t="s">
        <v>271</v>
      </c>
      <c r="L360" t="s">
        <v>47</v>
      </c>
      <c r="M360">
        <v>2095</v>
      </c>
      <c r="N360">
        <v>1637</v>
      </c>
      <c r="O360" t="s">
        <v>1145</v>
      </c>
      <c r="P360" t="s">
        <v>13</v>
      </c>
      <c r="Q360" t="s">
        <v>1141</v>
      </c>
      <c r="R360" t="s">
        <v>1146</v>
      </c>
    </row>
    <row r="361" spans="1:18" x14ac:dyDescent="0.3">
      <c r="A361" t="s">
        <v>1138</v>
      </c>
      <c r="B361">
        <v>3</v>
      </c>
      <c r="C361" t="s">
        <v>1</v>
      </c>
      <c r="D361">
        <v>3372</v>
      </c>
      <c r="E361">
        <v>1365</v>
      </c>
      <c r="F361">
        <v>4029</v>
      </c>
      <c r="G361">
        <v>1883</v>
      </c>
      <c r="H361">
        <v>657</v>
      </c>
      <c r="I361">
        <v>518</v>
      </c>
      <c r="J361" t="s">
        <v>1147</v>
      </c>
      <c r="K361" t="s">
        <v>1148</v>
      </c>
      <c r="L361" t="s">
        <v>779</v>
      </c>
      <c r="M361">
        <v>3700</v>
      </c>
      <c r="N361">
        <v>1624</v>
      </c>
      <c r="O361" t="s">
        <v>1149</v>
      </c>
      <c r="P361" t="s">
        <v>102</v>
      </c>
      <c r="Q361" t="s">
        <v>1141</v>
      </c>
      <c r="R361" t="s">
        <v>1150</v>
      </c>
    </row>
    <row r="362" spans="1:18" x14ac:dyDescent="0.3">
      <c r="A362" t="s">
        <v>1138</v>
      </c>
      <c r="B362">
        <v>4</v>
      </c>
      <c r="C362" t="s">
        <v>1</v>
      </c>
      <c r="D362">
        <v>2519</v>
      </c>
      <c r="E362">
        <v>1298</v>
      </c>
      <c r="F362">
        <v>3355</v>
      </c>
      <c r="G362">
        <v>1874</v>
      </c>
      <c r="H362">
        <v>836</v>
      </c>
      <c r="I362">
        <v>576</v>
      </c>
      <c r="J362" t="s">
        <v>1151</v>
      </c>
      <c r="K362" t="s">
        <v>1152</v>
      </c>
      <c r="L362" t="s">
        <v>85</v>
      </c>
      <c r="M362">
        <v>2937</v>
      </c>
      <c r="N362">
        <v>1586</v>
      </c>
      <c r="O362" t="s">
        <v>1153</v>
      </c>
      <c r="P362" t="s">
        <v>102</v>
      </c>
      <c r="Q362" t="s">
        <v>1141</v>
      </c>
      <c r="R362" t="s">
        <v>155</v>
      </c>
    </row>
    <row r="363" spans="1:18" x14ac:dyDescent="0.3">
      <c r="A363" t="s">
        <v>1138</v>
      </c>
      <c r="B363">
        <v>5</v>
      </c>
      <c r="C363" t="s">
        <v>1</v>
      </c>
      <c r="D363">
        <v>0</v>
      </c>
      <c r="E363">
        <v>1473</v>
      </c>
      <c r="F363">
        <v>224</v>
      </c>
      <c r="G363">
        <v>1878</v>
      </c>
      <c r="H363">
        <v>224</v>
      </c>
      <c r="I363">
        <v>405</v>
      </c>
      <c r="J363" t="s">
        <v>359</v>
      </c>
      <c r="K363" t="s">
        <v>768</v>
      </c>
      <c r="L363" t="s">
        <v>642</v>
      </c>
      <c r="M363">
        <v>112</v>
      </c>
      <c r="N363">
        <v>1675</v>
      </c>
      <c r="O363" t="s">
        <v>362</v>
      </c>
      <c r="P363" t="s">
        <v>386</v>
      </c>
      <c r="Q363" t="s">
        <v>1141</v>
      </c>
      <c r="R363" t="s">
        <v>76</v>
      </c>
    </row>
    <row r="364" spans="1:18" x14ac:dyDescent="0.3">
      <c r="A364" t="s">
        <v>1154</v>
      </c>
      <c r="B364">
        <v>0</v>
      </c>
      <c r="C364" t="s">
        <v>1</v>
      </c>
      <c r="D364">
        <v>193</v>
      </c>
      <c r="E364">
        <v>1397</v>
      </c>
      <c r="F364">
        <v>861</v>
      </c>
      <c r="G364">
        <v>1793</v>
      </c>
      <c r="H364">
        <v>668</v>
      </c>
      <c r="I364">
        <v>396</v>
      </c>
      <c r="J364" t="s">
        <v>1155</v>
      </c>
      <c r="K364" t="s">
        <v>271</v>
      </c>
      <c r="L364" t="s">
        <v>1156</v>
      </c>
      <c r="M364">
        <v>527</v>
      </c>
      <c r="N364">
        <v>1595</v>
      </c>
      <c r="O364" t="s">
        <v>1157</v>
      </c>
      <c r="P364" t="s">
        <v>13</v>
      </c>
      <c r="Q364" t="s">
        <v>1158</v>
      </c>
      <c r="R364" t="s">
        <v>215</v>
      </c>
    </row>
    <row r="365" spans="1:18" x14ac:dyDescent="0.3">
      <c r="A365" t="s">
        <v>1154</v>
      </c>
      <c r="B365">
        <v>1</v>
      </c>
      <c r="C365" t="s">
        <v>1</v>
      </c>
      <c r="D365">
        <v>1753</v>
      </c>
      <c r="E365">
        <v>1443</v>
      </c>
      <c r="F365">
        <v>2313</v>
      </c>
      <c r="G365">
        <v>1843</v>
      </c>
      <c r="H365">
        <v>560</v>
      </c>
      <c r="I365">
        <v>400</v>
      </c>
      <c r="J365" t="s">
        <v>360</v>
      </c>
      <c r="K365" t="s">
        <v>176</v>
      </c>
      <c r="L365" t="s">
        <v>11</v>
      </c>
      <c r="M365">
        <v>2033</v>
      </c>
      <c r="N365">
        <v>1643</v>
      </c>
      <c r="O365" t="s">
        <v>1159</v>
      </c>
      <c r="P365" t="s">
        <v>19</v>
      </c>
      <c r="Q365" t="s">
        <v>1158</v>
      </c>
      <c r="R365" t="s">
        <v>1056</v>
      </c>
    </row>
    <row r="366" spans="1:18" x14ac:dyDescent="0.3">
      <c r="A366" t="s">
        <v>1154</v>
      </c>
      <c r="B366">
        <v>2</v>
      </c>
      <c r="C366" t="s">
        <v>1</v>
      </c>
      <c r="D366">
        <v>2464</v>
      </c>
      <c r="E366">
        <v>1348</v>
      </c>
      <c r="F366">
        <v>3317</v>
      </c>
      <c r="G366">
        <v>1918</v>
      </c>
      <c r="H366">
        <v>853</v>
      </c>
      <c r="I366">
        <v>570</v>
      </c>
      <c r="J366" t="s">
        <v>1160</v>
      </c>
      <c r="K366" t="s">
        <v>54</v>
      </c>
      <c r="L366" t="s">
        <v>446</v>
      </c>
      <c r="M366">
        <v>2890</v>
      </c>
      <c r="N366">
        <v>1633</v>
      </c>
      <c r="O366" t="s">
        <v>1161</v>
      </c>
      <c r="P366" t="s">
        <v>141</v>
      </c>
      <c r="Q366" t="s">
        <v>1158</v>
      </c>
      <c r="R366" t="s">
        <v>313</v>
      </c>
    </row>
    <row r="367" spans="1:18" x14ac:dyDescent="0.3">
      <c r="A367" t="s">
        <v>1154</v>
      </c>
      <c r="B367">
        <v>3</v>
      </c>
      <c r="C367" t="s">
        <v>1</v>
      </c>
      <c r="D367">
        <v>998</v>
      </c>
      <c r="E367">
        <v>1413</v>
      </c>
      <c r="F367">
        <v>1665</v>
      </c>
      <c r="G367">
        <v>1818</v>
      </c>
      <c r="H367">
        <v>667</v>
      </c>
      <c r="I367">
        <v>405</v>
      </c>
      <c r="J367" t="s">
        <v>985</v>
      </c>
      <c r="K367" t="s">
        <v>768</v>
      </c>
      <c r="L367" t="s">
        <v>34</v>
      </c>
      <c r="M367">
        <v>1331</v>
      </c>
      <c r="N367">
        <v>1615</v>
      </c>
      <c r="O367" t="s">
        <v>984</v>
      </c>
      <c r="P367" t="s">
        <v>335</v>
      </c>
      <c r="Q367" t="s">
        <v>1158</v>
      </c>
      <c r="R367" t="s">
        <v>1109</v>
      </c>
    </row>
    <row r="368" spans="1:18" x14ac:dyDescent="0.3">
      <c r="A368" t="s">
        <v>1154</v>
      </c>
      <c r="B368">
        <v>4</v>
      </c>
      <c r="C368" t="s">
        <v>1</v>
      </c>
      <c r="D368">
        <v>3278</v>
      </c>
      <c r="E368">
        <v>1445</v>
      </c>
      <c r="F368">
        <v>4030</v>
      </c>
      <c r="G368">
        <v>2003</v>
      </c>
      <c r="H368">
        <v>752</v>
      </c>
      <c r="I368">
        <v>558</v>
      </c>
      <c r="J368" t="s">
        <v>1082</v>
      </c>
      <c r="K368" t="s">
        <v>1162</v>
      </c>
      <c r="L368" t="s">
        <v>600</v>
      </c>
      <c r="M368">
        <v>3654</v>
      </c>
      <c r="N368">
        <v>1724</v>
      </c>
      <c r="O368" t="s">
        <v>1084</v>
      </c>
      <c r="P368" t="s">
        <v>386</v>
      </c>
      <c r="Q368" t="s">
        <v>1158</v>
      </c>
      <c r="R368" t="s">
        <v>771</v>
      </c>
    </row>
    <row r="369" spans="1:18" x14ac:dyDescent="0.3">
      <c r="A369" t="s">
        <v>1154</v>
      </c>
      <c r="B369">
        <v>6</v>
      </c>
      <c r="C369" t="s">
        <v>1</v>
      </c>
      <c r="D369">
        <v>0</v>
      </c>
      <c r="E369">
        <v>1367</v>
      </c>
      <c r="F369">
        <v>160</v>
      </c>
      <c r="G369">
        <v>1785</v>
      </c>
      <c r="H369">
        <v>160</v>
      </c>
      <c r="I369">
        <v>418</v>
      </c>
      <c r="J369" t="s">
        <v>169</v>
      </c>
      <c r="K369" t="s">
        <v>376</v>
      </c>
      <c r="L369" t="s">
        <v>1163</v>
      </c>
      <c r="M369">
        <v>80</v>
      </c>
      <c r="N369">
        <v>1576</v>
      </c>
      <c r="O369" t="s">
        <v>171</v>
      </c>
      <c r="P369" t="s">
        <v>110</v>
      </c>
      <c r="Q369" t="s">
        <v>1158</v>
      </c>
      <c r="R369" t="s">
        <v>173</v>
      </c>
    </row>
    <row r="370" spans="1:18" x14ac:dyDescent="0.3">
      <c r="A370" t="s">
        <v>1164</v>
      </c>
      <c r="B370">
        <v>0</v>
      </c>
      <c r="C370" t="s">
        <v>1</v>
      </c>
      <c r="D370">
        <v>362</v>
      </c>
      <c r="E370">
        <v>1273</v>
      </c>
      <c r="F370">
        <v>987</v>
      </c>
      <c r="G370">
        <v>1658</v>
      </c>
      <c r="H370">
        <v>625</v>
      </c>
      <c r="I370">
        <v>385</v>
      </c>
      <c r="J370" t="s">
        <v>1165</v>
      </c>
      <c r="K370" t="s">
        <v>118</v>
      </c>
      <c r="L370" t="s">
        <v>162</v>
      </c>
      <c r="M370">
        <v>674</v>
      </c>
      <c r="N370">
        <v>1465</v>
      </c>
      <c r="O370" t="s">
        <v>1166</v>
      </c>
      <c r="P370" t="s">
        <v>19</v>
      </c>
      <c r="Q370" t="s">
        <v>1167</v>
      </c>
      <c r="R370" t="s">
        <v>802</v>
      </c>
    </row>
    <row r="371" spans="1:18" x14ac:dyDescent="0.3">
      <c r="A371" t="s">
        <v>1164</v>
      </c>
      <c r="B371">
        <v>1</v>
      </c>
      <c r="C371" t="s">
        <v>1</v>
      </c>
      <c r="D371">
        <v>1872</v>
      </c>
      <c r="E371">
        <v>1298</v>
      </c>
      <c r="F371">
        <v>2426</v>
      </c>
      <c r="G371">
        <v>1704</v>
      </c>
      <c r="H371">
        <v>554</v>
      </c>
      <c r="I371">
        <v>406</v>
      </c>
      <c r="J371" t="s">
        <v>433</v>
      </c>
      <c r="K371" t="s">
        <v>923</v>
      </c>
      <c r="L371" t="s">
        <v>166</v>
      </c>
      <c r="M371">
        <v>2149</v>
      </c>
      <c r="N371">
        <v>1501</v>
      </c>
      <c r="O371" t="s">
        <v>434</v>
      </c>
      <c r="P371" t="s">
        <v>102</v>
      </c>
      <c r="Q371" t="s">
        <v>1167</v>
      </c>
      <c r="R371" t="s">
        <v>227</v>
      </c>
    </row>
    <row r="372" spans="1:18" x14ac:dyDescent="0.3">
      <c r="A372" t="s">
        <v>1164</v>
      </c>
      <c r="B372">
        <v>2</v>
      </c>
      <c r="C372" t="s">
        <v>1</v>
      </c>
      <c r="D372">
        <v>3414</v>
      </c>
      <c r="E372">
        <v>1280</v>
      </c>
      <c r="F372">
        <v>4029</v>
      </c>
      <c r="G372">
        <v>1794</v>
      </c>
      <c r="H372">
        <v>615</v>
      </c>
      <c r="I372">
        <v>514</v>
      </c>
      <c r="J372" t="s">
        <v>1168</v>
      </c>
      <c r="K372" t="s">
        <v>969</v>
      </c>
      <c r="L372" t="s">
        <v>509</v>
      </c>
      <c r="M372">
        <v>3721</v>
      </c>
      <c r="N372">
        <v>1537</v>
      </c>
      <c r="O372" t="s">
        <v>450</v>
      </c>
      <c r="P372" t="s">
        <v>182</v>
      </c>
      <c r="Q372" t="s">
        <v>1167</v>
      </c>
      <c r="R372" t="s">
        <v>1169</v>
      </c>
    </row>
    <row r="373" spans="1:18" x14ac:dyDescent="0.3">
      <c r="A373" t="s">
        <v>1164</v>
      </c>
      <c r="B373">
        <v>3</v>
      </c>
      <c r="C373" t="s">
        <v>1</v>
      </c>
      <c r="D373">
        <v>2578</v>
      </c>
      <c r="E373">
        <v>1186</v>
      </c>
      <c r="F373">
        <v>3400</v>
      </c>
      <c r="G373">
        <v>1764</v>
      </c>
      <c r="H373">
        <v>822</v>
      </c>
      <c r="I373">
        <v>578</v>
      </c>
      <c r="J373" t="s">
        <v>1170</v>
      </c>
      <c r="K373" t="s">
        <v>1171</v>
      </c>
      <c r="L373" t="s">
        <v>47</v>
      </c>
      <c r="M373">
        <v>2989</v>
      </c>
      <c r="N373">
        <v>1475</v>
      </c>
      <c r="O373" t="s">
        <v>806</v>
      </c>
      <c r="P373" t="s">
        <v>335</v>
      </c>
      <c r="Q373" t="s">
        <v>1167</v>
      </c>
      <c r="R373" t="s">
        <v>126</v>
      </c>
    </row>
    <row r="374" spans="1:18" x14ac:dyDescent="0.3">
      <c r="A374" t="s">
        <v>1164</v>
      </c>
      <c r="B374">
        <v>4</v>
      </c>
      <c r="C374" t="s">
        <v>1</v>
      </c>
      <c r="D374">
        <v>0</v>
      </c>
      <c r="E374">
        <v>1244</v>
      </c>
      <c r="F374">
        <v>332</v>
      </c>
      <c r="G374">
        <v>1644</v>
      </c>
      <c r="H374">
        <v>332</v>
      </c>
      <c r="I374">
        <v>400</v>
      </c>
      <c r="J374" t="s">
        <v>815</v>
      </c>
      <c r="K374" t="s">
        <v>176</v>
      </c>
      <c r="L374" t="s">
        <v>386</v>
      </c>
      <c r="M374">
        <v>166</v>
      </c>
      <c r="N374">
        <v>1444</v>
      </c>
      <c r="O374" t="s">
        <v>1172</v>
      </c>
      <c r="P374" t="s">
        <v>262</v>
      </c>
      <c r="Q374" t="s">
        <v>1167</v>
      </c>
      <c r="R374" t="s">
        <v>1173</v>
      </c>
    </row>
    <row r="375" spans="1:18" x14ac:dyDescent="0.3">
      <c r="A375" t="s">
        <v>1164</v>
      </c>
      <c r="B375">
        <v>5</v>
      </c>
      <c r="C375" t="s">
        <v>1</v>
      </c>
      <c r="D375">
        <v>1132</v>
      </c>
      <c r="E375">
        <v>1281</v>
      </c>
      <c r="F375">
        <v>1740</v>
      </c>
      <c r="G375">
        <v>1671</v>
      </c>
      <c r="H375">
        <v>608</v>
      </c>
      <c r="I375">
        <v>390</v>
      </c>
      <c r="J375" t="s">
        <v>55</v>
      </c>
      <c r="K375" t="s">
        <v>252</v>
      </c>
      <c r="L375" t="s">
        <v>915</v>
      </c>
      <c r="M375">
        <v>1436</v>
      </c>
      <c r="N375">
        <v>1476</v>
      </c>
      <c r="O375" t="s">
        <v>630</v>
      </c>
      <c r="P375" t="s">
        <v>197</v>
      </c>
      <c r="Q375" t="s">
        <v>1167</v>
      </c>
      <c r="R375" t="s">
        <v>1174</v>
      </c>
    </row>
    <row r="376" spans="1:18" x14ac:dyDescent="0.3">
      <c r="A376" t="s">
        <v>1175</v>
      </c>
      <c r="B376">
        <v>0</v>
      </c>
      <c r="C376" t="s">
        <v>1</v>
      </c>
      <c r="D376">
        <v>1153</v>
      </c>
      <c r="E376">
        <v>1388</v>
      </c>
      <c r="F376">
        <v>1808</v>
      </c>
      <c r="G376">
        <v>1772</v>
      </c>
      <c r="H376">
        <v>655</v>
      </c>
      <c r="I376">
        <v>384</v>
      </c>
      <c r="J376" t="s">
        <v>1128</v>
      </c>
      <c r="K376" t="s">
        <v>157</v>
      </c>
      <c r="L376" t="s">
        <v>1129</v>
      </c>
      <c r="M376">
        <v>1480</v>
      </c>
      <c r="N376">
        <v>1580</v>
      </c>
      <c r="O376" t="s">
        <v>1130</v>
      </c>
      <c r="P376" t="s">
        <v>6</v>
      </c>
      <c r="Q376" t="s">
        <v>1176</v>
      </c>
      <c r="R376" t="s">
        <v>461</v>
      </c>
    </row>
    <row r="377" spans="1:18" x14ac:dyDescent="0.3">
      <c r="A377" t="s">
        <v>1175</v>
      </c>
      <c r="B377">
        <v>1</v>
      </c>
      <c r="C377" t="s">
        <v>1</v>
      </c>
      <c r="D377">
        <v>1898</v>
      </c>
      <c r="E377">
        <v>1375</v>
      </c>
      <c r="F377">
        <v>2456</v>
      </c>
      <c r="G377">
        <v>1762</v>
      </c>
      <c r="H377">
        <v>558</v>
      </c>
      <c r="I377">
        <v>387</v>
      </c>
      <c r="J377" t="s">
        <v>83</v>
      </c>
      <c r="K377" t="s">
        <v>3</v>
      </c>
      <c r="L377" t="s">
        <v>492</v>
      </c>
      <c r="M377">
        <v>2177</v>
      </c>
      <c r="N377">
        <v>1568</v>
      </c>
      <c r="O377" t="s">
        <v>86</v>
      </c>
      <c r="P377" t="s">
        <v>80</v>
      </c>
      <c r="Q377" t="s">
        <v>1176</v>
      </c>
      <c r="R377" t="s">
        <v>1056</v>
      </c>
    </row>
    <row r="378" spans="1:18" x14ac:dyDescent="0.3">
      <c r="A378" t="s">
        <v>1175</v>
      </c>
      <c r="B378">
        <v>2</v>
      </c>
      <c r="C378" t="s">
        <v>1</v>
      </c>
      <c r="D378">
        <v>2610</v>
      </c>
      <c r="E378">
        <v>1208</v>
      </c>
      <c r="F378">
        <v>3469</v>
      </c>
      <c r="G378">
        <v>1782</v>
      </c>
      <c r="H378">
        <v>859</v>
      </c>
      <c r="I378">
        <v>574</v>
      </c>
      <c r="J378" t="s">
        <v>88</v>
      </c>
      <c r="K378" t="s">
        <v>1177</v>
      </c>
      <c r="L378" t="s">
        <v>446</v>
      </c>
      <c r="M378">
        <v>3039</v>
      </c>
      <c r="N378">
        <v>1495</v>
      </c>
      <c r="O378" t="s">
        <v>90</v>
      </c>
      <c r="P378" t="s">
        <v>19</v>
      </c>
      <c r="Q378" t="s">
        <v>1176</v>
      </c>
      <c r="R378" t="s">
        <v>1178</v>
      </c>
    </row>
    <row r="379" spans="1:18" x14ac:dyDescent="0.3">
      <c r="A379" t="s">
        <v>1175</v>
      </c>
      <c r="B379">
        <v>3</v>
      </c>
      <c r="C379" t="s">
        <v>1</v>
      </c>
      <c r="D379">
        <v>1</v>
      </c>
      <c r="E379">
        <v>1415</v>
      </c>
      <c r="F379">
        <v>363</v>
      </c>
      <c r="G379">
        <v>1808</v>
      </c>
      <c r="H379">
        <v>362</v>
      </c>
      <c r="I379">
        <v>393</v>
      </c>
      <c r="J379" t="s">
        <v>499</v>
      </c>
      <c r="K379" t="s">
        <v>289</v>
      </c>
      <c r="L379" t="s">
        <v>6</v>
      </c>
      <c r="M379">
        <v>182</v>
      </c>
      <c r="N379">
        <v>1611</v>
      </c>
      <c r="O379" t="s">
        <v>500</v>
      </c>
      <c r="P379" t="s">
        <v>63</v>
      </c>
      <c r="Q379" t="s">
        <v>1176</v>
      </c>
      <c r="R379" t="s">
        <v>1179</v>
      </c>
    </row>
    <row r="380" spans="1:18" x14ac:dyDescent="0.3">
      <c r="A380" t="s">
        <v>1180</v>
      </c>
      <c r="B380">
        <v>0</v>
      </c>
      <c r="C380" t="s">
        <v>1</v>
      </c>
      <c r="D380">
        <v>1</v>
      </c>
      <c r="E380">
        <v>1116</v>
      </c>
      <c r="F380">
        <v>850</v>
      </c>
      <c r="G380">
        <v>1554</v>
      </c>
      <c r="H380">
        <v>849</v>
      </c>
      <c r="I380">
        <v>438</v>
      </c>
      <c r="J380" t="s">
        <v>422</v>
      </c>
      <c r="K380" t="s">
        <v>156</v>
      </c>
      <c r="L380" t="s">
        <v>466</v>
      </c>
      <c r="M380">
        <v>425</v>
      </c>
      <c r="N380">
        <v>1335</v>
      </c>
      <c r="O380" t="s">
        <v>425</v>
      </c>
      <c r="P380" t="s">
        <v>80</v>
      </c>
      <c r="Q380" t="s">
        <v>1181</v>
      </c>
      <c r="R380" t="s">
        <v>1182</v>
      </c>
    </row>
    <row r="381" spans="1:18" x14ac:dyDescent="0.3">
      <c r="A381" t="s">
        <v>1180</v>
      </c>
      <c r="B381">
        <v>1</v>
      </c>
      <c r="C381" t="s">
        <v>1</v>
      </c>
      <c r="D381">
        <v>1888</v>
      </c>
      <c r="E381">
        <v>1244</v>
      </c>
      <c r="F381">
        <v>2271</v>
      </c>
      <c r="G381">
        <v>1532</v>
      </c>
      <c r="H381">
        <v>383</v>
      </c>
      <c r="I381">
        <v>288</v>
      </c>
      <c r="J381" t="s">
        <v>560</v>
      </c>
      <c r="K381" t="s">
        <v>566</v>
      </c>
      <c r="L381" t="s">
        <v>567</v>
      </c>
      <c r="M381">
        <v>2079</v>
      </c>
      <c r="N381">
        <v>1388</v>
      </c>
      <c r="O381" t="s">
        <v>388</v>
      </c>
      <c r="P381" t="s">
        <v>13</v>
      </c>
      <c r="Q381" t="s">
        <v>1181</v>
      </c>
      <c r="R381" t="s">
        <v>1056</v>
      </c>
    </row>
    <row r="382" spans="1:18" x14ac:dyDescent="0.3">
      <c r="A382" t="s">
        <v>1180</v>
      </c>
      <c r="B382">
        <v>2</v>
      </c>
      <c r="C382" t="s">
        <v>1</v>
      </c>
      <c r="D382">
        <v>2357</v>
      </c>
      <c r="E382">
        <v>1255</v>
      </c>
      <c r="F382">
        <v>2831</v>
      </c>
      <c r="G382">
        <v>1532</v>
      </c>
      <c r="H382">
        <v>474</v>
      </c>
      <c r="I382">
        <v>277</v>
      </c>
      <c r="J382" t="s">
        <v>517</v>
      </c>
      <c r="K382" t="s">
        <v>725</v>
      </c>
      <c r="L382" t="s">
        <v>1129</v>
      </c>
      <c r="M382">
        <v>2594</v>
      </c>
      <c r="N382">
        <v>1393</v>
      </c>
      <c r="O382" t="s">
        <v>519</v>
      </c>
      <c r="P382" t="s">
        <v>19</v>
      </c>
      <c r="Q382" t="s">
        <v>1181</v>
      </c>
      <c r="R382" t="s">
        <v>986</v>
      </c>
    </row>
    <row r="383" spans="1:18" x14ac:dyDescent="0.3">
      <c r="A383" t="s">
        <v>1180</v>
      </c>
      <c r="B383">
        <v>3</v>
      </c>
      <c r="C383" t="s">
        <v>1</v>
      </c>
      <c r="D383">
        <v>1284</v>
      </c>
      <c r="E383">
        <v>1212</v>
      </c>
      <c r="F383">
        <v>1736</v>
      </c>
      <c r="G383">
        <v>1555</v>
      </c>
      <c r="H383">
        <v>452</v>
      </c>
      <c r="I383">
        <v>343</v>
      </c>
      <c r="J383" t="s">
        <v>872</v>
      </c>
      <c r="K383" t="s">
        <v>1183</v>
      </c>
      <c r="L383" t="s">
        <v>239</v>
      </c>
      <c r="M383">
        <v>1510</v>
      </c>
      <c r="N383">
        <v>1383</v>
      </c>
      <c r="O383" t="s">
        <v>875</v>
      </c>
      <c r="P383" t="s">
        <v>102</v>
      </c>
      <c r="Q383" t="s">
        <v>1181</v>
      </c>
      <c r="R383" t="s">
        <v>1184</v>
      </c>
    </row>
    <row r="384" spans="1:18" x14ac:dyDescent="0.3">
      <c r="A384" t="s">
        <v>1180</v>
      </c>
      <c r="B384">
        <v>4</v>
      </c>
      <c r="C384" t="s">
        <v>1</v>
      </c>
      <c r="D384">
        <v>2895</v>
      </c>
      <c r="E384">
        <v>1300</v>
      </c>
      <c r="F384">
        <v>3471</v>
      </c>
      <c r="G384">
        <v>1562</v>
      </c>
      <c r="H384">
        <v>576</v>
      </c>
      <c r="I384">
        <v>262</v>
      </c>
      <c r="J384" t="s">
        <v>1185</v>
      </c>
      <c r="K384" t="s">
        <v>520</v>
      </c>
      <c r="L384" t="s">
        <v>899</v>
      </c>
      <c r="M384">
        <v>3183</v>
      </c>
      <c r="N384">
        <v>1431</v>
      </c>
      <c r="O384" t="s">
        <v>513</v>
      </c>
      <c r="P384" t="s">
        <v>130</v>
      </c>
      <c r="Q384" t="s">
        <v>1181</v>
      </c>
      <c r="R384" t="s">
        <v>1186</v>
      </c>
    </row>
    <row r="385" spans="1:18" x14ac:dyDescent="0.3">
      <c r="A385" t="s">
        <v>1180</v>
      </c>
      <c r="B385">
        <v>5</v>
      </c>
      <c r="C385" t="s">
        <v>1</v>
      </c>
      <c r="D385">
        <v>3423</v>
      </c>
      <c r="E385">
        <v>1181</v>
      </c>
      <c r="F385">
        <v>4029</v>
      </c>
      <c r="G385">
        <v>1597</v>
      </c>
      <c r="H385">
        <v>606</v>
      </c>
      <c r="I385">
        <v>416</v>
      </c>
      <c r="J385" t="s">
        <v>1187</v>
      </c>
      <c r="K385" t="s">
        <v>165</v>
      </c>
      <c r="L385" t="s">
        <v>545</v>
      </c>
      <c r="M385">
        <v>3726</v>
      </c>
      <c r="N385">
        <v>1389</v>
      </c>
      <c r="O385" t="s">
        <v>1188</v>
      </c>
      <c r="P385" t="s">
        <v>130</v>
      </c>
      <c r="Q385" t="s">
        <v>1181</v>
      </c>
      <c r="R385" t="s">
        <v>1189</v>
      </c>
    </row>
    <row r="386" spans="1:18" x14ac:dyDescent="0.3">
      <c r="A386" t="s">
        <v>1180</v>
      </c>
      <c r="B386">
        <v>6</v>
      </c>
      <c r="C386" t="s">
        <v>1</v>
      </c>
      <c r="D386">
        <v>811</v>
      </c>
      <c r="E386">
        <v>1231</v>
      </c>
      <c r="F386">
        <v>929</v>
      </c>
      <c r="G386">
        <v>1462</v>
      </c>
      <c r="H386">
        <v>118</v>
      </c>
      <c r="I386">
        <v>231</v>
      </c>
      <c r="J386" t="s">
        <v>883</v>
      </c>
      <c r="K386" t="s">
        <v>1190</v>
      </c>
      <c r="L386" t="s">
        <v>396</v>
      </c>
      <c r="M386">
        <v>870</v>
      </c>
      <c r="N386">
        <v>1346</v>
      </c>
      <c r="O386" t="s">
        <v>885</v>
      </c>
      <c r="P386" t="s">
        <v>505</v>
      </c>
      <c r="Q386" t="s">
        <v>1181</v>
      </c>
      <c r="R386" t="s">
        <v>1191</v>
      </c>
    </row>
    <row r="387" spans="1:18" x14ac:dyDescent="0.3">
      <c r="A387" t="s">
        <v>1192</v>
      </c>
      <c r="B387">
        <v>0</v>
      </c>
      <c r="C387" t="s">
        <v>1</v>
      </c>
      <c r="D387">
        <v>5</v>
      </c>
      <c r="E387">
        <v>1486</v>
      </c>
      <c r="F387">
        <v>657</v>
      </c>
      <c r="G387">
        <v>1780</v>
      </c>
      <c r="H387">
        <v>652</v>
      </c>
      <c r="I387">
        <v>294</v>
      </c>
      <c r="J387" t="s">
        <v>1139</v>
      </c>
      <c r="K387" t="s">
        <v>440</v>
      </c>
      <c r="L387" t="s">
        <v>1193</v>
      </c>
      <c r="M387">
        <v>331</v>
      </c>
      <c r="N387">
        <v>1633</v>
      </c>
      <c r="O387" t="s">
        <v>1140</v>
      </c>
      <c r="P387" t="s">
        <v>19</v>
      </c>
      <c r="Q387" t="s">
        <v>1194</v>
      </c>
      <c r="R387" t="s">
        <v>1195</v>
      </c>
    </row>
    <row r="388" spans="1:18" x14ac:dyDescent="0.3">
      <c r="A388" t="s">
        <v>1192</v>
      </c>
      <c r="B388">
        <v>1</v>
      </c>
      <c r="C388" t="s">
        <v>1</v>
      </c>
      <c r="D388">
        <v>2323</v>
      </c>
      <c r="E388">
        <v>1470</v>
      </c>
      <c r="F388">
        <v>2812</v>
      </c>
      <c r="G388">
        <v>1746</v>
      </c>
      <c r="H388">
        <v>489</v>
      </c>
      <c r="I388">
        <v>276</v>
      </c>
      <c r="J388" t="s">
        <v>1196</v>
      </c>
      <c r="K388" t="s">
        <v>598</v>
      </c>
      <c r="L388" t="s">
        <v>305</v>
      </c>
      <c r="M388">
        <v>2567</v>
      </c>
      <c r="N388">
        <v>1608</v>
      </c>
      <c r="O388" t="s">
        <v>1197</v>
      </c>
      <c r="P388" t="s">
        <v>102</v>
      </c>
      <c r="Q388" t="s">
        <v>1194</v>
      </c>
      <c r="R388" t="s">
        <v>141</v>
      </c>
    </row>
    <row r="389" spans="1:18" x14ac:dyDescent="0.3">
      <c r="A389" t="s">
        <v>1192</v>
      </c>
      <c r="B389">
        <v>2</v>
      </c>
      <c r="C389" t="s">
        <v>1</v>
      </c>
      <c r="D389">
        <v>1847</v>
      </c>
      <c r="E389">
        <v>1455</v>
      </c>
      <c r="F389">
        <v>2235</v>
      </c>
      <c r="G389">
        <v>1761</v>
      </c>
      <c r="H389">
        <v>388</v>
      </c>
      <c r="I389">
        <v>306</v>
      </c>
      <c r="J389" t="s">
        <v>596</v>
      </c>
      <c r="K389" t="s">
        <v>627</v>
      </c>
      <c r="L389" t="s">
        <v>779</v>
      </c>
      <c r="M389">
        <v>2041</v>
      </c>
      <c r="N389">
        <v>1608</v>
      </c>
      <c r="O389" t="s">
        <v>597</v>
      </c>
      <c r="P389" t="s">
        <v>102</v>
      </c>
      <c r="Q389" t="s">
        <v>1194</v>
      </c>
      <c r="R389" t="s">
        <v>941</v>
      </c>
    </row>
    <row r="390" spans="1:18" x14ac:dyDescent="0.3">
      <c r="A390" t="s">
        <v>1192</v>
      </c>
      <c r="B390">
        <v>3</v>
      </c>
      <c r="C390" t="s">
        <v>1</v>
      </c>
      <c r="D390">
        <v>2865</v>
      </c>
      <c r="E390">
        <v>1499</v>
      </c>
      <c r="F390">
        <v>3457</v>
      </c>
      <c r="G390">
        <v>1756</v>
      </c>
      <c r="H390">
        <v>592</v>
      </c>
      <c r="I390">
        <v>257</v>
      </c>
      <c r="J390" t="s">
        <v>1198</v>
      </c>
      <c r="K390" t="s">
        <v>841</v>
      </c>
      <c r="L390" t="s">
        <v>1199</v>
      </c>
      <c r="M390">
        <v>3161</v>
      </c>
      <c r="N390">
        <v>1627</v>
      </c>
      <c r="O390" t="s">
        <v>683</v>
      </c>
      <c r="P390" t="s">
        <v>130</v>
      </c>
      <c r="Q390" t="s">
        <v>1194</v>
      </c>
      <c r="R390" t="s">
        <v>1200</v>
      </c>
    </row>
    <row r="391" spans="1:18" x14ac:dyDescent="0.3">
      <c r="A391" t="s">
        <v>1192</v>
      </c>
      <c r="B391">
        <v>4</v>
      </c>
      <c r="C391" t="s">
        <v>1</v>
      </c>
      <c r="D391">
        <v>3368</v>
      </c>
      <c r="E391">
        <v>1464</v>
      </c>
      <c r="F391">
        <v>4029</v>
      </c>
      <c r="G391">
        <v>1777</v>
      </c>
      <c r="H391">
        <v>661</v>
      </c>
      <c r="I391">
        <v>313</v>
      </c>
      <c r="J391" t="s">
        <v>1201</v>
      </c>
      <c r="K391" t="s">
        <v>534</v>
      </c>
      <c r="L391" t="s">
        <v>1202</v>
      </c>
      <c r="M391">
        <v>3698</v>
      </c>
      <c r="N391">
        <v>1620</v>
      </c>
      <c r="O391" t="s">
        <v>1203</v>
      </c>
      <c r="P391" t="s">
        <v>141</v>
      </c>
      <c r="Q391" t="s">
        <v>1194</v>
      </c>
      <c r="R391" t="s">
        <v>1150</v>
      </c>
    </row>
    <row r="392" spans="1:18" x14ac:dyDescent="0.3">
      <c r="A392" t="s">
        <v>1192</v>
      </c>
      <c r="B392">
        <v>5</v>
      </c>
      <c r="C392" t="s">
        <v>1</v>
      </c>
      <c r="D392">
        <v>589</v>
      </c>
      <c r="E392">
        <v>1474</v>
      </c>
      <c r="F392">
        <v>1025</v>
      </c>
      <c r="G392">
        <v>1732</v>
      </c>
      <c r="H392">
        <v>436</v>
      </c>
      <c r="I392">
        <v>258</v>
      </c>
      <c r="J392" t="s">
        <v>1204</v>
      </c>
      <c r="K392" t="s">
        <v>887</v>
      </c>
      <c r="L392" t="s">
        <v>1156</v>
      </c>
      <c r="M392">
        <v>807</v>
      </c>
      <c r="N392">
        <v>1603</v>
      </c>
      <c r="O392" t="s">
        <v>1205</v>
      </c>
      <c r="P392" t="s">
        <v>63</v>
      </c>
      <c r="Q392" t="s">
        <v>1194</v>
      </c>
      <c r="R392" t="s">
        <v>1206</v>
      </c>
    </row>
    <row r="393" spans="1:18" x14ac:dyDescent="0.3">
      <c r="A393" t="s">
        <v>1192</v>
      </c>
      <c r="B393">
        <v>6</v>
      </c>
      <c r="C393" t="s">
        <v>1</v>
      </c>
      <c r="D393">
        <v>1395</v>
      </c>
      <c r="E393">
        <v>1441</v>
      </c>
      <c r="F393">
        <v>1684</v>
      </c>
      <c r="G393">
        <v>1792</v>
      </c>
      <c r="H393">
        <v>289</v>
      </c>
      <c r="I393">
        <v>351</v>
      </c>
      <c r="J393" t="s">
        <v>987</v>
      </c>
      <c r="K393" t="s">
        <v>809</v>
      </c>
      <c r="L393" t="s">
        <v>262</v>
      </c>
      <c r="M393">
        <v>1539</v>
      </c>
      <c r="N393">
        <v>1616</v>
      </c>
      <c r="O393" t="s">
        <v>988</v>
      </c>
      <c r="P393" t="s">
        <v>391</v>
      </c>
      <c r="Q393" t="s">
        <v>1194</v>
      </c>
      <c r="R393" t="s">
        <v>1207</v>
      </c>
    </row>
    <row r="394" spans="1:18" x14ac:dyDescent="0.3">
      <c r="A394" t="s">
        <v>1192</v>
      </c>
      <c r="B394">
        <v>8</v>
      </c>
      <c r="C394" t="s">
        <v>1</v>
      </c>
      <c r="D394">
        <v>2908</v>
      </c>
      <c r="E394">
        <v>1147</v>
      </c>
      <c r="F394">
        <v>3035</v>
      </c>
      <c r="G394">
        <v>1252</v>
      </c>
      <c r="H394">
        <v>127</v>
      </c>
      <c r="I394">
        <v>105</v>
      </c>
      <c r="J394" t="s">
        <v>716</v>
      </c>
      <c r="K394" t="s">
        <v>1208</v>
      </c>
      <c r="L394" t="s">
        <v>1209</v>
      </c>
      <c r="M394">
        <v>2971</v>
      </c>
      <c r="N394">
        <v>1199</v>
      </c>
      <c r="O394" t="s">
        <v>718</v>
      </c>
      <c r="P394" t="s">
        <v>695</v>
      </c>
      <c r="Q394" t="s">
        <v>1194</v>
      </c>
      <c r="R394" t="s">
        <v>1210</v>
      </c>
    </row>
    <row r="395" spans="1:18" x14ac:dyDescent="0.3">
      <c r="A395" t="s">
        <v>1211</v>
      </c>
      <c r="B395">
        <v>0</v>
      </c>
      <c r="C395" t="s">
        <v>1</v>
      </c>
      <c r="D395">
        <v>2655</v>
      </c>
      <c r="E395">
        <v>1325</v>
      </c>
      <c r="F395">
        <v>3160</v>
      </c>
      <c r="G395">
        <v>1604</v>
      </c>
      <c r="H395">
        <v>505</v>
      </c>
      <c r="I395">
        <v>279</v>
      </c>
      <c r="J395" t="s">
        <v>469</v>
      </c>
      <c r="K395" t="s">
        <v>670</v>
      </c>
      <c r="L395" t="s">
        <v>1066</v>
      </c>
      <c r="M395">
        <v>2907</v>
      </c>
      <c r="N395">
        <v>1464</v>
      </c>
      <c r="O395" t="s">
        <v>471</v>
      </c>
      <c r="P395" t="s">
        <v>6</v>
      </c>
      <c r="Q395" t="s">
        <v>1212</v>
      </c>
      <c r="R395" t="s">
        <v>1213</v>
      </c>
    </row>
    <row r="396" spans="1:18" x14ac:dyDescent="0.3">
      <c r="A396" t="s">
        <v>1211</v>
      </c>
      <c r="B396">
        <v>1</v>
      </c>
      <c r="C396" t="s">
        <v>1</v>
      </c>
      <c r="D396">
        <v>499</v>
      </c>
      <c r="E396">
        <v>1316</v>
      </c>
      <c r="F396">
        <v>1067</v>
      </c>
      <c r="G396">
        <v>1587</v>
      </c>
      <c r="H396">
        <v>568</v>
      </c>
      <c r="I396">
        <v>271</v>
      </c>
      <c r="J396" t="s">
        <v>1041</v>
      </c>
      <c r="K396" t="s">
        <v>450</v>
      </c>
      <c r="L396" t="s">
        <v>290</v>
      </c>
      <c r="M396">
        <v>783</v>
      </c>
      <c r="N396">
        <v>1451</v>
      </c>
      <c r="O396" t="s">
        <v>1040</v>
      </c>
      <c r="P396" t="s">
        <v>13</v>
      </c>
      <c r="Q396" t="s">
        <v>1212</v>
      </c>
      <c r="R396" t="s">
        <v>1214</v>
      </c>
    </row>
    <row r="397" spans="1:18" x14ac:dyDescent="0.3">
      <c r="A397" t="s">
        <v>1211</v>
      </c>
      <c r="B397">
        <v>2</v>
      </c>
      <c r="C397" t="s">
        <v>1</v>
      </c>
      <c r="D397">
        <v>3217</v>
      </c>
      <c r="E397">
        <v>1366</v>
      </c>
      <c r="F397">
        <v>3849</v>
      </c>
      <c r="G397">
        <v>1634</v>
      </c>
      <c r="H397">
        <v>632</v>
      </c>
      <c r="I397">
        <v>268</v>
      </c>
      <c r="J397" t="s">
        <v>371</v>
      </c>
      <c r="K397" t="s">
        <v>5</v>
      </c>
      <c r="L397" t="s">
        <v>1215</v>
      </c>
      <c r="M397">
        <v>3533</v>
      </c>
      <c r="N397">
        <v>1500</v>
      </c>
      <c r="O397" t="s">
        <v>1216</v>
      </c>
      <c r="P397" t="s">
        <v>19</v>
      </c>
      <c r="Q397" t="s">
        <v>1212</v>
      </c>
      <c r="R397" t="s">
        <v>1217</v>
      </c>
    </row>
    <row r="398" spans="1:18" x14ac:dyDescent="0.3">
      <c r="A398" t="s">
        <v>1211</v>
      </c>
      <c r="B398">
        <v>3</v>
      </c>
      <c r="C398" t="s">
        <v>1</v>
      </c>
      <c r="D398">
        <v>2175</v>
      </c>
      <c r="E398">
        <v>1313</v>
      </c>
      <c r="F398">
        <v>2565</v>
      </c>
      <c r="G398">
        <v>1608</v>
      </c>
      <c r="H398">
        <v>390</v>
      </c>
      <c r="I398">
        <v>295</v>
      </c>
      <c r="J398" t="s">
        <v>1218</v>
      </c>
      <c r="K398" t="s">
        <v>668</v>
      </c>
      <c r="L398" t="s">
        <v>239</v>
      </c>
      <c r="M398">
        <v>2370</v>
      </c>
      <c r="N398">
        <v>1460</v>
      </c>
      <c r="O398" t="s">
        <v>1219</v>
      </c>
      <c r="P398" t="s">
        <v>102</v>
      </c>
      <c r="Q398" t="s">
        <v>1212</v>
      </c>
      <c r="R398" t="s">
        <v>925</v>
      </c>
    </row>
    <row r="399" spans="1:18" x14ac:dyDescent="0.3">
      <c r="A399" t="s">
        <v>1211</v>
      </c>
      <c r="B399">
        <v>4</v>
      </c>
      <c r="C399" t="s">
        <v>1</v>
      </c>
      <c r="D399">
        <v>1817</v>
      </c>
      <c r="E399">
        <v>1289</v>
      </c>
      <c r="F399">
        <v>2014</v>
      </c>
      <c r="G399">
        <v>1624</v>
      </c>
      <c r="H399">
        <v>197</v>
      </c>
      <c r="I399">
        <v>335</v>
      </c>
      <c r="J399" t="s">
        <v>71</v>
      </c>
      <c r="K399" t="s">
        <v>514</v>
      </c>
      <c r="L399" t="s">
        <v>511</v>
      </c>
      <c r="M399">
        <v>1915</v>
      </c>
      <c r="N399">
        <v>1456</v>
      </c>
      <c r="O399" t="s">
        <v>74</v>
      </c>
      <c r="P399" t="s">
        <v>391</v>
      </c>
      <c r="Q399" t="s">
        <v>1212</v>
      </c>
      <c r="R399" t="s">
        <v>745</v>
      </c>
    </row>
    <row r="400" spans="1:18" x14ac:dyDescent="0.3">
      <c r="A400" t="s">
        <v>1211</v>
      </c>
      <c r="B400">
        <v>5</v>
      </c>
      <c r="C400" t="s">
        <v>1</v>
      </c>
      <c r="D400">
        <v>997</v>
      </c>
      <c r="E400">
        <v>1314</v>
      </c>
      <c r="F400">
        <v>1512</v>
      </c>
      <c r="G400">
        <v>1612</v>
      </c>
      <c r="H400">
        <v>515</v>
      </c>
      <c r="I400">
        <v>298</v>
      </c>
      <c r="J400" t="s">
        <v>626</v>
      </c>
      <c r="K400" t="s">
        <v>177</v>
      </c>
      <c r="L400" t="s">
        <v>1220</v>
      </c>
      <c r="M400">
        <v>1254</v>
      </c>
      <c r="N400">
        <v>1463</v>
      </c>
      <c r="O400" t="s">
        <v>628</v>
      </c>
      <c r="P400" t="s">
        <v>36</v>
      </c>
      <c r="Q400" t="s">
        <v>1212</v>
      </c>
      <c r="R400" t="s">
        <v>197</v>
      </c>
    </row>
    <row r="401" spans="1:18" x14ac:dyDescent="0.3">
      <c r="A401" t="s">
        <v>1221</v>
      </c>
      <c r="B401">
        <v>0</v>
      </c>
      <c r="C401" t="s">
        <v>1</v>
      </c>
      <c r="D401">
        <v>2464</v>
      </c>
      <c r="E401">
        <v>1546</v>
      </c>
      <c r="F401">
        <v>2968</v>
      </c>
      <c r="G401">
        <v>1836</v>
      </c>
      <c r="H401">
        <v>504</v>
      </c>
      <c r="I401">
        <v>290</v>
      </c>
      <c r="J401" t="s">
        <v>137</v>
      </c>
      <c r="K401" t="s">
        <v>491</v>
      </c>
      <c r="L401" t="s">
        <v>389</v>
      </c>
      <c r="M401">
        <v>2716</v>
      </c>
      <c r="N401">
        <v>1691</v>
      </c>
      <c r="O401" t="s">
        <v>1222</v>
      </c>
      <c r="P401" t="s">
        <v>6</v>
      </c>
      <c r="Q401" t="s">
        <v>1223</v>
      </c>
      <c r="R401" t="s">
        <v>977</v>
      </c>
    </row>
    <row r="402" spans="1:18" x14ac:dyDescent="0.3">
      <c r="A402" t="s">
        <v>1221</v>
      </c>
      <c r="B402">
        <v>1</v>
      </c>
      <c r="C402" t="s">
        <v>1</v>
      </c>
      <c r="D402">
        <v>3528</v>
      </c>
      <c r="E402">
        <v>1589</v>
      </c>
      <c r="F402">
        <v>4029</v>
      </c>
      <c r="G402">
        <v>1900</v>
      </c>
      <c r="H402">
        <v>501</v>
      </c>
      <c r="I402">
        <v>311</v>
      </c>
      <c r="J402" t="s">
        <v>666</v>
      </c>
      <c r="K402" t="s">
        <v>731</v>
      </c>
      <c r="L402" t="s">
        <v>4</v>
      </c>
      <c r="M402">
        <v>3778</v>
      </c>
      <c r="N402">
        <v>1744</v>
      </c>
      <c r="O402" t="s">
        <v>664</v>
      </c>
      <c r="P402" t="s">
        <v>80</v>
      </c>
      <c r="Q402" t="s">
        <v>1223</v>
      </c>
      <c r="R402" t="s">
        <v>777</v>
      </c>
    </row>
    <row r="403" spans="1:18" x14ac:dyDescent="0.3">
      <c r="A403" t="s">
        <v>1221</v>
      </c>
      <c r="B403">
        <v>2</v>
      </c>
      <c r="C403" t="s">
        <v>1</v>
      </c>
      <c r="D403">
        <v>166</v>
      </c>
      <c r="E403">
        <v>1492</v>
      </c>
      <c r="F403">
        <v>811</v>
      </c>
      <c r="G403">
        <v>1783</v>
      </c>
      <c r="H403">
        <v>645</v>
      </c>
      <c r="I403">
        <v>291</v>
      </c>
      <c r="J403" t="s">
        <v>427</v>
      </c>
      <c r="K403" t="s">
        <v>596</v>
      </c>
      <c r="L403" t="s">
        <v>1193</v>
      </c>
      <c r="M403">
        <v>488</v>
      </c>
      <c r="N403">
        <v>1637</v>
      </c>
      <c r="O403" t="s">
        <v>428</v>
      </c>
      <c r="P403" t="s">
        <v>13</v>
      </c>
      <c r="Q403" t="s">
        <v>1223</v>
      </c>
      <c r="R403" t="s">
        <v>1224</v>
      </c>
    </row>
    <row r="404" spans="1:18" x14ac:dyDescent="0.3">
      <c r="A404" t="s">
        <v>1221</v>
      </c>
      <c r="B404">
        <v>3</v>
      </c>
      <c r="C404" t="s">
        <v>1</v>
      </c>
      <c r="D404">
        <v>1982</v>
      </c>
      <c r="E404">
        <v>1527</v>
      </c>
      <c r="F404">
        <v>2377</v>
      </c>
      <c r="G404">
        <v>1827</v>
      </c>
      <c r="H404">
        <v>395</v>
      </c>
      <c r="I404">
        <v>300</v>
      </c>
      <c r="J404" t="s">
        <v>1126</v>
      </c>
      <c r="K404" t="s">
        <v>167</v>
      </c>
      <c r="L404" t="s">
        <v>239</v>
      </c>
      <c r="M404">
        <v>2179</v>
      </c>
      <c r="N404">
        <v>1677</v>
      </c>
      <c r="O404" t="s">
        <v>1125</v>
      </c>
      <c r="P404" t="s">
        <v>19</v>
      </c>
      <c r="Q404" t="s">
        <v>1223</v>
      </c>
      <c r="R404" t="s">
        <v>1225</v>
      </c>
    </row>
    <row r="405" spans="1:18" x14ac:dyDescent="0.3">
      <c r="A405" t="s">
        <v>1221</v>
      </c>
      <c r="B405">
        <v>4</v>
      </c>
      <c r="C405" t="s">
        <v>1</v>
      </c>
      <c r="D405">
        <v>3026</v>
      </c>
      <c r="E405">
        <v>1602</v>
      </c>
      <c r="F405">
        <v>3644</v>
      </c>
      <c r="G405">
        <v>1867</v>
      </c>
      <c r="H405">
        <v>618</v>
      </c>
      <c r="I405">
        <v>265</v>
      </c>
      <c r="J405" t="s">
        <v>379</v>
      </c>
      <c r="K405" t="s">
        <v>119</v>
      </c>
      <c r="L405" t="s">
        <v>1226</v>
      </c>
      <c r="M405">
        <v>3335</v>
      </c>
      <c r="N405">
        <v>1734</v>
      </c>
      <c r="O405" t="s">
        <v>381</v>
      </c>
      <c r="P405" t="s">
        <v>141</v>
      </c>
      <c r="Q405" t="s">
        <v>1223</v>
      </c>
      <c r="R405" t="s">
        <v>1227</v>
      </c>
    </row>
    <row r="406" spans="1:18" x14ac:dyDescent="0.3">
      <c r="A406" t="s">
        <v>1221</v>
      </c>
      <c r="B406">
        <v>5</v>
      </c>
      <c r="C406" t="s">
        <v>1</v>
      </c>
      <c r="D406">
        <v>753</v>
      </c>
      <c r="E406">
        <v>1516</v>
      </c>
      <c r="F406">
        <v>950</v>
      </c>
      <c r="G406">
        <v>1778</v>
      </c>
      <c r="H406">
        <v>197</v>
      </c>
      <c r="I406">
        <v>262</v>
      </c>
      <c r="J406" t="s">
        <v>71</v>
      </c>
      <c r="K406" t="s">
        <v>520</v>
      </c>
      <c r="L406" t="s">
        <v>30</v>
      </c>
      <c r="M406">
        <v>851</v>
      </c>
      <c r="N406">
        <v>1647</v>
      </c>
      <c r="O406" t="s">
        <v>74</v>
      </c>
      <c r="P406" t="s">
        <v>57</v>
      </c>
      <c r="Q406" t="s">
        <v>1223</v>
      </c>
      <c r="R406" t="s">
        <v>1228</v>
      </c>
    </row>
    <row r="407" spans="1:18" x14ac:dyDescent="0.3">
      <c r="A407" t="s">
        <v>1221</v>
      </c>
      <c r="B407">
        <v>6</v>
      </c>
      <c r="C407" t="s">
        <v>1</v>
      </c>
      <c r="D407">
        <v>1364</v>
      </c>
      <c r="E407">
        <v>1484</v>
      </c>
      <c r="F407">
        <v>1819</v>
      </c>
      <c r="G407">
        <v>1838</v>
      </c>
      <c r="H407">
        <v>455</v>
      </c>
      <c r="I407">
        <v>354</v>
      </c>
      <c r="J407" t="s">
        <v>1229</v>
      </c>
      <c r="K407" t="s">
        <v>1230</v>
      </c>
      <c r="L407" t="s">
        <v>618</v>
      </c>
      <c r="M407">
        <v>1591</v>
      </c>
      <c r="N407">
        <v>1661</v>
      </c>
      <c r="O407" t="s">
        <v>1231</v>
      </c>
      <c r="P407" t="s">
        <v>391</v>
      </c>
      <c r="Q407" t="s">
        <v>1223</v>
      </c>
      <c r="R407" t="s">
        <v>1124</v>
      </c>
    </row>
    <row r="408" spans="1:18" x14ac:dyDescent="0.3">
      <c r="A408" t="s">
        <v>1232</v>
      </c>
      <c r="B408">
        <v>0</v>
      </c>
      <c r="C408" t="s">
        <v>1</v>
      </c>
      <c r="D408">
        <v>3586</v>
      </c>
      <c r="E408">
        <v>1374</v>
      </c>
      <c r="F408">
        <v>4030</v>
      </c>
      <c r="G408">
        <v>1680</v>
      </c>
      <c r="H408">
        <v>444</v>
      </c>
      <c r="I408">
        <v>306</v>
      </c>
      <c r="J408" t="s">
        <v>775</v>
      </c>
      <c r="K408" t="s">
        <v>627</v>
      </c>
      <c r="L408" t="s">
        <v>85</v>
      </c>
      <c r="M408">
        <v>3808</v>
      </c>
      <c r="N408">
        <v>1527</v>
      </c>
      <c r="O408" t="s">
        <v>776</v>
      </c>
      <c r="P408" t="s">
        <v>80</v>
      </c>
      <c r="Q408" t="s">
        <v>1233</v>
      </c>
      <c r="R408" t="s">
        <v>777</v>
      </c>
    </row>
    <row r="409" spans="1:18" x14ac:dyDescent="0.3">
      <c r="A409" t="s">
        <v>1232</v>
      </c>
      <c r="B409">
        <v>1</v>
      </c>
      <c r="C409" t="s">
        <v>1</v>
      </c>
      <c r="D409">
        <v>255</v>
      </c>
      <c r="E409">
        <v>1346</v>
      </c>
      <c r="F409">
        <v>884</v>
      </c>
      <c r="G409">
        <v>1623</v>
      </c>
      <c r="H409">
        <v>629</v>
      </c>
      <c r="I409">
        <v>277</v>
      </c>
      <c r="J409" t="s">
        <v>117</v>
      </c>
      <c r="K409" t="s">
        <v>725</v>
      </c>
      <c r="L409" t="s">
        <v>1234</v>
      </c>
      <c r="M409">
        <v>569</v>
      </c>
      <c r="N409">
        <v>1484</v>
      </c>
      <c r="O409" t="s">
        <v>119</v>
      </c>
      <c r="P409" t="s">
        <v>13</v>
      </c>
      <c r="Q409" t="s">
        <v>1233</v>
      </c>
      <c r="R409" t="s">
        <v>1235</v>
      </c>
    </row>
    <row r="410" spans="1:18" x14ac:dyDescent="0.3">
      <c r="A410" t="s">
        <v>1232</v>
      </c>
      <c r="B410">
        <v>2</v>
      </c>
      <c r="C410" t="s">
        <v>1</v>
      </c>
      <c r="D410">
        <v>2517</v>
      </c>
      <c r="E410">
        <v>1360</v>
      </c>
      <c r="F410">
        <v>3020</v>
      </c>
      <c r="G410">
        <v>1640</v>
      </c>
      <c r="H410">
        <v>503</v>
      </c>
      <c r="I410">
        <v>280</v>
      </c>
      <c r="J410" t="s">
        <v>1236</v>
      </c>
      <c r="K410" t="s">
        <v>578</v>
      </c>
      <c r="L410" t="s">
        <v>424</v>
      </c>
      <c r="M410">
        <v>2768</v>
      </c>
      <c r="N410">
        <v>1500</v>
      </c>
      <c r="O410" t="s">
        <v>1237</v>
      </c>
      <c r="P410" t="s">
        <v>19</v>
      </c>
      <c r="Q410" t="s">
        <v>1233</v>
      </c>
      <c r="R410" t="s">
        <v>1238</v>
      </c>
    </row>
    <row r="411" spans="1:18" x14ac:dyDescent="0.3">
      <c r="A411" t="s">
        <v>1232</v>
      </c>
      <c r="B411">
        <v>3</v>
      </c>
      <c r="C411" t="s">
        <v>1</v>
      </c>
      <c r="D411">
        <v>2038</v>
      </c>
      <c r="E411">
        <v>1345</v>
      </c>
      <c r="F411">
        <v>2426</v>
      </c>
      <c r="G411">
        <v>1642</v>
      </c>
      <c r="H411">
        <v>388</v>
      </c>
      <c r="I411">
        <v>297</v>
      </c>
      <c r="J411" t="s">
        <v>596</v>
      </c>
      <c r="K411" t="s">
        <v>1145</v>
      </c>
      <c r="L411" t="s">
        <v>894</v>
      </c>
      <c r="M411">
        <v>2232</v>
      </c>
      <c r="N411">
        <v>1493</v>
      </c>
      <c r="O411" t="s">
        <v>597</v>
      </c>
      <c r="P411" t="s">
        <v>141</v>
      </c>
      <c r="Q411" t="s">
        <v>1233</v>
      </c>
      <c r="R411" t="s">
        <v>685</v>
      </c>
    </row>
    <row r="412" spans="1:18" x14ac:dyDescent="0.3">
      <c r="A412" t="s">
        <v>1232</v>
      </c>
      <c r="B412">
        <v>4</v>
      </c>
      <c r="C412" t="s">
        <v>1</v>
      </c>
      <c r="D412">
        <v>3076</v>
      </c>
      <c r="E412">
        <v>1395</v>
      </c>
      <c r="F412">
        <v>3704</v>
      </c>
      <c r="G412">
        <v>1673</v>
      </c>
      <c r="H412">
        <v>628</v>
      </c>
      <c r="I412">
        <v>278</v>
      </c>
      <c r="J412" t="s">
        <v>423</v>
      </c>
      <c r="K412" t="s">
        <v>1026</v>
      </c>
      <c r="L412" t="s">
        <v>801</v>
      </c>
      <c r="M412">
        <v>3390</v>
      </c>
      <c r="N412">
        <v>1534</v>
      </c>
      <c r="O412" t="s">
        <v>1239</v>
      </c>
      <c r="P412" t="s">
        <v>262</v>
      </c>
      <c r="Q412" t="s">
        <v>1233</v>
      </c>
      <c r="R412" t="s">
        <v>983</v>
      </c>
    </row>
    <row r="413" spans="1:18" x14ac:dyDescent="0.3">
      <c r="A413" t="s">
        <v>1232</v>
      </c>
      <c r="B413">
        <v>5</v>
      </c>
      <c r="C413" t="s">
        <v>1</v>
      </c>
      <c r="D413">
        <v>829</v>
      </c>
      <c r="E413">
        <v>1346</v>
      </c>
      <c r="F413">
        <v>1193</v>
      </c>
      <c r="G413">
        <v>1586</v>
      </c>
      <c r="H413">
        <v>364</v>
      </c>
      <c r="I413">
        <v>240</v>
      </c>
      <c r="J413" t="s">
        <v>651</v>
      </c>
      <c r="K413" t="s">
        <v>523</v>
      </c>
      <c r="L413" t="s">
        <v>138</v>
      </c>
      <c r="M413">
        <v>1011</v>
      </c>
      <c r="N413">
        <v>1466</v>
      </c>
      <c r="O413" t="s">
        <v>1240</v>
      </c>
      <c r="P413" t="s">
        <v>197</v>
      </c>
      <c r="Q413" t="s">
        <v>1233</v>
      </c>
      <c r="R413" t="s">
        <v>30</v>
      </c>
    </row>
    <row r="414" spans="1:18" x14ac:dyDescent="0.3">
      <c r="A414" t="s">
        <v>1232</v>
      </c>
      <c r="B414">
        <v>6</v>
      </c>
      <c r="C414" t="s">
        <v>1</v>
      </c>
      <c r="D414">
        <v>1562</v>
      </c>
      <c r="E414">
        <v>1320</v>
      </c>
      <c r="F414">
        <v>1874</v>
      </c>
      <c r="G414">
        <v>1669</v>
      </c>
      <c r="H414">
        <v>312</v>
      </c>
      <c r="I414">
        <v>349</v>
      </c>
      <c r="J414" t="s">
        <v>62</v>
      </c>
      <c r="K414" t="s">
        <v>170</v>
      </c>
      <c r="L414" t="s">
        <v>19</v>
      </c>
      <c r="M414">
        <v>1718</v>
      </c>
      <c r="N414">
        <v>1494</v>
      </c>
      <c r="O414" t="s">
        <v>1034</v>
      </c>
      <c r="P414" t="s">
        <v>215</v>
      </c>
      <c r="Q414" t="s">
        <v>1233</v>
      </c>
      <c r="R414" t="s">
        <v>1241</v>
      </c>
    </row>
    <row r="415" spans="1:18" x14ac:dyDescent="0.3">
      <c r="A415" t="s">
        <v>1242</v>
      </c>
      <c r="B415">
        <v>0</v>
      </c>
      <c r="C415" t="s">
        <v>1</v>
      </c>
      <c r="D415">
        <v>3371</v>
      </c>
      <c r="E415">
        <v>1285</v>
      </c>
      <c r="F415">
        <v>3963</v>
      </c>
      <c r="G415">
        <v>1579</v>
      </c>
      <c r="H415">
        <v>592</v>
      </c>
      <c r="I415">
        <v>294</v>
      </c>
      <c r="J415" t="s">
        <v>1198</v>
      </c>
      <c r="K415" t="s">
        <v>440</v>
      </c>
      <c r="L415" t="s">
        <v>1243</v>
      </c>
      <c r="M415">
        <v>3667</v>
      </c>
      <c r="N415">
        <v>1432</v>
      </c>
      <c r="O415" t="s">
        <v>683</v>
      </c>
      <c r="P415" t="s">
        <v>80</v>
      </c>
      <c r="Q415" t="s">
        <v>1244</v>
      </c>
      <c r="R415" t="s">
        <v>511</v>
      </c>
    </row>
    <row r="416" spans="1:18" x14ac:dyDescent="0.3">
      <c r="A416" t="s">
        <v>1242</v>
      </c>
      <c r="B416">
        <v>1</v>
      </c>
      <c r="C416" t="s">
        <v>1</v>
      </c>
      <c r="D416">
        <v>1878</v>
      </c>
      <c r="E416">
        <v>1282</v>
      </c>
      <c r="F416">
        <v>2267</v>
      </c>
      <c r="G416">
        <v>1571</v>
      </c>
      <c r="H416">
        <v>389</v>
      </c>
      <c r="I416">
        <v>289</v>
      </c>
      <c r="J416" t="s">
        <v>732</v>
      </c>
      <c r="K416" t="s">
        <v>513</v>
      </c>
      <c r="L416" t="s">
        <v>600</v>
      </c>
      <c r="M416">
        <v>2072</v>
      </c>
      <c r="N416">
        <v>1426</v>
      </c>
      <c r="O416" t="s">
        <v>730</v>
      </c>
      <c r="P416" t="s">
        <v>19</v>
      </c>
      <c r="Q416" t="s">
        <v>1244</v>
      </c>
      <c r="R416" t="s">
        <v>941</v>
      </c>
    </row>
    <row r="417" spans="1:18" x14ac:dyDescent="0.3">
      <c r="A417" t="s">
        <v>1242</v>
      </c>
      <c r="B417">
        <v>2</v>
      </c>
      <c r="C417" t="s">
        <v>1</v>
      </c>
      <c r="D417">
        <v>75</v>
      </c>
      <c r="E417">
        <v>1295</v>
      </c>
      <c r="F417">
        <v>740</v>
      </c>
      <c r="G417">
        <v>1583</v>
      </c>
      <c r="H417">
        <v>665</v>
      </c>
      <c r="I417">
        <v>288</v>
      </c>
      <c r="J417" t="s">
        <v>1245</v>
      </c>
      <c r="K417" t="s">
        <v>566</v>
      </c>
      <c r="L417" t="s">
        <v>1246</v>
      </c>
      <c r="M417">
        <v>407</v>
      </c>
      <c r="N417">
        <v>1439</v>
      </c>
      <c r="O417" t="s">
        <v>1247</v>
      </c>
      <c r="P417" t="s">
        <v>19</v>
      </c>
      <c r="Q417" t="s">
        <v>1244</v>
      </c>
      <c r="R417" t="s">
        <v>75</v>
      </c>
    </row>
    <row r="418" spans="1:18" x14ac:dyDescent="0.3">
      <c r="A418" t="s">
        <v>1242</v>
      </c>
      <c r="B418">
        <v>3</v>
      </c>
      <c r="C418" t="s">
        <v>1</v>
      </c>
      <c r="D418">
        <v>2357</v>
      </c>
      <c r="E418">
        <v>1284</v>
      </c>
      <c r="F418">
        <v>2828</v>
      </c>
      <c r="G418">
        <v>1557</v>
      </c>
      <c r="H418">
        <v>471</v>
      </c>
      <c r="I418">
        <v>273</v>
      </c>
      <c r="J418" t="s">
        <v>1248</v>
      </c>
      <c r="K418" t="s">
        <v>651</v>
      </c>
      <c r="L418" t="s">
        <v>1220</v>
      </c>
      <c r="M418">
        <v>2592</v>
      </c>
      <c r="N418">
        <v>1420</v>
      </c>
      <c r="O418" t="s">
        <v>1249</v>
      </c>
      <c r="P418" t="s">
        <v>141</v>
      </c>
      <c r="Q418" t="s">
        <v>1244</v>
      </c>
      <c r="R418" t="s">
        <v>1250</v>
      </c>
    </row>
    <row r="419" spans="1:18" x14ac:dyDescent="0.3">
      <c r="A419" t="s">
        <v>1242</v>
      </c>
      <c r="B419">
        <v>4</v>
      </c>
      <c r="C419" t="s">
        <v>1</v>
      </c>
      <c r="D419">
        <v>1271</v>
      </c>
      <c r="E419">
        <v>1254</v>
      </c>
      <c r="F419">
        <v>1719</v>
      </c>
      <c r="G419">
        <v>1602</v>
      </c>
      <c r="H419">
        <v>448</v>
      </c>
      <c r="I419">
        <v>348</v>
      </c>
      <c r="J419" t="s">
        <v>142</v>
      </c>
      <c r="K419" t="s">
        <v>1251</v>
      </c>
      <c r="L419" t="s">
        <v>618</v>
      </c>
      <c r="M419">
        <v>1495</v>
      </c>
      <c r="N419">
        <v>1428</v>
      </c>
      <c r="O419" t="s">
        <v>145</v>
      </c>
      <c r="P419" t="s">
        <v>262</v>
      </c>
      <c r="Q419" t="s">
        <v>1244</v>
      </c>
      <c r="R419" t="s">
        <v>547</v>
      </c>
    </row>
    <row r="420" spans="1:18" x14ac:dyDescent="0.3">
      <c r="A420" t="s">
        <v>1242</v>
      </c>
      <c r="B420">
        <v>5</v>
      </c>
      <c r="C420" t="s">
        <v>1</v>
      </c>
      <c r="D420">
        <v>2894</v>
      </c>
      <c r="E420">
        <v>1310</v>
      </c>
      <c r="F420">
        <v>3471</v>
      </c>
      <c r="G420">
        <v>1564</v>
      </c>
      <c r="H420">
        <v>577</v>
      </c>
      <c r="I420">
        <v>254</v>
      </c>
      <c r="J420" t="s">
        <v>1252</v>
      </c>
      <c r="K420" t="s">
        <v>787</v>
      </c>
      <c r="L420" t="s">
        <v>1234</v>
      </c>
      <c r="M420">
        <v>3182</v>
      </c>
      <c r="N420">
        <v>1437</v>
      </c>
      <c r="O420" t="s">
        <v>1253</v>
      </c>
      <c r="P420" t="s">
        <v>110</v>
      </c>
      <c r="Q420" t="s">
        <v>1244</v>
      </c>
      <c r="R420" t="s">
        <v>411</v>
      </c>
    </row>
    <row r="421" spans="1:18" x14ac:dyDescent="0.3">
      <c r="A421" t="s">
        <v>1254</v>
      </c>
      <c r="B421">
        <v>0</v>
      </c>
      <c r="C421" t="s">
        <v>1</v>
      </c>
      <c r="D421">
        <v>3176</v>
      </c>
      <c r="E421">
        <v>1263</v>
      </c>
      <c r="F421">
        <v>3731</v>
      </c>
      <c r="G421">
        <v>1554</v>
      </c>
      <c r="H421">
        <v>555</v>
      </c>
      <c r="I421">
        <v>291</v>
      </c>
      <c r="J421" t="s">
        <v>165</v>
      </c>
      <c r="K421" t="s">
        <v>596</v>
      </c>
      <c r="L421" t="s">
        <v>579</v>
      </c>
      <c r="M421">
        <v>3453</v>
      </c>
      <c r="N421">
        <v>1408</v>
      </c>
      <c r="O421" t="s">
        <v>167</v>
      </c>
      <c r="P421" t="s">
        <v>80</v>
      </c>
      <c r="Q421" t="s">
        <v>1255</v>
      </c>
      <c r="R421" t="s">
        <v>91</v>
      </c>
    </row>
    <row r="422" spans="1:18" x14ac:dyDescent="0.3">
      <c r="A422" t="s">
        <v>1254</v>
      </c>
      <c r="B422">
        <v>1</v>
      </c>
      <c r="C422" t="s">
        <v>1</v>
      </c>
      <c r="D422">
        <v>2197</v>
      </c>
      <c r="E422">
        <v>1247</v>
      </c>
      <c r="F422">
        <v>2661</v>
      </c>
      <c r="G422">
        <v>1515</v>
      </c>
      <c r="H422">
        <v>464</v>
      </c>
      <c r="I422">
        <v>268</v>
      </c>
      <c r="J422" t="s">
        <v>1251</v>
      </c>
      <c r="K422" t="s">
        <v>5</v>
      </c>
      <c r="L422" t="s">
        <v>1220</v>
      </c>
      <c r="M422">
        <v>2429</v>
      </c>
      <c r="N422">
        <v>1381</v>
      </c>
      <c r="O422" t="s">
        <v>101</v>
      </c>
      <c r="P422" t="s">
        <v>80</v>
      </c>
      <c r="Q422" t="s">
        <v>1255</v>
      </c>
      <c r="R422" t="s">
        <v>1256</v>
      </c>
    </row>
    <row r="423" spans="1:18" x14ac:dyDescent="0.3">
      <c r="A423" t="s">
        <v>1254</v>
      </c>
      <c r="B423">
        <v>2</v>
      </c>
      <c r="C423" t="s">
        <v>1</v>
      </c>
      <c r="D423">
        <v>0</v>
      </c>
      <c r="E423">
        <v>1220</v>
      </c>
      <c r="F423">
        <v>531</v>
      </c>
      <c r="G423">
        <v>1515</v>
      </c>
      <c r="H423">
        <v>531</v>
      </c>
      <c r="I423">
        <v>295</v>
      </c>
      <c r="J423" t="s">
        <v>1257</v>
      </c>
      <c r="K423" t="s">
        <v>668</v>
      </c>
      <c r="L423" t="s">
        <v>424</v>
      </c>
      <c r="M423">
        <v>265</v>
      </c>
      <c r="N423">
        <v>1367</v>
      </c>
      <c r="O423" t="s">
        <v>490</v>
      </c>
      <c r="P423" t="s">
        <v>13</v>
      </c>
      <c r="Q423" t="s">
        <v>1255</v>
      </c>
      <c r="R423" t="s">
        <v>248</v>
      </c>
    </row>
    <row r="424" spans="1:18" x14ac:dyDescent="0.3">
      <c r="A424" t="s">
        <v>1254</v>
      </c>
      <c r="B424">
        <v>3</v>
      </c>
      <c r="C424" t="s">
        <v>1</v>
      </c>
      <c r="D424">
        <v>1730</v>
      </c>
      <c r="E424">
        <v>1233</v>
      </c>
      <c r="F424">
        <v>2113</v>
      </c>
      <c r="G424">
        <v>1519</v>
      </c>
      <c r="H424">
        <v>383</v>
      </c>
      <c r="I424">
        <v>286</v>
      </c>
      <c r="J424" t="s">
        <v>560</v>
      </c>
      <c r="K424" t="s">
        <v>465</v>
      </c>
      <c r="L424" t="s">
        <v>401</v>
      </c>
      <c r="M424">
        <v>1921</v>
      </c>
      <c r="N424">
        <v>1376</v>
      </c>
      <c r="O424" t="s">
        <v>388</v>
      </c>
      <c r="P424" t="s">
        <v>13</v>
      </c>
      <c r="Q424" t="s">
        <v>1255</v>
      </c>
      <c r="R424" t="s">
        <v>1258</v>
      </c>
    </row>
    <row r="425" spans="1:18" x14ac:dyDescent="0.3">
      <c r="A425" t="s">
        <v>1254</v>
      </c>
      <c r="B425">
        <v>4</v>
      </c>
      <c r="C425" t="s">
        <v>1</v>
      </c>
      <c r="D425">
        <v>2718</v>
      </c>
      <c r="E425">
        <v>1286</v>
      </c>
      <c r="F425">
        <v>3280</v>
      </c>
      <c r="G425">
        <v>1531</v>
      </c>
      <c r="H425">
        <v>562</v>
      </c>
      <c r="I425">
        <v>245</v>
      </c>
      <c r="J425" t="s">
        <v>1125</v>
      </c>
      <c r="K425" t="s">
        <v>798</v>
      </c>
      <c r="L425" t="s">
        <v>1259</v>
      </c>
      <c r="M425">
        <v>2999</v>
      </c>
      <c r="N425">
        <v>1408</v>
      </c>
      <c r="O425" t="s">
        <v>1126</v>
      </c>
      <c r="P425" t="s">
        <v>141</v>
      </c>
      <c r="Q425" t="s">
        <v>1255</v>
      </c>
      <c r="R425" t="s">
        <v>701</v>
      </c>
    </row>
    <row r="426" spans="1:18" x14ac:dyDescent="0.3">
      <c r="A426" t="s">
        <v>1254</v>
      </c>
      <c r="B426">
        <v>5</v>
      </c>
      <c r="C426" t="s">
        <v>1</v>
      </c>
      <c r="D426">
        <v>498</v>
      </c>
      <c r="E426">
        <v>1222</v>
      </c>
      <c r="F426">
        <v>949</v>
      </c>
      <c r="G426">
        <v>1445</v>
      </c>
      <c r="H426">
        <v>451</v>
      </c>
      <c r="I426">
        <v>223</v>
      </c>
      <c r="J426" t="s">
        <v>588</v>
      </c>
      <c r="K426" t="s">
        <v>867</v>
      </c>
      <c r="L426" t="s">
        <v>419</v>
      </c>
      <c r="M426">
        <v>723</v>
      </c>
      <c r="N426">
        <v>1333</v>
      </c>
      <c r="O426" t="s">
        <v>589</v>
      </c>
      <c r="P426" t="s">
        <v>262</v>
      </c>
      <c r="Q426" t="s">
        <v>1255</v>
      </c>
      <c r="R426" t="s">
        <v>1260</v>
      </c>
    </row>
    <row r="427" spans="1:18" x14ac:dyDescent="0.3">
      <c r="A427" t="s">
        <v>1254</v>
      </c>
      <c r="B427">
        <v>6</v>
      </c>
      <c r="C427" t="s">
        <v>1</v>
      </c>
      <c r="D427">
        <v>3931</v>
      </c>
      <c r="E427">
        <v>1360</v>
      </c>
      <c r="F427">
        <v>4030</v>
      </c>
      <c r="G427">
        <v>1554</v>
      </c>
      <c r="H427">
        <v>99</v>
      </c>
      <c r="I427">
        <v>194</v>
      </c>
      <c r="J427" t="s">
        <v>1261</v>
      </c>
      <c r="K427" t="s">
        <v>667</v>
      </c>
      <c r="L427" t="s">
        <v>396</v>
      </c>
      <c r="M427">
        <v>3980</v>
      </c>
      <c r="N427">
        <v>1457</v>
      </c>
      <c r="O427" t="s">
        <v>1262</v>
      </c>
      <c r="P427" t="s">
        <v>313</v>
      </c>
      <c r="Q427" t="s">
        <v>1255</v>
      </c>
      <c r="R427" t="s">
        <v>691</v>
      </c>
    </row>
    <row r="428" spans="1:18" x14ac:dyDescent="0.3">
      <c r="A428" t="s">
        <v>1254</v>
      </c>
      <c r="B428">
        <v>7</v>
      </c>
      <c r="C428" t="s">
        <v>1</v>
      </c>
      <c r="D428">
        <v>1275</v>
      </c>
      <c r="E428">
        <v>1201</v>
      </c>
      <c r="F428">
        <v>1569</v>
      </c>
      <c r="G428">
        <v>1547</v>
      </c>
      <c r="H428">
        <v>294</v>
      </c>
      <c r="I428">
        <v>346</v>
      </c>
      <c r="J428" t="s">
        <v>163</v>
      </c>
      <c r="K428" t="s">
        <v>1263</v>
      </c>
      <c r="L428" t="s">
        <v>182</v>
      </c>
      <c r="M428">
        <v>1422</v>
      </c>
      <c r="N428">
        <v>1374</v>
      </c>
      <c r="O428" t="s">
        <v>1019</v>
      </c>
      <c r="P428" t="s">
        <v>313</v>
      </c>
      <c r="Q428" t="s">
        <v>1255</v>
      </c>
      <c r="R428" t="s">
        <v>453</v>
      </c>
    </row>
    <row r="429" spans="1:18" x14ac:dyDescent="0.3">
      <c r="A429" t="s">
        <v>1264</v>
      </c>
      <c r="B429">
        <v>0</v>
      </c>
      <c r="C429" t="s">
        <v>1</v>
      </c>
      <c r="D429">
        <v>21</v>
      </c>
      <c r="E429">
        <v>1362</v>
      </c>
      <c r="F429">
        <v>737</v>
      </c>
      <c r="G429">
        <v>1655</v>
      </c>
      <c r="H429">
        <v>716</v>
      </c>
      <c r="I429">
        <v>293</v>
      </c>
      <c r="J429" t="s">
        <v>1265</v>
      </c>
      <c r="K429" t="s">
        <v>1266</v>
      </c>
      <c r="L429" t="s">
        <v>1267</v>
      </c>
      <c r="M429">
        <v>379</v>
      </c>
      <c r="N429">
        <v>1508</v>
      </c>
      <c r="O429" t="s">
        <v>1268</v>
      </c>
      <c r="P429" t="s">
        <v>6</v>
      </c>
      <c r="Q429" t="s">
        <v>1269</v>
      </c>
      <c r="R429" t="s">
        <v>1270</v>
      </c>
    </row>
    <row r="430" spans="1:18" x14ac:dyDescent="0.3">
      <c r="A430" t="s">
        <v>1264</v>
      </c>
      <c r="B430">
        <v>1</v>
      </c>
      <c r="C430" t="s">
        <v>1</v>
      </c>
      <c r="D430">
        <v>3418</v>
      </c>
      <c r="E430">
        <v>1352</v>
      </c>
      <c r="F430">
        <v>4029</v>
      </c>
      <c r="G430">
        <v>1654</v>
      </c>
      <c r="H430">
        <v>611</v>
      </c>
      <c r="I430">
        <v>302</v>
      </c>
      <c r="J430" t="s">
        <v>1271</v>
      </c>
      <c r="K430" t="s">
        <v>1272</v>
      </c>
      <c r="L430" t="s">
        <v>419</v>
      </c>
      <c r="M430">
        <v>3723</v>
      </c>
      <c r="N430">
        <v>1503</v>
      </c>
      <c r="O430" t="s">
        <v>1273</v>
      </c>
      <c r="P430" t="s">
        <v>6</v>
      </c>
      <c r="Q430" t="s">
        <v>1269</v>
      </c>
      <c r="R430" t="s">
        <v>1169</v>
      </c>
    </row>
    <row r="431" spans="1:18" x14ac:dyDescent="0.3">
      <c r="A431" t="s">
        <v>1264</v>
      </c>
      <c r="B431">
        <v>2</v>
      </c>
      <c r="C431" t="s">
        <v>1</v>
      </c>
      <c r="D431">
        <v>2374</v>
      </c>
      <c r="E431">
        <v>1349</v>
      </c>
      <c r="F431">
        <v>2874</v>
      </c>
      <c r="G431">
        <v>1629</v>
      </c>
      <c r="H431">
        <v>500</v>
      </c>
      <c r="I431">
        <v>280</v>
      </c>
      <c r="J431" t="s">
        <v>614</v>
      </c>
      <c r="K431" t="s">
        <v>578</v>
      </c>
      <c r="L431" t="s">
        <v>451</v>
      </c>
      <c r="M431">
        <v>2624</v>
      </c>
      <c r="N431">
        <v>1489</v>
      </c>
      <c r="O431" t="s">
        <v>615</v>
      </c>
      <c r="P431" t="s">
        <v>80</v>
      </c>
      <c r="Q431" t="s">
        <v>1269</v>
      </c>
      <c r="R431" t="s">
        <v>1274</v>
      </c>
    </row>
    <row r="432" spans="1:18" x14ac:dyDescent="0.3">
      <c r="A432" t="s">
        <v>1264</v>
      </c>
      <c r="B432">
        <v>3</v>
      </c>
      <c r="C432" t="s">
        <v>1</v>
      </c>
      <c r="D432">
        <v>2927</v>
      </c>
      <c r="E432">
        <v>1381</v>
      </c>
      <c r="F432">
        <v>3535</v>
      </c>
      <c r="G432">
        <v>1642</v>
      </c>
      <c r="H432">
        <v>608</v>
      </c>
      <c r="I432">
        <v>261</v>
      </c>
      <c r="J432" t="s">
        <v>55</v>
      </c>
      <c r="K432" t="s">
        <v>250</v>
      </c>
      <c r="L432" t="s">
        <v>1226</v>
      </c>
      <c r="M432">
        <v>3231</v>
      </c>
      <c r="N432">
        <v>1511</v>
      </c>
      <c r="O432" t="s">
        <v>630</v>
      </c>
      <c r="P432" t="s">
        <v>80</v>
      </c>
      <c r="Q432" t="s">
        <v>1269</v>
      </c>
      <c r="R432" t="s">
        <v>1206</v>
      </c>
    </row>
    <row r="433" spans="1:18" x14ac:dyDescent="0.3">
      <c r="A433" t="s">
        <v>1264</v>
      </c>
      <c r="B433">
        <v>4</v>
      </c>
      <c r="C433" t="s">
        <v>1</v>
      </c>
      <c r="D433">
        <v>1887</v>
      </c>
      <c r="E433">
        <v>1342</v>
      </c>
      <c r="F433">
        <v>2286</v>
      </c>
      <c r="G433">
        <v>1640</v>
      </c>
      <c r="H433">
        <v>399</v>
      </c>
      <c r="I433">
        <v>298</v>
      </c>
      <c r="J433" t="s">
        <v>1275</v>
      </c>
      <c r="K433" t="s">
        <v>177</v>
      </c>
      <c r="L433" t="s">
        <v>401</v>
      </c>
      <c r="M433">
        <v>2086</v>
      </c>
      <c r="N433">
        <v>1491</v>
      </c>
      <c r="O433" t="s">
        <v>1276</v>
      </c>
      <c r="P433" t="s">
        <v>19</v>
      </c>
      <c r="Q433" t="s">
        <v>1269</v>
      </c>
      <c r="R433" t="s">
        <v>1277</v>
      </c>
    </row>
    <row r="434" spans="1:18" x14ac:dyDescent="0.3">
      <c r="A434" t="s">
        <v>1264</v>
      </c>
      <c r="B434">
        <v>6</v>
      </c>
      <c r="C434" t="s">
        <v>1</v>
      </c>
      <c r="D434">
        <v>1264</v>
      </c>
      <c r="E434">
        <v>1321</v>
      </c>
      <c r="F434">
        <v>1731</v>
      </c>
      <c r="G434">
        <v>1675</v>
      </c>
      <c r="H434">
        <v>467</v>
      </c>
      <c r="I434">
        <v>354</v>
      </c>
      <c r="J434" t="s">
        <v>1278</v>
      </c>
      <c r="K434" t="s">
        <v>1230</v>
      </c>
      <c r="L434" t="s">
        <v>239</v>
      </c>
      <c r="M434">
        <v>1497</v>
      </c>
      <c r="N434">
        <v>1498</v>
      </c>
      <c r="O434" t="s">
        <v>1279</v>
      </c>
      <c r="P434" t="s">
        <v>750</v>
      </c>
      <c r="Q434" t="s">
        <v>1269</v>
      </c>
      <c r="R434" t="s">
        <v>1280</v>
      </c>
    </row>
    <row r="435" spans="1:18" x14ac:dyDescent="0.3">
      <c r="A435" t="s">
        <v>1281</v>
      </c>
      <c r="B435">
        <v>0</v>
      </c>
      <c r="C435" t="s">
        <v>1</v>
      </c>
      <c r="D435">
        <v>0</v>
      </c>
      <c r="E435">
        <v>1158</v>
      </c>
      <c r="F435">
        <v>409</v>
      </c>
      <c r="G435">
        <v>1626</v>
      </c>
      <c r="H435">
        <v>409</v>
      </c>
      <c r="I435">
        <v>468</v>
      </c>
      <c r="J435" t="s">
        <v>1282</v>
      </c>
      <c r="K435" t="s">
        <v>1283</v>
      </c>
      <c r="L435" t="s">
        <v>130</v>
      </c>
      <c r="M435">
        <v>204</v>
      </c>
      <c r="N435">
        <v>1392</v>
      </c>
      <c r="O435" t="s">
        <v>1284</v>
      </c>
      <c r="P435" t="s">
        <v>13</v>
      </c>
      <c r="Q435" t="s">
        <v>1285</v>
      </c>
      <c r="R435" t="s">
        <v>757</v>
      </c>
    </row>
    <row r="436" spans="1:18" x14ac:dyDescent="0.3">
      <c r="A436" t="s">
        <v>1281</v>
      </c>
      <c r="B436">
        <v>1</v>
      </c>
      <c r="C436" t="s">
        <v>1</v>
      </c>
      <c r="D436">
        <v>2400</v>
      </c>
      <c r="E436">
        <v>1292</v>
      </c>
      <c r="F436">
        <v>2865</v>
      </c>
      <c r="G436">
        <v>1556</v>
      </c>
      <c r="H436">
        <v>465</v>
      </c>
      <c r="I436">
        <v>264</v>
      </c>
      <c r="J436" t="s">
        <v>1286</v>
      </c>
      <c r="K436" t="s">
        <v>479</v>
      </c>
      <c r="L436" t="s">
        <v>195</v>
      </c>
      <c r="M436">
        <v>2632</v>
      </c>
      <c r="N436">
        <v>1424</v>
      </c>
      <c r="O436" t="s">
        <v>1287</v>
      </c>
      <c r="P436" t="s">
        <v>13</v>
      </c>
      <c r="Q436" t="s">
        <v>1285</v>
      </c>
      <c r="R436" t="s">
        <v>1288</v>
      </c>
    </row>
    <row r="437" spans="1:18" x14ac:dyDescent="0.3">
      <c r="A437" t="s">
        <v>1281</v>
      </c>
      <c r="B437">
        <v>2</v>
      </c>
      <c r="C437" t="s">
        <v>1</v>
      </c>
      <c r="D437">
        <v>3396</v>
      </c>
      <c r="E437">
        <v>1306</v>
      </c>
      <c r="F437">
        <v>3978</v>
      </c>
      <c r="G437">
        <v>1598</v>
      </c>
      <c r="H437">
        <v>582</v>
      </c>
      <c r="I437">
        <v>292</v>
      </c>
      <c r="J437" t="s">
        <v>1091</v>
      </c>
      <c r="K437" t="s">
        <v>298</v>
      </c>
      <c r="L437" t="s">
        <v>748</v>
      </c>
      <c r="M437">
        <v>3687</v>
      </c>
      <c r="N437">
        <v>1452</v>
      </c>
      <c r="O437" t="s">
        <v>465</v>
      </c>
      <c r="P437" t="s">
        <v>13</v>
      </c>
      <c r="Q437" t="s">
        <v>1285</v>
      </c>
      <c r="R437" t="s">
        <v>1289</v>
      </c>
    </row>
    <row r="438" spans="1:18" x14ac:dyDescent="0.3">
      <c r="A438" t="s">
        <v>1281</v>
      </c>
      <c r="B438">
        <v>3</v>
      </c>
      <c r="C438" t="s">
        <v>1</v>
      </c>
      <c r="D438">
        <v>352</v>
      </c>
      <c r="E438">
        <v>1279</v>
      </c>
      <c r="F438">
        <v>804</v>
      </c>
      <c r="G438">
        <v>1554</v>
      </c>
      <c r="H438">
        <v>452</v>
      </c>
      <c r="I438">
        <v>275</v>
      </c>
      <c r="J438" t="s">
        <v>872</v>
      </c>
      <c r="K438" t="s">
        <v>1188</v>
      </c>
      <c r="L438" t="s">
        <v>204</v>
      </c>
      <c r="M438">
        <v>578</v>
      </c>
      <c r="N438">
        <v>1416</v>
      </c>
      <c r="O438" t="s">
        <v>875</v>
      </c>
      <c r="P438" t="s">
        <v>102</v>
      </c>
      <c r="Q438" t="s">
        <v>1285</v>
      </c>
      <c r="R438" t="s">
        <v>91</v>
      </c>
    </row>
    <row r="439" spans="1:18" x14ac:dyDescent="0.3">
      <c r="A439" t="s">
        <v>1281</v>
      </c>
      <c r="B439">
        <v>4</v>
      </c>
      <c r="C439" t="s">
        <v>1</v>
      </c>
      <c r="D439">
        <v>1939</v>
      </c>
      <c r="E439">
        <v>1280</v>
      </c>
      <c r="F439">
        <v>2315</v>
      </c>
      <c r="G439">
        <v>1566</v>
      </c>
      <c r="H439">
        <v>376</v>
      </c>
      <c r="I439">
        <v>286</v>
      </c>
      <c r="J439" t="s">
        <v>393</v>
      </c>
      <c r="K439" t="s">
        <v>465</v>
      </c>
      <c r="L439" t="s">
        <v>894</v>
      </c>
      <c r="M439">
        <v>2127</v>
      </c>
      <c r="N439">
        <v>1423</v>
      </c>
      <c r="O439" t="s">
        <v>395</v>
      </c>
      <c r="P439" t="s">
        <v>130</v>
      </c>
      <c r="Q439" t="s">
        <v>1285</v>
      </c>
      <c r="R439" t="s">
        <v>67</v>
      </c>
    </row>
    <row r="440" spans="1:18" x14ac:dyDescent="0.3">
      <c r="A440" t="s">
        <v>1281</v>
      </c>
      <c r="B440">
        <v>5</v>
      </c>
      <c r="C440" t="s">
        <v>1</v>
      </c>
      <c r="D440">
        <v>2926</v>
      </c>
      <c r="E440">
        <v>1325</v>
      </c>
      <c r="F440">
        <v>3495</v>
      </c>
      <c r="G440">
        <v>1582</v>
      </c>
      <c r="H440">
        <v>569</v>
      </c>
      <c r="I440">
        <v>257</v>
      </c>
      <c r="J440" t="s">
        <v>1290</v>
      </c>
      <c r="K440" t="s">
        <v>841</v>
      </c>
      <c r="L440" t="s">
        <v>364</v>
      </c>
      <c r="M440">
        <v>3210</v>
      </c>
      <c r="N440">
        <v>1453</v>
      </c>
      <c r="O440" t="s">
        <v>1291</v>
      </c>
      <c r="P440" t="s">
        <v>182</v>
      </c>
      <c r="Q440" t="s">
        <v>1285</v>
      </c>
      <c r="R440" t="s">
        <v>1292</v>
      </c>
    </row>
    <row r="441" spans="1:18" x14ac:dyDescent="0.3">
      <c r="A441" t="s">
        <v>1281</v>
      </c>
      <c r="B441">
        <v>6</v>
      </c>
      <c r="C441" t="s">
        <v>1</v>
      </c>
      <c r="D441">
        <v>784</v>
      </c>
      <c r="E441">
        <v>1278</v>
      </c>
      <c r="F441">
        <v>1255</v>
      </c>
      <c r="G441">
        <v>1515</v>
      </c>
      <c r="H441">
        <v>471</v>
      </c>
      <c r="I441">
        <v>237</v>
      </c>
      <c r="J441" t="s">
        <v>1248</v>
      </c>
      <c r="K441" t="s">
        <v>100</v>
      </c>
      <c r="L441" t="s">
        <v>748</v>
      </c>
      <c r="M441">
        <v>1019</v>
      </c>
      <c r="N441">
        <v>1396</v>
      </c>
      <c r="O441" t="s">
        <v>1249</v>
      </c>
      <c r="P441" t="s">
        <v>386</v>
      </c>
      <c r="Q441" t="s">
        <v>1285</v>
      </c>
      <c r="R441" t="s">
        <v>30</v>
      </c>
    </row>
    <row r="442" spans="1:18" x14ac:dyDescent="0.3">
      <c r="A442" t="s">
        <v>1281</v>
      </c>
      <c r="B442">
        <v>7</v>
      </c>
      <c r="C442" t="s">
        <v>1</v>
      </c>
      <c r="D442">
        <v>1536</v>
      </c>
      <c r="E442">
        <v>1256</v>
      </c>
      <c r="F442">
        <v>1806</v>
      </c>
      <c r="G442">
        <v>1585</v>
      </c>
      <c r="H442">
        <v>270</v>
      </c>
      <c r="I442">
        <v>329</v>
      </c>
      <c r="J442" t="s">
        <v>806</v>
      </c>
      <c r="K442" t="s">
        <v>1293</v>
      </c>
      <c r="L442" t="s">
        <v>262</v>
      </c>
      <c r="M442">
        <v>1671</v>
      </c>
      <c r="N442">
        <v>1420</v>
      </c>
      <c r="O442" t="s">
        <v>807</v>
      </c>
      <c r="P442" t="s">
        <v>104</v>
      </c>
      <c r="Q442" t="s">
        <v>1285</v>
      </c>
      <c r="R442" t="s">
        <v>1294</v>
      </c>
    </row>
    <row r="443" spans="1:18" x14ac:dyDescent="0.3">
      <c r="A443" t="s">
        <v>1281</v>
      </c>
      <c r="B443">
        <v>9</v>
      </c>
      <c r="C443" t="s">
        <v>1</v>
      </c>
      <c r="D443">
        <v>3789</v>
      </c>
      <c r="E443">
        <v>1286</v>
      </c>
      <c r="F443">
        <v>4030</v>
      </c>
      <c r="G443">
        <v>1568</v>
      </c>
      <c r="H443">
        <v>241</v>
      </c>
      <c r="I443">
        <v>282</v>
      </c>
      <c r="J443" t="s">
        <v>1295</v>
      </c>
      <c r="K443" t="s">
        <v>393</v>
      </c>
      <c r="L443" t="s">
        <v>182</v>
      </c>
      <c r="M443">
        <v>3909</v>
      </c>
      <c r="N443">
        <v>1427</v>
      </c>
      <c r="O443" t="s">
        <v>1296</v>
      </c>
      <c r="P443" t="s">
        <v>817</v>
      </c>
      <c r="Q443" t="s">
        <v>1285</v>
      </c>
      <c r="R443" t="s">
        <v>361</v>
      </c>
    </row>
    <row r="444" spans="1:18" x14ac:dyDescent="0.3">
      <c r="A444" t="s">
        <v>1297</v>
      </c>
      <c r="B444">
        <v>0</v>
      </c>
      <c r="C444" t="s">
        <v>1</v>
      </c>
      <c r="D444">
        <v>2526</v>
      </c>
      <c r="E444">
        <v>1210</v>
      </c>
      <c r="F444">
        <v>3010</v>
      </c>
      <c r="G444">
        <v>1495</v>
      </c>
      <c r="H444">
        <v>484</v>
      </c>
      <c r="I444">
        <v>285</v>
      </c>
      <c r="J444" t="s">
        <v>1298</v>
      </c>
      <c r="K444" t="s">
        <v>564</v>
      </c>
      <c r="L444" t="s">
        <v>260</v>
      </c>
      <c r="M444">
        <v>2768</v>
      </c>
      <c r="N444">
        <v>1352</v>
      </c>
      <c r="O444" t="s">
        <v>1299</v>
      </c>
      <c r="P444" t="s">
        <v>80</v>
      </c>
      <c r="Q444" t="s">
        <v>1300</v>
      </c>
      <c r="R444" t="s">
        <v>1301</v>
      </c>
    </row>
    <row r="445" spans="1:18" x14ac:dyDescent="0.3">
      <c r="A445" t="s">
        <v>1297</v>
      </c>
      <c r="B445">
        <v>1</v>
      </c>
      <c r="C445" t="s">
        <v>1</v>
      </c>
      <c r="D445">
        <v>2038</v>
      </c>
      <c r="E445">
        <v>1218</v>
      </c>
      <c r="F445">
        <v>2430</v>
      </c>
      <c r="G445">
        <v>1517</v>
      </c>
      <c r="H445">
        <v>392</v>
      </c>
      <c r="I445">
        <v>299</v>
      </c>
      <c r="J445" t="s">
        <v>440</v>
      </c>
      <c r="K445" t="s">
        <v>48</v>
      </c>
      <c r="L445" t="s">
        <v>894</v>
      </c>
      <c r="M445">
        <v>2234</v>
      </c>
      <c r="N445">
        <v>1367</v>
      </c>
      <c r="O445" t="s">
        <v>707</v>
      </c>
      <c r="P445" t="s">
        <v>19</v>
      </c>
      <c r="Q445" t="s">
        <v>1300</v>
      </c>
      <c r="R445" t="s">
        <v>826</v>
      </c>
    </row>
    <row r="446" spans="1:18" x14ac:dyDescent="0.3">
      <c r="A446" t="s">
        <v>1297</v>
      </c>
      <c r="B446">
        <v>2</v>
      </c>
      <c r="C446" t="s">
        <v>1</v>
      </c>
      <c r="D446">
        <v>0</v>
      </c>
      <c r="E446">
        <v>1176</v>
      </c>
      <c r="F446">
        <v>432</v>
      </c>
      <c r="G446">
        <v>1647</v>
      </c>
      <c r="H446">
        <v>432</v>
      </c>
      <c r="I446">
        <v>471</v>
      </c>
      <c r="J446" t="s">
        <v>632</v>
      </c>
      <c r="K446" t="s">
        <v>423</v>
      </c>
      <c r="L446" t="s">
        <v>6</v>
      </c>
      <c r="M446">
        <v>216</v>
      </c>
      <c r="N446">
        <v>1411</v>
      </c>
      <c r="O446" t="s">
        <v>634</v>
      </c>
      <c r="P446" t="s">
        <v>19</v>
      </c>
      <c r="Q446" t="s">
        <v>1300</v>
      </c>
      <c r="R446" t="s">
        <v>609</v>
      </c>
    </row>
    <row r="447" spans="1:18" x14ac:dyDescent="0.3">
      <c r="A447" t="s">
        <v>1297</v>
      </c>
      <c r="B447">
        <v>3</v>
      </c>
      <c r="C447" t="s">
        <v>1</v>
      </c>
      <c r="D447">
        <v>382</v>
      </c>
      <c r="E447">
        <v>1278</v>
      </c>
      <c r="F447">
        <v>808</v>
      </c>
      <c r="G447">
        <v>1526</v>
      </c>
      <c r="H447">
        <v>426</v>
      </c>
      <c r="I447">
        <v>248</v>
      </c>
      <c r="J447" t="s">
        <v>702</v>
      </c>
      <c r="K447" t="s">
        <v>544</v>
      </c>
      <c r="L447" t="s">
        <v>153</v>
      </c>
      <c r="M447">
        <v>595</v>
      </c>
      <c r="N447">
        <v>1402</v>
      </c>
      <c r="O447" t="s">
        <v>46</v>
      </c>
      <c r="P447" t="s">
        <v>102</v>
      </c>
      <c r="Q447" t="s">
        <v>1300</v>
      </c>
      <c r="R447" t="s">
        <v>729</v>
      </c>
    </row>
    <row r="448" spans="1:18" x14ac:dyDescent="0.3">
      <c r="A448" t="s">
        <v>1297</v>
      </c>
      <c r="B448">
        <v>4</v>
      </c>
      <c r="C448" t="s">
        <v>1</v>
      </c>
      <c r="D448">
        <v>1148</v>
      </c>
      <c r="E448">
        <v>1255</v>
      </c>
      <c r="F448">
        <v>1417</v>
      </c>
      <c r="G448">
        <v>1547</v>
      </c>
      <c r="H448">
        <v>269</v>
      </c>
      <c r="I448">
        <v>292</v>
      </c>
      <c r="J448" t="s">
        <v>782</v>
      </c>
      <c r="K448" t="s">
        <v>298</v>
      </c>
      <c r="L448" t="s">
        <v>6</v>
      </c>
      <c r="M448">
        <v>1282</v>
      </c>
      <c r="N448">
        <v>1401</v>
      </c>
      <c r="O448" t="s">
        <v>784</v>
      </c>
      <c r="P448" t="s">
        <v>335</v>
      </c>
      <c r="Q448" t="s">
        <v>1300</v>
      </c>
      <c r="R448" t="s">
        <v>1018</v>
      </c>
    </row>
    <row r="449" spans="1:18" x14ac:dyDescent="0.3">
      <c r="A449" t="s">
        <v>1297</v>
      </c>
      <c r="B449">
        <v>5</v>
      </c>
      <c r="C449" t="s">
        <v>1</v>
      </c>
      <c r="D449">
        <v>1441</v>
      </c>
      <c r="E449">
        <v>1211</v>
      </c>
      <c r="F449">
        <v>1889</v>
      </c>
      <c r="G449">
        <v>1555</v>
      </c>
      <c r="H449">
        <v>448</v>
      </c>
      <c r="I449">
        <v>344</v>
      </c>
      <c r="J449" t="s">
        <v>142</v>
      </c>
      <c r="K449" t="s">
        <v>1299</v>
      </c>
      <c r="L449" t="s">
        <v>441</v>
      </c>
      <c r="M449">
        <v>1665</v>
      </c>
      <c r="N449">
        <v>1383</v>
      </c>
      <c r="O449" t="s">
        <v>145</v>
      </c>
      <c r="P449" t="s">
        <v>197</v>
      </c>
      <c r="Q449" t="s">
        <v>1300</v>
      </c>
      <c r="R449" t="s">
        <v>1302</v>
      </c>
    </row>
    <row r="450" spans="1:18" x14ac:dyDescent="0.3">
      <c r="A450" t="s">
        <v>1297</v>
      </c>
      <c r="B450">
        <v>6</v>
      </c>
      <c r="C450" t="s">
        <v>1</v>
      </c>
      <c r="D450">
        <v>3582</v>
      </c>
      <c r="E450">
        <v>1191</v>
      </c>
      <c r="F450">
        <v>4030</v>
      </c>
      <c r="G450">
        <v>1493</v>
      </c>
      <c r="H450">
        <v>448</v>
      </c>
      <c r="I450">
        <v>302</v>
      </c>
      <c r="J450" t="s">
        <v>142</v>
      </c>
      <c r="K450" t="s">
        <v>1272</v>
      </c>
      <c r="L450" t="s">
        <v>608</v>
      </c>
      <c r="M450">
        <v>3806</v>
      </c>
      <c r="N450">
        <v>1342</v>
      </c>
      <c r="O450" t="s">
        <v>145</v>
      </c>
      <c r="P450" t="s">
        <v>155</v>
      </c>
      <c r="Q450" t="s">
        <v>1300</v>
      </c>
      <c r="R450" t="s">
        <v>704</v>
      </c>
    </row>
    <row r="451" spans="1:18" hidden="1" x14ac:dyDescent="0.3">
      <c r="A451" t="s">
        <v>1297</v>
      </c>
      <c r="B451">
        <v>8</v>
      </c>
      <c r="C451" t="s">
        <v>97</v>
      </c>
      <c r="D451">
        <v>3082</v>
      </c>
      <c r="E451">
        <v>1231</v>
      </c>
      <c r="F451">
        <v>3684</v>
      </c>
      <c r="G451">
        <v>1496</v>
      </c>
      <c r="H451">
        <v>602</v>
      </c>
      <c r="I451">
        <v>265</v>
      </c>
      <c r="J451" t="s">
        <v>480</v>
      </c>
      <c r="K451" t="s">
        <v>119</v>
      </c>
      <c r="L451" t="s">
        <v>1234</v>
      </c>
      <c r="M451">
        <v>3383</v>
      </c>
      <c r="N451">
        <v>1363</v>
      </c>
      <c r="O451" t="s">
        <v>1303</v>
      </c>
      <c r="P451" t="s">
        <v>20</v>
      </c>
      <c r="Q451" t="s">
        <v>1300</v>
      </c>
      <c r="R451" t="s">
        <v>1304</v>
      </c>
    </row>
    <row r="452" spans="1:18" x14ac:dyDescent="0.3">
      <c r="A452" t="s">
        <v>1297</v>
      </c>
      <c r="B452">
        <v>10</v>
      </c>
      <c r="C452" t="s">
        <v>1</v>
      </c>
      <c r="D452">
        <v>3083</v>
      </c>
      <c r="E452">
        <v>1229</v>
      </c>
      <c r="F452">
        <v>3685</v>
      </c>
      <c r="G452">
        <v>1494</v>
      </c>
      <c r="H452">
        <v>602</v>
      </c>
      <c r="I452">
        <v>265</v>
      </c>
      <c r="J452" t="s">
        <v>480</v>
      </c>
      <c r="K452" t="s">
        <v>119</v>
      </c>
      <c r="L452" t="s">
        <v>1234</v>
      </c>
      <c r="M452">
        <v>3384</v>
      </c>
      <c r="N452">
        <v>1361</v>
      </c>
      <c r="O452" t="s">
        <v>478</v>
      </c>
      <c r="P452" t="s">
        <v>690</v>
      </c>
      <c r="Q452" t="s">
        <v>1300</v>
      </c>
      <c r="R452" t="s">
        <v>1304</v>
      </c>
    </row>
    <row r="453" spans="1:18" x14ac:dyDescent="0.3">
      <c r="A453" t="s">
        <v>1305</v>
      </c>
      <c r="B453">
        <v>0</v>
      </c>
      <c r="C453" t="s">
        <v>1</v>
      </c>
      <c r="D453">
        <v>2417</v>
      </c>
      <c r="E453">
        <v>1226</v>
      </c>
      <c r="F453">
        <v>2889</v>
      </c>
      <c r="G453">
        <v>1504</v>
      </c>
      <c r="H453">
        <v>472</v>
      </c>
      <c r="I453">
        <v>278</v>
      </c>
      <c r="J453" t="s">
        <v>1230</v>
      </c>
      <c r="K453" t="s">
        <v>1026</v>
      </c>
      <c r="L453" t="s">
        <v>260</v>
      </c>
      <c r="M453">
        <v>2653</v>
      </c>
      <c r="N453">
        <v>1365</v>
      </c>
      <c r="O453" t="s">
        <v>1306</v>
      </c>
      <c r="P453" t="s">
        <v>80</v>
      </c>
      <c r="Q453" t="s">
        <v>1307</v>
      </c>
      <c r="R453" t="s">
        <v>1308</v>
      </c>
    </row>
    <row r="454" spans="1:18" x14ac:dyDescent="0.3">
      <c r="A454" t="s">
        <v>1305</v>
      </c>
      <c r="B454">
        <v>1</v>
      </c>
      <c r="C454" t="s">
        <v>1</v>
      </c>
      <c r="D454">
        <v>3439</v>
      </c>
      <c r="E454">
        <v>1232</v>
      </c>
      <c r="F454">
        <v>4029</v>
      </c>
      <c r="G454">
        <v>1530</v>
      </c>
      <c r="H454">
        <v>590</v>
      </c>
      <c r="I454">
        <v>298</v>
      </c>
      <c r="J454" t="s">
        <v>217</v>
      </c>
      <c r="K454" t="s">
        <v>177</v>
      </c>
      <c r="L454" t="s">
        <v>89</v>
      </c>
      <c r="M454">
        <v>3734</v>
      </c>
      <c r="N454">
        <v>1381</v>
      </c>
      <c r="O454" t="s">
        <v>220</v>
      </c>
      <c r="P454" t="s">
        <v>102</v>
      </c>
      <c r="Q454" t="s">
        <v>1307</v>
      </c>
      <c r="R454" t="s">
        <v>1309</v>
      </c>
    </row>
    <row r="455" spans="1:18" x14ac:dyDescent="0.3">
      <c r="A455" t="s">
        <v>1305</v>
      </c>
      <c r="B455">
        <v>2</v>
      </c>
      <c r="C455" t="s">
        <v>1</v>
      </c>
      <c r="D455">
        <v>162</v>
      </c>
      <c r="E455">
        <v>1231</v>
      </c>
      <c r="F455">
        <v>782</v>
      </c>
      <c r="G455">
        <v>1509</v>
      </c>
      <c r="H455">
        <v>620</v>
      </c>
      <c r="I455">
        <v>278</v>
      </c>
      <c r="J455" t="s">
        <v>224</v>
      </c>
      <c r="K455" t="s">
        <v>1026</v>
      </c>
      <c r="L455" t="s">
        <v>1310</v>
      </c>
      <c r="M455">
        <v>472</v>
      </c>
      <c r="N455">
        <v>1370</v>
      </c>
      <c r="O455" t="s">
        <v>950</v>
      </c>
      <c r="P455" t="s">
        <v>102</v>
      </c>
      <c r="Q455" t="s">
        <v>1307</v>
      </c>
      <c r="R455" t="s">
        <v>1020</v>
      </c>
    </row>
    <row r="456" spans="1:18" x14ac:dyDescent="0.3">
      <c r="A456" t="s">
        <v>1305</v>
      </c>
      <c r="B456">
        <v>3</v>
      </c>
      <c r="C456" t="s">
        <v>1</v>
      </c>
      <c r="D456">
        <v>1937</v>
      </c>
      <c r="E456">
        <v>1223</v>
      </c>
      <c r="F456">
        <v>2322</v>
      </c>
      <c r="G456">
        <v>1511</v>
      </c>
      <c r="H456">
        <v>385</v>
      </c>
      <c r="I456">
        <v>288</v>
      </c>
      <c r="J456" t="s">
        <v>1253</v>
      </c>
      <c r="K456" t="s">
        <v>566</v>
      </c>
      <c r="L456" t="s">
        <v>401</v>
      </c>
      <c r="M456">
        <v>2129</v>
      </c>
      <c r="N456">
        <v>1367</v>
      </c>
      <c r="O456" t="s">
        <v>1252</v>
      </c>
      <c r="P456" t="s">
        <v>130</v>
      </c>
      <c r="Q456" t="s">
        <v>1307</v>
      </c>
      <c r="R456" t="s">
        <v>1311</v>
      </c>
    </row>
    <row r="457" spans="1:18" x14ac:dyDescent="0.3">
      <c r="A457" t="s">
        <v>1305</v>
      </c>
      <c r="B457">
        <v>4</v>
      </c>
      <c r="C457" t="s">
        <v>1</v>
      </c>
      <c r="D457">
        <v>2958</v>
      </c>
      <c r="E457">
        <v>1259</v>
      </c>
      <c r="F457">
        <v>3536</v>
      </c>
      <c r="G457">
        <v>1516</v>
      </c>
      <c r="H457">
        <v>578</v>
      </c>
      <c r="I457">
        <v>257</v>
      </c>
      <c r="J457" t="s">
        <v>1312</v>
      </c>
      <c r="K457" t="s">
        <v>841</v>
      </c>
      <c r="L457" t="s">
        <v>811</v>
      </c>
      <c r="M457">
        <v>3247</v>
      </c>
      <c r="N457">
        <v>1387</v>
      </c>
      <c r="O457" t="s">
        <v>1313</v>
      </c>
      <c r="P457" t="s">
        <v>262</v>
      </c>
      <c r="Q457" t="s">
        <v>1307</v>
      </c>
      <c r="R457" t="s">
        <v>1314</v>
      </c>
    </row>
    <row r="458" spans="1:18" x14ac:dyDescent="0.3">
      <c r="A458" t="s">
        <v>1305</v>
      </c>
      <c r="B458">
        <v>5</v>
      </c>
      <c r="C458" t="s">
        <v>1</v>
      </c>
      <c r="D458">
        <v>1339</v>
      </c>
      <c r="E458">
        <v>1188</v>
      </c>
      <c r="F458">
        <v>1788</v>
      </c>
      <c r="G458">
        <v>1536</v>
      </c>
      <c r="H458">
        <v>449</v>
      </c>
      <c r="I458">
        <v>348</v>
      </c>
      <c r="J458" t="s">
        <v>846</v>
      </c>
      <c r="K458" t="s">
        <v>1251</v>
      </c>
      <c r="L458" t="s">
        <v>618</v>
      </c>
      <c r="M458">
        <v>1563</v>
      </c>
      <c r="N458">
        <v>1362</v>
      </c>
      <c r="O458" t="s">
        <v>848</v>
      </c>
      <c r="P458" t="s">
        <v>57</v>
      </c>
      <c r="Q458" t="s">
        <v>1307</v>
      </c>
      <c r="R458" t="s">
        <v>1207</v>
      </c>
    </row>
    <row r="459" spans="1:18" x14ac:dyDescent="0.3">
      <c r="A459" t="s">
        <v>1305</v>
      </c>
      <c r="B459">
        <v>6</v>
      </c>
      <c r="C459" t="s">
        <v>1</v>
      </c>
      <c r="D459">
        <v>745</v>
      </c>
      <c r="E459">
        <v>1250</v>
      </c>
      <c r="F459">
        <v>892</v>
      </c>
      <c r="G459">
        <v>1429</v>
      </c>
      <c r="H459">
        <v>147</v>
      </c>
      <c r="I459">
        <v>179</v>
      </c>
      <c r="J459" t="s">
        <v>1315</v>
      </c>
      <c r="K459" t="s">
        <v>1316</v>
      </c>
      <c r="L459" t="s">
        <v>262</v>
      </c>
      <c r="M459">
        <v>818</v>
      </c>
      <c r="N459">
        <v>1339</v>
      </c>
      <c r="O459" t="s">
        <v>1317</v>
      </c>
      <c r="P459" t="s">
        <v>361</v>
      </c>
      <c r="Q459" t="s">
        <v>1307</v>
      </c>
      <c r="R459" t="s">
        <v>1318</v>
      </c>
    </row>
    <row r="460" spans="1:18" x14ac:dyDescent="0.3">
      <c r="A460" t="s">
        <v>1305</v>
      </c>
      <c r="B460">
        <v>7</v>
      </c>
      <c r="C460" t="s">
        <v>1</v>
      </c>
      <c r="D460">
        <v>3839</v>
      </c>
      <c r="E460">
        <v>1213</v>
      </c>
      <c r="F460">
        <v>4030</v>
      </c>
      <c r="G460">
        <v>1376</v>
      </c>
      <c r="H460">
        <v>191</v>
      </c>
      <c r="I460">
        <v>163</v>
      </c>
      <c r="J460" t="s">
        <v>1319</v>
      </c>
      <c r="K460" t="s">
        <v>1320</v>
      </c>
      <c r="L460" t="s">
        <v>1321</v>
      </c>
      <c r="M460">
        <v>3934</v>
      </c>
      <c r="N460">
        <v>1294</v>
      </c>
      <c r="O460" t="s">
        <v>1322</v>
      </c>
      <c r="P460" t="s">
        <v>115</v>
      </c>
      <c r="Q460" t="s">
        <v>1307</v>
      </c>
      <c r="R460" t="s">
        <v>173</v>
      </c>
    </row>
    <row r="461" spans="1:18" x14ac:dyDescent="0.3">
      <c r="A461" t="s">
        <v>1323</v>
      </c>
      <c r="B461">
        <v>0</v>
      </c>
      <c r="C461" t="s">
        <v>1</v>
      </c>
      <c r="D461">
        <v>0</v>
      </c>
      <c r="E461">
        <v>1238</v>
      </c>
      <c r="F461">
        <v>668</v>
      </c>
      <c r="G461">
        <v>1633</v>
      </c>
      <c r="H461">
        <v>668</v>
      </c>
      <c r="I461">
        <v>395</v>
      </c>
      <c r="J461" t="s">
        <v>1155</v>
      </c>
      <c r="K461" t="s">
        <v>406</v>
      </c>
      <c r="L461" t="s">
        <v>1156</v>
      </c>
      <c r="M461">
        <v>334</v>
      </c>
      <c r="N461">
        <v>1435</v>
      </c>
      <c r="O461" t="s">
        <v>1157</v>
      </c>
      <c r="P461" t="s">
        <v>13</v>
      </c>
      <c r="Q461" t="s">
        <v>1324</v>
      </c>
      <c r="R461" t="s">
        <v>1325</v>
      </c>
    </row>
    <row r="462" spans="1:18" x14ac:dyDescent="0.3">
      <c r="A462" t="s">
        <v>1323</v>
      </c>
      <c r="B462">
        <v>1</v>
      </c>
      <c r="C462" t="s">
        <v>1</v>
      </c>
      <c r="D462">
        <v>3330</v>
      </c>
      <c r="E462">
        <v>1321</v>
      </c>
      <c r="F462">
        <v>3919</v>
      </c>
      <c r="G462">
        <v>1613</v>
      </c>
      <c r="H462">
        <v>589</v>
      </c>
      <c r="I462">
        <v>292</v>
      </c>
      <c r="J462" t="s">
        <v>1326</v>
      </c>
      <c r="K462" t="s">
        <v>298</v>
      </c>
      <c r="L462" t="s">
        <v>419</v>
      </c>
      <c r="M462">
        <v>3624</v>
      </c>
      <c r="N462">
        <v>1467</v>
      </c>
      <c r="O462" t="s">
        <v>1327</v>
      </c>
      <c r="P462" t="s">
        <v>13</v>
      </c>
      <c r="Q462" t="s">
        <v>1324</v>
      </c>
      <c r="R462" t="s">
        <v>1182</v>
      </c>
    </row>
    <row r="463" spans="1:18" x14ac:dyDescent="0.3">
      <c r="A463" t="s">
        <v>1323</v>
      </c>
      <c r="B463">
        <v>2</v>
      </c>
      <c r="C463" t="s">
        <v>1</v>
      </c>
      <c r="D463">
        <v>2334</v>
      </c>
      <c r="E463">
        <v>1323</v>
      </c>
      <c r="F463">
        <v>2789</v>
      </c>
      <c r="G463">
        <v>1591</v>
      </c>
      <c r="H463">
        <v>455</v>
      </c>
      <c r="I463">
        <v>268</v>
      </c>
      <c r="J463" t="s">
        <v>1229</v>
      </c>
      <c r="K463" t="s">
        <v>5</v>
      </c>
      <c r="L463" t="s">
        <v>260</v>
      </c>
      <c r="M463">
        <v>2561</v>
      </c>
      <c r="N463">
        <v>1457</v>
      </c>
      <c r="O463" t="s">
        <v>1231</v>
      </c>
      <c r="P463" t="s">
        <v>102</v>
      </c>
      <c r="Q463" t="s">
        <v>1324</v>
      </c>
      <c r="R463" t="s">
        <v>1328</v>
      </c>
    </row>
    <row r="464" spans="1:18" x14ac:dyDescent="0.3">
      <c r="A464" t="s">
        <v>1323</v>
      </c>
      <c r="B464">
        <v>3</v>
      </c>
      <c r="C464" t="s">
        <v>1</v>
      </c>
      <c r="D464">
        <v>1236</v>
      </c>
      <c r="E464">
        <v>1296</v>
      </c>
      <c r="F464">
        <v>1701</v>
      </c>
      <c r="G464">
        <v>1643</v>
      </c>
      <c r="H464">
        <v>465</v>
      </c>
      <c r="I464">
        <v>347</v>
      </c>
      <c r="J464" t="s">
        <v>1286</v>
      </c>
      <c r="K464" t="s">
        <v>1329</v>
      </c>
      <c r="L464" t="s">
        <v>401</v>
      </c>
      <c r="M464">
        <v>1468</v>
      </c>
      <c r="N464">
        <v>1469</v>
      </c>
      <c r="O464" t="s">
        <v>1287</v>
      </c>
      <c r="P464" t="s">
        <v>335</v>
      </c>
      <c r="Q464" t="s">
        <v>1324</v>
      </c>
      <c r="R464" t="s">
        <v>1330</v>
      </c>
    </row>
    <row r="465" spans="1:18" x14ac:dyDescent="0.3">
      <c r="A465" t="s">
        <v>1323</v>
      </c>
      <c r="B465">
        <v>4</v>
      </c>
      <c r="C465" t="s">
        <v>1</v>
      </c>
      <c r="D465">
        <v>1854</v>
      </c>
      <c r="E465">
        <v>1318</v>
      </c>
      <c r="F465">
        <v>2239</v>
      </c>
      <c r="G465">
        <v>1609</v>
      </c>
      <c r="H465">
        <v>385</v>
      </c>
      <c r="I465">
        <v>291</v>
      </c>
      <c r="J465" t="s">
        <v>1253</v>
      </c>
      <c r="K465" t="s">
        <v>596</v>
      </c>
      <c r="L465" t="s">
        <v>239</v>
      </c>
      <c r="M465">
        <v>2046</v>
      </c>
      <c r="N465">
        <v>1463</v>
      </c>
      <c r="O465" t="s">
        <v>1252</v>
      </c>
      <c r="P465" t="s">
        <v>386</v>
      </c>
      <c r="Q465" t="s">
        <v>1324</v>
      </c>
      <c r="R465" t="s">
        <v>49</v>
      </c>
    </row>
    <row r="466" spans="1:18" x14ac:dyDescent="0.3">
      <c r="A466" t="s">
        <v>1323</v>
      </c>
      <c r="B466">
        <v>5</v>
      </c>
      <c r="C466" t="s">
        <v>1</v>
      </c>
      <c r="D466">
        <v>3725</v>
      </c>
      <c r="E466">
        <v>1289</v>
      </c>
      <c r="F466">
        <v>4030</v>
      </c>
      <c r="G466">
        <v>1605</v>
      </c>
      <c r="H466">
        <v>305</v>
      </c>
      <c r="I466">
        <v>316</v>
      </c>
      <c r="J466" t="s">
        <v>1046</v>
      </c>
      <c r="K466" t="s">
        <v>538</v>
      </c>
      <c r="L466" t="s">
        <v>378</v>
      </c>
      <c r="M466">
        <v>3877</v>
      </c>
      <c r="N466">
        <v>1447</v>
      </c>
      <c r="O466" t="s">
        <v>1047</v>
      </c>
      <c r="P466" t="s">
        <v>155</v>
      </c>
      <c r="Q466" t="s">
        <v>1324</v>
      </c>
      <c r="R466" t="s">
        <v>1048</v>
      </c>
    </row>
    <row r="467" spans="1:18" x14ac:dyDescent="0.3">
      <c r="A467" t="s">
        <v>1323</v>
      </c>
      <c r="B467">
        <v>6</v>
      </c>
      <c r="C467" t="s">
        <v>1</v>
      </c>
      <c r="D467">
        <v>2868</v>
      </c>
      <c r="E467">
        <v>1343</v>
      </c>
      <c r="F467">
        <v>3423</v>
      </c>
      <c r="G467">
        <v>1611</v>
      </c>
      <c r="H467">
        <v>555</v>
      </c>
      <c r="I467">
        <v>268</v>
      </c>
      <c r="J467" t="s">
        <v>165</v>
      </c>
      <c r="K467" t="s">
        <v>5</v>
      </c>
      <c r="L467" t="s">
        <v>868</v>
      </c>
      <c r="M467">
        <v>3145</v>
      </c>
      <c r="N467">
        <v>1477</v>
      </c>
      <c r="O467" t="s">
        <v>167</v>
      </c>
      <c r="P467" t="s">
        <v>104</v>
      </c>
      <c r="Q467" t="s">
        <v>1324</v>
      </c>
      <c r="R467" t="s">
        <v>198</v>
      </c>
    </row>
    <row r="468" spans="1:18" x14ac:dyDescent="0.3">
      <c r="A468" t="s">
        <v>1323</v>
      </c>
      <c r="B468">
        <v>7</v>
      </c>
      <c r="C468" t="s">
        <v>1</v>
      </c>
      <c r="D468">
        <v>991</v>
      </c>
      <c r="E468">
        <v>1342</v>
      </c>
      <c r="F468">
        <v>1262</v>
      </c>
      <c r="G468">
        <v>1629</v>
      </c>
      <c r="H468">
        <v>271</v>
      </c>
      <c r="I468">
        <v>287</v>
      </c>
      <c r="J468" t="s">
        <v>803</v>
      </c>
      <c r="K468" t="s">
        <v>470</v>
      </c>
      <c r="L468" t="s">
        <v>240</v>
      </c>
      <c r="M468">
        <v>1126</v>
      </c>
      <c r="N468">
        <v>1485</v>
      </c>
      <c r="O468" t="s">
        <v>804</v>
      </c>
      <c r="P468" t="s">
        <v>238</v>
      </c>
      <c r="Q468" t="s">
        <v>1324</v>
      </c>
      <c r="R468" t="s">
        <v>1027</v>
      </c>
    </row>
    <row r="469" spans="1:18" hidden="1" x14ac:dyDescent="0.3">
      <c r="A469" t="s">
        <v>1323</v>
      </c>
      <c r="B469">
        <v>8</v>
      </c>
      <c r="C469" t="s">
        <v>97</v>
      </c>
      <c r="D469">
        <v>2869</v>
      </c>
      <c r="E469">
        <v>1348</v>
      </c>
      <c r="F469">
        <v>3429</v>
      </c>
      <c r="G469">
        <v>1611</v>
      </c>
      <c r="H469">
        <v>560</v>
      </c>
      <c r="I469">
        <v>263</v>
      </c>
      <c r="J469" t="s">
        <v>360</v>
      </c>
      <c r="K469" t="s">
        <v>706</v>
      </c>
      <c r="L469" t="s">
        <v>948</v>
      </c>
      <c r="M469">
        <v>3149</v>
      </c>
      <c r="N469">
        <v>1479</v>
      </c>
      <c r="O469" t="s">
        <v>152</v>
      </c>
      <c r="P469" t="s">
        <v>396</v>
      </c>
      <c r="Q469" t="s">
        <v>1324</v>
      </c>
      <c r="R469" t="s">
        <v>1331</v>
      </c>
    </row>
    <row r="470" spans="1:18" x14ac:dyDescent="0.3">
      <c r="A470" t="s">
        <v>1332</v>
      </c>
      <c r="B470">
        <v>0</v>
      </c>
      <c r="C470" t="s">
        <v>1</v>
      </c>
      <c r="D470">
        <v>1836</v>
      </c>
      <c r="E470">
        <v>1326</v>
      </c>
      <c r="F470">
        <v>2220</v>
      </c>
      <c r="G470">
        <v>1617</v>
      </c>
      <c r="H470">
        <v>384</v>
      </c>
      <c r="I470">
        <v>291</v>
      </c>
      <c r="J470" t="s">
        <v>566</v>
      </c>
      <c r="K470" t="s">
        <v>596</v>
      </c>
      <c r="L470" t="s">
        <v>239</v>
      </c>
      <c r="M470">
        <v>2028</v>
      </c>
      <c r="N470">
        <v>1471</v>
      </c>
      <c r="O470" t="s">
        <v>1312</v>
      </c>
      <c r="P470" t="s">
        <v>182</v>
      </c>
      <c r="Q470" t="s">
        <v>1333</v>
      </c>
      <c r="R470" t="s">
        <v>1334</v>
      </c>
    </row>
    <row r="471" spans="1:18" x14ac:dyDescent="0.3">
      <c r="A471" t="s">
        <v>1332</v>
      </c>
      <c r="B471">
        <v>1</v>
      </c>
      <c r="C471" t="s">
        <v>1</v>
      </c>
      <c r="D471">
        <v>2309</v>
      </c>
      <c r="E471">
        <v>1328</v>
      </c>
      <c r="F471">
        <v>2768</v>
      </c>
      <c r="G471">
        <v>1601</v>
      </c>
      <c r="H471">
        <v>459</v>
      </c>
      <c r="I471">
        <v>273</v>
      </c>
      <c r="J471" t="s">
        <v>1299</v>
      </c>
      <c r="K471" t="s">
        <v>651</v>
      </c>
      <c r="L471" t="s">
        <v>113</v>
      </c>
      <c r="M471">
        <v>2538</v>
      </c>
      <c r="N471">
        <v>1464</v>
      </c>
      <c r="O471" t="s">
        <v>1298</v>
      </c>
      <c r="P471" t="s">
        <v>182</v>
      </c>
      <c r="Q471" t="s">
        <v>1333</v>
      </c>
      <c r="R471" t="s">
        <v>130</v>
      </c>
    </row>
    <row r="472" spans="1:18" x14ac:dyDescent="0.3">
      <c r="A472" t="s">
        <v>1332</v>
      </c>
      <c r="B472">
        <v>2</v>
      </c>
      <c r="C472" t="s">
        <v>1</v>
      </c>
      <c r="D472">
        <v>0</v>
      </c>
      <c r="E472">
        <v>1261</v>
      </c>
      <c r="F472">
        <v>793</v>
      </c>
      <c r="G472">
        <v>1684</v>
      </c>
      <c r="H472">
        <v>793</v>
      </c>
      <c r="I472">
        <v>423</v>
      </c>
      <c r="J472" t="s">
        <v>185</v>
      </c>
      <c r="K472" t="s">
        <v>1083</v>
      </c>
      <c r="L472" t="s">
        <v>190</v>
      </c>
      <c r="M472">
        <v>396</v>
      </c>
      <c r="N472">
        <v>1472</v>
      </c>
      <c r="O472" t="s">
        <v>1335</v>
      </c>
      <c r="P472" t="s">
        <v>57</v>
      </c>
      <c r="Q472" t="s">
        <v>1333</v>
      </c>
      <c r="R472" t="s">
        <v>994</v>
      </c>
    </row>
    <row r="473" spans="1:18" x14ac:dyDescent="0.3">
      <c r="A473" t="s">
        <v>1332</v>
      </c>
      <c r="B473">
        <v>4</v>
      </c>
      <c r="C473" t="s">
        <v>1</v>
      </c>
      <c r="D473">
        <v>1238</v>
      </c>
      <c r="E473">
        <v>1310</v>
      </c>
      <c r="F473">
        <v>1684</v>
      </c>
      <c r="G473">
        <v>1651</v>
      </c>
      <c r="H473">
        <v>446</v>
      </c>
      <c r="I473">
        <v>341</v>
      </c>
      <c r="J473" t="s">
        <v>734</v>
      </c>
      <c r="K473" t="s">
        <v>1229</v>
      </c>
      <c r="L473" t="s">
        <v>894</v>
      </c>
      <c r="M473">
        <v>1461</v>
      </c>
      <c r="N473">
        <v>1480</v>
      </c>
      <c r="O473" t="s">
        <v>735</v>
      </c>
      <c r="P473" t="s">
        <v>505</v>
      </c>
      <c r="Q473" t="s">
        <v>1333</v>
      </c>
      <c r="R473" t="s">
        <v>1336</v>
      </c>
    </row>
    <row r="474" spans="1:18" x14ac:dyDescent="0.3">
      <c r="A474" t="s">
        <v>1332</v>
      </c>
      <c r="B474">
        <v>5</v>
      </c>
      <c r="C474" t="s">
        <v>1</v>
      </c>
      <c r="D474">
        <v>2836</v>
      </c>
      <c r="E474">
        <v>1360</v>
      </c>
      <c r="F474">
        <v>3388</v>
      </c>
      <c r="G474">
        <v>1609</v>
      </c>
      <c r="H474">
        <v>552</v>
      </c>
      <c r="I474">
        <v>249</v>
      </c>
      <c r="J474" t="s">
        <v>1337</v>
      </c>
      <c r="K474" t="s">
        <v>815</v>
      </c>
      <c r="L474" t="s">
        <v>1193</v>
      </c>
      <c r="M474">
        <v>3112</v>
      </c>
      <c r="N474">
        <v>1484</v>
      </c>
      <c r="O474" t="s">
        <v>1338</v>
      </c>
      <c r="P474" t="s">
        <v>1117</v>
      </c>
      <c r="Q474" t="s">
        <v>1333</v>
      </c>
      <c r="R474" t="s">
        <v>1339</v>
      </c>
    </row>
    <row r="475" spans="1:18" x14ac:dyDescent="0.3">
      <c r="A475" t="s">
        <v>1332</v>
      </c>
      <c r="B475">
        <v>6</v>
      </c>
      <c r="C475" t="s">
        <v>1</v>
      </c>
      <c r="D475">
        <v>3354</v>
      </c>
      <c r="E475">
        <v>1327</v>
      </c>
      <c r="F475">
        <v>3698</v>
      </c>
      <c r="G475">
        <v>1611</v>
      </c>
      <c r="H475">
        <v>344</v>
      </c>
      <c r="I475">
        <v>284</v>
      </c>
      <c r="J475" t="s">
        <v>887</v>
      </c>
      <c r="K475" t="s">
        <v>703</v>
      </c>
      <c r="L475" t="s">
        <v>1209</v>
      </c>
      <c r="M475">
        <v>3526</v>
      </c>
      <c r="N475">
        <v>1469</v>
      </c>
      <c r="O475" t="s">
        <v>888</v>
      </c>
      <c r="P475" t="s">
        <v>73</v>
      </c>
      <c r="Q475" t="s">
        <v>1333</v>
      </c>
      <c r="R475" t="s">
        <v>617</v>
      </c>
    </row>
    <row r="476" spans="1:18" x14ac:dyDescent="0.3">
      <c r="A476" t="s">
        <v>1340</v>
      </c>
      <c r="B476">
        <v>0</v>
      </c>
      <c r="C476" t="s">
        <v>1</v>
      </c>
      <c r="D476">
        <v>1201</v>
      </c>
      <c r="E476">
        <v>1427</v>
      </c>
      <c r="F476">
        <v>1656</v>
      </c>
      <c r="G476">
        <v>1763</v>
      </c>
      <c r="H476">
        <v>455</v>
      </c>
      <c r="I476">
        <v>336</v>
      </c>
      <c r="J476" t="s">
        <v>1229</v>
      </c>
      <c r="K476" t="s">
        <v>142</v>
      </c>
      <c r="L476" t="s">
        <v>600</v>
      </c>
      <c r="M476">
        <v>1428</v>
      </c>
      <c r="N476">
        <v>1595</v>
      </c>
      <c r="O476" t="s">
        <v>1231</v>
      </c>
      <c r="P476" t="s">
        <v>130</v>
      </c>
      <c r="Q476" t="s">
        <v>1341</v>
      </c>
      <c r="R476" t="s">
        <v>1342</v>
      </c>
    </row>
    <row r="477" spans="1:18" x14ac:dyDescent="0.3">
      <c r="A477" t="s">
        <v>1340</v>
      </c>
      <c r="B477">
        <v>1</v>
      </c>
      <c r="C477" t="s">
        <v>1</v>
      </c>
      <c r="D477">
        <v>2272</v>
      </c>
      <c r="E477">
        <v>1482</v>
      </c>
      <c r="F477">
        <v>2725</v>
      </c>
      <c r="G477">
        <v>1752</v>
      </c>
      <c r="H477">
        <v>453</v>
      </c>
      <c r="I477">
        <v>270</v>
      </c>
      <c r="J477" t="s">
        <v>1343</v>
      </c>
      <c r="K477" t="s">
        <v>633</v>
      </c>
      <c r="L477" t="s">
        <v>113</v>
      </c>
      <c r="M477">
        <v>2498</v>
      </c>
      <c r="N477">
        <v>1617</v>
      </c>
      <c r="O477" t="s">
        <v>1344</v>
      </c>
      <c r="P477" t="s">
        <v>386</v>
      </c>
      <c r="Q477" t="s">
        <v>1341</v>
      </c>
      <c r="R477" t="s">
        <v>1345</v>
      </c>
    </row>
    <row r="478" spans="1:18" x14ac:dyDescent="0.3">
      <c r="A478" t="s">
        <v>1340</v>
      </c>
      <c r="B478">
        <v>2</v>
      </c>
      <c r="C478" t="s">
        <v>1</v>
      </c>
      <c r="D478">
        <v>1795</v>
      </c>
      <c r="E478">
        <v>1459</v>
      </c>
      <c r="F478">
        <v>2178</v>
      </c>
      <c r="G478">
        <v>1752</v>
      </c>
      <c r="H478">
        <v>383</v>
      </c>
      <c r="I478">
        <v>293</v>
      </c>
      <c r="J478" t="s">
        <v>560</v>
      </c>
      <c r="K478" t="s">
        <v>1266</v>
      </c>
      <c r="L478" t="s">
        <v>894</v>
      </c>
      <c r="M478">
        <v>1986</v>
      </c>
      <c r="N478">
        <v>1605</v>
      </c>
      <c r="O478" t="s">
        <v>388</v>
      </c>
      <c r="P478" t="s">
        <v>262</v>
      </c>
      <c r="Q478" t="s">
        <v>1341</v>
      </c>
      <c r="R478" t="s">
        <v>941</v>
      </c>
    </row>
    <row r="479" spans="1:18" x14ac:dyDescent="0.3">
      <c r="A479" t="s">
        <v>1340</v>
      </c>
      <c r="B479">
        <v>3</v>
      </c>
      <c r="C479" t="s">
        <v>1</v>
      </c>
      <c r="D479">
        <v>916</v>
      </c>
      <c r="E479">
        <v>1466</v>
      </c>
      <c r="F479">
        <v>1191</v>
      </c>
      <c r="G479">
        <v>1743</v>
      </c>
      <c r="H479">
        <v>275</v>
      </c>
      <c r="I479">
        <v>277</v>
      </c>
      <c r="J479" t="s">
        <v>830</v>
      </c>
      <c r="K479" t="s">
        <v>725</v>
      </c>
      <c r="L479" t="s">
        <v>415</v>
      </c>
      <c r="M479">
        <v>1053</v>
      </c>
      <c r="N479">
        <v>1604</v>
      </c>
      <c r="O479" t="s">
        <v>831</v>
      </c>
      <c r="P479" t="s">
        <v>104</v>
      </c>
      <c r="Q479" t="s">
        <v>1341</v>
      </c>
      <c r="R479" t="s">
        <v>1346</v>
      </c>
    </row>
    <row r="480" spans="1:18" x14ac:dyDescent="0.3">
      <c r="A480" t="s">
        <v>1340</v>
      </c>
      <c r="B480">
        <v>4</v>
      </c>
      <c r="C480" t="s">
        <v>1</v>
      </c>
      <c r="D480">
        <v>2</v>
      </c>
      <c r="E480">
        <v>1346</v>
      </c>
      <c r="F480">
        <v>644</v>
      </c>
      <c r="G480">
        <v>1735</v>
      </c>
      <c r="H480">
        <v>642</v>
      </c>
      <c r="I480">
        <v>389</v>
      </c>
      <c r="J480" t="s">
        <v>1347</v>
      </c>
      <c r="K480" t="s">
        <v>40</v>
      </c>
      <c r="L480" t="s">
        <v>34</v>
      </c>
      <c r="M480">
        <v>323</v>
      </c>
      <c r="N480">
        <v>1540</v>
      </c>
      <c r="O480" t="s">
        <v>1348</v>
      </c>
      <c r="P480" t="s">
        <v>1117</v>
      </c>
      <c r="Q480" t="s">
        <v>1341</v>
      </c>
      <c r="R480" t="s">
        <v>1195</v>
      </c>
    </row>
    <row r="481" spans="1:18" x14ac:dyDescent="0.3">
      <c r="A481" t="s">
        <v>1340</v>
      </c>
      <c r="B481">
        <v>5</v>
      </c>
      <c r="C481" t="s">
        <v>1</v>
      </c>
      <c r="D481">
        <v>0</v>
      </c>
      <c r="E481">
        <v>1379</v>
      </c>
      <c r="F481">
        <v>177</v>
      </c>
      <c r="G481">
        <v>1744</v>
      </c>
      <c r="H481">
        <v>177</v>
      </c>
      <c r="I481">
        <v>365</v>
      </c>
      <c r="J481" t="s">
        <v>1349</v>
      </c>
      <c r="K481" t="s">
        <v>1350</v>
      </c>
      <c r="L481" t="s">
        <v>695</v>
      </c>
      <c r="M481">
        <v>88</v>
      </c>
      <c r="N481">
        <v>1561</v>
      </c>
      <c r="O481" t="s">
        <v>1351</v>
      </c>
      <c r="P481" t="s">
        <v>511</v>
      </c>
      <c r="Q481" t="s">
        <v>1341</v>
      </c>
      <c r="R481" t="s">
        <v>1352</v>
      </c>
    </row>
    <row r="482" spans="1:18" x14ac:dyDescent="0.3">
      <c r="A482" t="s">
        <v>1340</v>
      </c>
      <c r="B482">
        <v>6</v>
      </c>
      <c r="C482" t="s">
        <v>1</v>
      </c>
      <c r="D482">
        <v>3287</v>
      </c>
      <c r="E482">
        <v>1520</v>
      </c>
      <c r="F482">
        <v>3620</v>
      </c>
      <c r="G482">
        <v>1799</v>
      </c>
      <c r="H482">
        <v>333</v>
      </c>
      <c r="I482">
        <v>279</v>
      </c>
      <c r="J482" t="s">
        <v>984</v>
      </c>
      <c r="K482" t="s">
        <v>670</v>
      </c>
      <c r="L482" t="s">
        <v>1353</v>
      </c>
      <c r="M482">
        <v>3453</v>
      </c>
      <c r="N482">
        <v>1659</v>
      </c>
      <c r="O482" t="s">
        <v>985</v>
      </c>
      <c r="P482" t="s">
        <v>1053</v>
      </c>
      <c r="Q482" t="s">
        <v>1341</v>
      </c>
      <c r="R482" t="s">
        <v>96</v>
      </c>
    </row>
    <row r="483" spans="1:18" x14ac:dyDescent="0.3">
      <c r="A483" t="s">
        <v>1340</v>
      </c>
      <c r="B483">
        <v>7</v>
      </c>
      <c r="C483" t="s">
        <v>1</v>
      </c>
      <c r="D483">
        <v>2793</v>
      </c>
      <c r="E483">
        <v>1534</v>
      </c>
      <c r="F483">
        <v>3309</v>
      </c>
      <c r="G483">
        <v>1784</v>
      </c>
      <c r="H483">
        <v>516</v>
      </c>
      <c r="I483">
        <v>250</v>
      </c>
      <c r="J483" t="s">
        <v>3</v>
      </c>
      <c r="K483" t="s">
        <v>455</v>
      </c>
      <c r="L483" t="s">
        <v>960</v>
      </c>
      <c r="M483">
        <v>3051</v>
      </c>
      <c r="N483">
        <v>1659</v>
      </c>
      <c r="O483" t="s">
        <v>1354</v>
      </c>
      <c r="P483" t="s">
        <v>361</v>
      </c>
      <c r="Q483" t="s">
        <v>1341</v>
      </c>
      <c r="R483" t="s">
        <v>540</v>
      </c>
    </row>
    <row r="484" spans="1:18" x14ac:dyDescent="0.3">
      <c r="A484" t="s">
        <v>1340</v>
      </c>
      <c r="B484">
        <v>9</v>
      </c>
      <c r="C484" t="s">
        <v>1</v>
      </c>
      <c r="D484">
        <v>3507</v>
      </c>
      <c r="E484">
        <v>1505</v>
      </c>
      <c r="F484">
        <v>4030</v>
      </c>
      <c r="G484">
        <v>1842</v>
      </c>
      <c r="H484">
        <v>523</v>
      </c>
      <c r="I484">
        <v>337</v>
      </c>
      <c r="J484" t="s">
        <v>1355</v>
      </c>
      <c r="K484" t="s">
        <v>846</v>
      </c>
      <c r="L484" t="s">
        <v>919</v>
      </c>
      <c r="M484">
        <v>3768</v>
      </c>
      <c r="N484">
        <v>1673</v>
      </c>
      <c r="O484" t="s">
        <v>1356</v>
      </c>
      <c r="P484" t="s">
        <v>108</v>
      </c>
      <c r="Q484" t="s">
        <v>1341</v>
      </c>
      <c r="R484" t="s">
        <v>473</v>
      </c>
    </row>
    <row r="485" spans="1:18" x14ac:dyDescent="0.3">
      <c r="A485" t="s">
        <v>1357</v>
      </c>
      <c r="B485">
        <v>0</v>
      </c>
      <c r="C485" t="s">
        <v>1</v>
      </c>
      <c r="D485">
        <v>3176</v>
      </c>
      <c r="E485">
        <v>1463</v>
      </c>
      <c r="F485">
        <v>3735</v>
      </c>
      <c r="G485">
        <v>1707</v>
      </c>
      <c r="H485">
        <v>559</v>
      </c>
      <c r="I485">
        <v>244</v>
      </c>
      <c r="J485" t="s">
        <v>175</v>
      </c>
      <c r="K485" t="s">
        <v>954</v>
      </c>
      <c r="L485" t="s">
        <v>1259</v>
      </c>
      <c r="M485">
        <v>3455</v>
      </c>
      <c r="N485">
        <v>1585</v>
      </c>
      <c r="O485" t="s">
        <v>177</v>
      </c>
      <c r="P485" t="s">
        <v>130</v>
      </c>
      <c r="Q485" t="s">
        <v>1358</v>
      </c>
      <c r="R485" t="s">
        <v>91</v>
      </c>
    </row>
    <row r="486" spans="1:18" x14ac:dyDescent="0.3">
      <c r="A486" t="s">
        <v>1357</v>
      </c>
      <c r="B486">
        <v>1</v>
      </c>
      <c r="C486" t="s">
        <v>1</v>
      </c>
      <c r="D486">
        <v>451</v>
      </c>
      <c r="E486">
        <v>1394</v>
      </c>
      <c r="F486">
        <v>946</v>
      </c>
      <c r="G486">
        <v>1720</v>
      </c>
      <c r="H486">
        <v>495</v>
      </c>
      <c r="I486">
        <v>326</v>
      </c>
      <c r="J486" t="s">
        <v>591</v>
      </c>
      <c r="K486" t="s">
        <v>1359</v>
      </c>
      <c r="L486" t="s">
        <v>138</v>
      </c>
      <c r="M486">
        <v>698</v>
      </c>
      <c r="N486">
        <v>1557</v>
      </c>
      <c r="O486" t="s">
        <v>593</v>
      </c>
      <c r="P486" t="s">
        <v>130</v>
      </c>
      <c r="Q486" t="s">
        <v>1358</v>
      </c>
      <c r="R486" t="s">
        <v>314</v>
      </c>
    </row>
    <row r="487" spans="1:18" x14ac:dyDescent="0.3">
      <c r="A487" t="s">
        <v>1357</v>
      </c>
      <c r="B487">
        <v>2</v>
      </c>
      <c r="C487" t="s">
        <v>1</v>
      </c>
      <c r="D487">
        <v>681</v>
      </c>
      <c r="E487">
        <v>1404</v>
      </c>
      <c r="F487">
        <v>1256</v>
      </c>
      <c r="G487">
        <v>1699</v>
      </c>
      <c r="H487">
        <v>575</v>
      </c>
      <c r="I487">
        <v>295</v>
      </c>
      <c r="J487" t="s">
        <v>1360</v>
      </c>
      <c r="K487" t="s">
        <v>668</v>
      </c>
      <c r="L487" t="s">
        <v>645</v>
      </c>
      <c r="M487">
        <v>968</v>
      </c>
      <c r="N487">
        <v>1551</v>
      </c>
      <c r="O487" t="s">
        <v>1361</v>
      </c>
      <c r="P487" t="s">
        <v>182</v>
      </c>
      <c r="Q487" t="s">
        <v>1358</v>
      </c>
      <c r="R487" t="s">
        <v>69</v>
      </c>
    </row>
    <row r="488" spans="1:18" x14ac:dyDescent="0.3">
      <c r="A488" t="s">
        <v>1357</v>
      </c>
      <c r="B488">
        <v>3</v>
      </c>
      <c r="C488" t="s">
        <v>1</v>
      </c>
      <c r="D488">
        <v>1187</v>
      </c>
      <c r="E488">
        <v>1469</v>
      </c>
      <c r="F488">
        <v>1506</v>
      </c>
      <c r="G488">
        <v>1677</v>
      </c>
      <c r="H488">
        <v>319</v>
      </c>
      <c r="I488">
        <v>208</v>
      </c>
      <c r="J488" t="s">
        <v>1362</v>
      </c>
      <c r="K488" t="s">
        <v>810</v>
      </c>
      <c r="L488" t="s">
        <v>562</v>
      </c>
      <c r="M488">
        <v>1346</v>
      </c>
      <c r="N488">
        <v>1573</v>
      </c>
      <c r="O488" t="s">
        <v>1363</v>
      </c>
      <c r="P488" t="s">
        <v>335</v>
      </c>
      <c r="Q488" t="s">
        <v>1358</v>
      </c>
      <c r="R488" t="s">
        <v>159</v>
      </c>
    </row>
    <row r="489" spans="1:18" x14ac:dyDescent="0.3">
      <c r="A489" t="s">
        <v>1357</v>
      </c>
      <c r="B489">
        <v>4</v>
      </c>
      <c r="C489" t="s">
        <v>1</v>
      </c>
      <c r="D489">
        <v>2797</v>
      </c>
      <c r="E489">
        <v>1492</v>
      </c>
      <c r="F489">
        <v>3228</v>
      </c>
      <c r="G489">
        <v>1691</v>
      </c>
      <c r="H489">
        <v>431</v>
      </c>
      <c r="I489">
        <v>199</v>
      </c>
      <c r="J489" t="s">
        <v>1364</v>
      </c>
      <c r="K489" t="s">
        <v>783</v>
      </c>
      <c r="L489" t="s">
        <v>1365</v>
      </c>
      <c r="M489">
        <v>3012</v>
      </c>
      <c r="N489">
        <v>1591</v>
      </c>
      <c r="O489" t="s">
        <v>1366</v>
      </c>
      <c r="P489" t="s">
        <v>313</v>
      </c>
      <c r="Q489" t="s">
        <v>1358</v>
      </c>
      <c r="R489" t="s">
        <v>1367</v>
      </c>
    </row>
    <row r="490" spans="1:18" x14ac:dyDescent="0.3">
      <c r="A490" t="s">
        <v>1357</v>
      </c>
      <c r="B490">
        <v>5</v>
      </c>
      <c r="C490" t="s">
        <v>1</v>
      </c>
      <c r="D490">
        <v>3556</v>
      </c>
      <c r="E490">
        <v>1447</v>
      </c>
      <c r="F490">
        <v>3942</v>
      </c>
      <c r="G490">
        <v>1715</v>
      </c>
      <c r="H490">
        <v>386</v>
      </c>
      <c r="I490">
        <v>268</v>
      </c>
      <c r="J490" t="s">
        <v>726</v>
      </c>
      <c r="K490" t="s">
        <v>5</v>
      </c>
      <c r="L490" t="s">
        <v>492</v>
      </c>
      <c r="M490">
        <v>3749</v>
      </c>
      <c r="N490">
        <v>1581</v>
      </c>
      <c r="O490" t="s">
        <v>727</v>
      </c>
      <c r="P490" t="s">
        <v>750</v>
      </c>
      <c r="Q490" t="s">
        <v>1358</v>
      </c>
      <c r="R490" t="s">
        <v>28</v>
      </c>
    </row>
    <row r="491" spans="1:18" x14ac:dyDescent="0.3">
      <c r="A491" t="s">
        <v>1357</v>
      </c>
      <c r="B491">
        <v>6</v>
      </c>
      <c r="C491" t="s">
        <v>1</v>
      </c>
      <c r="D491">
        <v>2009</v>
      </c>
      <c r="E491">
        <v>1462</v>
      </c>
      <c r="F491">
        <v>2306</v>
      </c>
      <c r="G491">
        <v>1681</v>
      </c>
      <c r="H491">
        <v>297</v>
      </c>
      <c r="I491">
        <v>219</v>
      </c>
      <c r="J491" t="s">
        <v>867</v>
      </c>
      <c r="K491" t="s">
        <v>753</v>
      </c>
      <c r="L491" t="s">
        <v>166</v>
      </c>
      <c r="M491">
        <v>2157</v>
      </c>
      <c r="N491">
        <v>1571</v>
      </c>
      <c r="O491" t="s">
        <v>408</v>
      </c>
      <c r="P491" t="s">
        <v>30</v>
      </c>
      <c r="Q491" t="s">
        <v>1358</v>
      </c>
      <c r="R491" t="s">
        <v>67</v>
      </c>
    </row>
    <row r="492" spans="1:18" x14ac:dyDescent="0.3">
      <c r="A492" t="s">
        <v>1357</v>
      </c>
      <c r="B492">
        <v>7</v>
      </c>
      <c r="C492" t="s">
        <v>1</v>
      </c>
      <c r="D492">
        <v>1540</v>
      </c>
      <c r="E492">
        <v>1429</v>
      </c>
      <c r="F492">
        <v>1942</v>
      </c>
      <c r="G492">
        <v>1684</v>
      </c>
      <c r="H492">
        <v>402</v>
      </c>
      <c r="I492">
        <v>255</v>
      </c>
      <c r="J492" t="s">
        <v>918</v>
      </c>
      <c r="K492" t="s">
        <v>65</v>
      </c>
      <c r="L492" t="s">
        <v>231</v>
      </c>
      <c r="M492">
        <v>1741</v>
      </c>
      <c r="N492">
        <v>1556</v>
      </c>
      <c r="O492" t="s">
        <v>920</v>
      </c>
      <c r="P492" t="s">
        <v>721</v>
      </c>
      <c r="Q492" t="s">
        <v>1358</v>
      </c>
      <c r="R492" t="s">
        <v>246</v>
      </c>
    </row>
    <row r="493" spans="1:18" x14ac:dyDescent="0.3">
      <c r="A493" t="s">
        <v>1357</v>
      </c>
      <c r="B493">
        <v>8</v>
      </c>
      <c r="C493" t="s">
        <v>1</v>
      </c>
      <c r="D493">
        <v>1555</v>
      </c>
      <c r="E493">
        <v>1443</v>
      </c>
      <c r="F493">
        <v>1782</v>
      </c>
      <c r="G493">
        <v>1608</v>
      </c>
      <c r="H493">
        <v>227</v>
      </c>
      <c r="I493">
        <v>165</v>
      </c>
      <c r="J493" t="s">
        <v>1368</v>
      </c>
      <c r="K493" t="s">
        <v>1031</v>
      </c>
      <c r="L493" t="s">
        <v>209</v>
      </c>
      <c r="M493">
        <v>1668</v>
      </c>
      <c r="N493">
        <v>1525</v>
      </c>
      <c r="O493" t="s">
        <v>1369</v>
      </c>
      <c r="P493" t="s">
        <v>721</v>
      </c>
      <c r="Q493" t="s">
        <v>1358</v>
      </c>
      <c r="R493" t="s">
        <v>1010</v>
      </c>
    </row>
    <row r="494" spans="1:18" x14ac:dyDescent="0.3">
      <c r="A494" t="s">
        <v>1370</v>
      </c>
      <c r="B494">
        <v>0</v>
      </c>
      <c r="C494" t="s">
        <v>1</v>
      </c>
      <c r="D494">
        <v>1951</v>
      </c>
      <c r="E494">
        <v>1353</v>
      </c>
      <c r="F494">
        <v>2240</v>
      </c>
      <c r="G494">
        <v>1574</v>
      </c>
      <c r="H494">
        <v>289</v>
      </c>
      <c r="I494">
        <v>221</v>
      </c>
      <c r="J494" t="s">
        <v>987</v>
      </c>
      <c r="K494" t="s">
        <v>24</v>
      </c>
      <c r="L494" t="s">
        <v>894</v>
      </c>
      <c r="M494">
        <v>2095</v>
      </c>
      <c r="N494">
        <v>1463</v>
      </c>
      <c r="O494" t="s">
        <v>988</v>
      </c>
      <c r="P494" t="s">
        <v>386</v>
      </c>
      <c r="Q494" t="s">
        <v>1371</v>
      </c>
      <c r="R494" t="s">
        <v>1372</v>
      </c>
    </row>
    <row r="495" spans="1:18" x14ac:dyDescent="0.3">
      <c r="A495" t="s">
        <v>1370</v>
      </c>
      <c r="B495">
        <v>1</v>
      </c>
      <c r="C495" t="s">
        <v>1</v>
      </c>
      <c r="D495">
        <v>1074</v>
      </c>
      <c r="E495">
        <v>1364</v>
      </c>
      <c r="F495">
        <v>1445</v>
      </c>
      <c r="G495">
        <v>1577</v>
      </c>
      <c r="H495">
        <v>371</v>
      </c>
      <c r="I495">
        <v>213</v>
      </c>
      <c r="J495" t="s">
        <v>232</v>
      </c>
      <c r="K495" t="s">
        <v>853</v>
      </c>
      <c r="L495" t="s">
        <v>389</v>
      </c>
      <c r="M495">
        <v>1259</v>
      </c>
      <c r="N495">
        <v>1470</v>
      </c>
      <c r="O495" t="s">
        <v>521</v>
      </c>
      <c r="P495" t="s">
        <v>262</v>
      </c>
      <c r="Q495" t="s">
        <v>1371</v>
      </c>
      <c r="R495" t="s">
        <v>320</v>
      </c>
    </row>
    <row r="496" spans="1:18" x14ac:dyDescent="0.3">
      <c r="A496" t="s">
        <v>1370</v>
      </c>
      <c r="B496">
        <v>2</v>
      </c>
      <c r="C496" t="s">
        <v>1</v>
      </c>
      <c r="D496">
        <v>436</v>
      </c>
      <c r="E496">
        <v>1310</v>
      </c>
      <c r="F496">
        <v>897</v>
      </c>
      <c r="G496">
        <v>1629</v>
      </c>
      <c r="H496">
        <v>461</v>
      </c>
      <c r="I496">
        <v>319</v>
      </c>
      <c r="J496" t="s">
        <v>866</v>
      </c>
      <c r="K496" t="s">
        <v>1373</v>
      </c>
      <c r="L496" t="s">
        <v>85</v>
      </c>
      <c r="M496">
        <v>666</v>
      </c>
      <c r="N496">
        <v>1469</v>
      </c>
      <c r="O496" t="s">
        <v>869</v>
      </c>
      <c r="P496" t="s">
        <v>262</v>
      </c>
      <c r="Q496" t="s">
        <v>1371</v>
      </c>
      <c r="R496" t="s">
        <v>1227</v>
      </c>
    </row>
    <row r="497" spans="1:18" x14ac:dyDescent="0.3">
      <c r="A497" t="s">
        <v>1370</v>
      </c>
      <c r="B497">
        <v>3</v>
      </c>
      <c r="C497" t="s">
        <v>1</v>
      </c>
      <c r="D497">
        <v>811</v>
      </c>
      <c r="E497">
        <v>1374</v>
      </c>
      <c r="F497">
        <v>1057</v>
      </c>
      <c r="G497">
        <v>1589</v>
      </c>
      <c r="H497">
        <v>246</v>
      </c>
      <c r="I497">
        <v>215</v>
      </c>
      <c r="J497" t="s">
        <v>892</v>
      </c>
      <c r="K497" t="s">
        <v>365</v>
      </c>
      <c r="L497" t="s">
        <v>972</v>
      </c>
      <c r="M497">
        <v>934</v>
      </c>
      <c r="N497">
        <v>1481</v>
      </c>
      <c r="O497" t="s">
        <v>893</v>
      </c>
      <c r="P497" t="s">
        <v>197</v>
      </c>
      <c r="Q497" t="s">
        <v>1371</v>
      </c>
      <c r="R497" t="s">
        <v>1374</v>
      </c>
    </row>
    <row r="498" spans="1:18" x14ac:dyDescent="0.3">
      <c r="A498" t="s">
        <v>1370</v>
      </c>
      <c r="B498">
        <v>4</v>
      </c>
      <c r="C498" t="s">
        <v>1</v>
      </c>
      <c r="D498">
        <v>3101</v>
      </c>
      <c r="E498">
        <v>1331</v>
      </c>
      <c r="F498">
        <v>3631</v>
      </c>
      <c r="G498">
        <v>1571</v>
      </c>
      <c r="H498">
        <v>530</v>
      </c>
      <c r="I498">
        <v>240</v>
      </c>
      <c r="J498" t="s">
        <v>1375</v>
      </c>
      <c r="K498" t="s">
        <v>523</v>
      </c>
      <c r="L498" t="s">
        <v>364</v>
      </c>
      <c r="M498">
        <v>3366</v>
      </c>
      <c r="N498">
        <v>1451</v>
      </c>
      <c r="O498" t="s">
        <v>675</v>
      </c>
      <c r="P498" t="s">
        <v>57</v>
      </c>
      <c r="Q498" t="s">
        <v>1371</v>
      </c>
      <c r="R498" t="s">
        <v>1227</v>
      </c>
    </row>
    <row r="499" spans="1:18" x14ac:dyDescent="0.3">
      <c r="A499" t="s">
        <v>1370</v>
      </c>
      <c r="B499">
        <v>5</v>
      </c>
      <c r="C499" t="s">
        <v>1</v>
      </c>
      <c r="D499">
        <v>2753</v>
      </c>
      <c r="E499">
        <v>1371</v>
      </c>
      <c r="F499">
        <v>3146</v>
      </c>
      <c r="G499">
        <v>1559</v>
      </c>
      <c r="H499">
        <v>393</v>
      </c>
      <c r="I499">
        <v>188</v>
      </c>
      <c r="J499" t="s">
        <v>1133</v>
      </c>
      <c r="K499" t="s">
        <v>945</v>
      </c>
      <c r="L499" t="s">
        <v>955</v>
      </c>
      <c r="M499">
        <v>2949</v>
      </c>
      <c r="N499">
        <v>1465</v>
      </c>
      <c r="O499" t="s">
        <v>33</v>
      </c>
      <c r="P499" t="s">
        <v>30</v>
      </c>
      <c r="Q499" t="s">
        <v>1371</v>
      </c>
      <c r="R499" t="s">
        <v>572</v>
      </c>
    </row>
    <row r="500" spans="1:18" x14ac:dyDescent="0.3">
      <c r="A500" t="s">
        <v>1370</v>
      </c>
      <c r="B500">
        <v>6</v>
      </c>
      <c r="C500" t="s">
        <v>1</v>
      </c>
      <c r="D500">
        <v>1488</v>
      </c>
      <c r="E500">
        <v>1333</v>
      </c>
      <c r="F500">
        <v>1777</v>
      </c>
      <c r="G500">
        <v>1585</v>
      </c>
      <c r="H500">
        <v>289</v>
      </c>
      <c r="I500">
        <v>252</v>
      </c>
      <c r="J500" t="s">
        <v>987</v>
      </c>
      <c r="K500" t="s">
        <v>1203</v>
      </c>
      <c r="L500" t="s">
        <v>1376</v>
      </c>
      <c r="M500">
        <v>1632</v>
      </c>
      <c r="N500">
        <v>1459</v>
      </c>
      <c r="O500" t="s">
        <v>988</v>
      </c>
      <c r="P500" t="s">
        <v>238</v>
      </c>
      <c r="Q500" t="s">
        <v>1371</v>
      </c>
      <c r="R500" t="s">
        <v>1302</v>
      </c>
    </row>
    <row r="501" spans="1:18" x14ac:dyDescent="0.3">
      <c r="A501" t="s">
        <v>1370</v>
      </c>
      <c r="B501">
        <v>7</v>
      </c>
      <c r="C501" t="s">
        <v>1</v>
      </c>
      <c r="D501">
        <v>3772</v>
      </c>
      <c r="E501">
        <v>1396</v>
      </c>
      <c r="F501">
        <v>3867</v>
      </c>
      <c r="G501">
        <v>1574</v>
      </c>
      <c r="H501">
        <v>95</v>
      </c>
      <c r="I501">
        <v>178</v>
      </c>
      <c r="J501" t="s">
        <v>1215</v>
      </c>
      <c r="K501" t="s">
        <v>1377</v>
      </c>
      <c r="L501" t="s">
        <v>361</v>
      </c>
      <c r="M501">
        <v>3819</v>
      </c>
      <c r="N501">
        <v>1485</v>
      </c>
      <c r="O501" t="s">
        <v>1378</v>
      </c>
      <c r="P501" t="s">
        <v>1053</v>
      </c>
      <c r="Q501" t="s">
        <v>1371</v>
      </c>
      <c r="R501" t="s">
        <v>704</v>
      </c>
    </row>
    <row r="502" spans="1:18" hidden="1" x14ac:dyDescent="0.3">
      <c r="A502" t="s">
        <v>1370</v>
      </c>
      <c r="B502">
        <v>8</v>
      </c>
      <c r="C502" t="s">
        <v>97</v>
      </c>
      <c r="D502">
        <v>1489</v>
      </c>
      <c r="E502">
        <v>1334</v>
      </c>
      <c r="F502">
        <v>1779</v>
      </c>
      <c r="G502">
        <v>1589</v>
      </c>
      <c r="H502">
        <v>290</v>
      </c>
      <c r="I502">
        <v>255</v>
      </c>
      <c r="J502" t="s">
        <v>752</v>
      </c>
      <c r="K502" t="s">
        <v>65</v>
      </c>
      <c r="L502" t="s">
        <v>972</v>
      </c>
      <c r="M502">
        <v>1634</v>
      </c>
      <c r="N502">
        <v>1461</v>
      </c>
      <c r="O502" t="s">
        <v>1379</v>
      </c>
      <c r="P502" t="s">
        <v>108</v>
      </c>
      <c r="Q502" t="s">
        <v>1371</v>
      </c>
      <c r="R502" t="s">
        <v>1380</v>
      </c>
    </row>
    <row r="503" spans="1:18" x14ac:dyDescent="0.3">
      <c r="A503" t="s">
        <v>1381</v>
      </c>
      <c r="B503">
        <v>0</v>
      </c>
      <c r="C503" t="s">
        <v>1</v>
      </c>
      <c r="D503">
        <v>626</v>
      </c>
      <c r="E503">
        <v>1353</v>
      </c>
      <c r="F503">
        <v>1075</v>
      </c>
      <c r="G503">
        <v>1571</v>
      </c>
      <c r="H503">
        <v>449</v>
      </c>
      <c r="I503">
        <v>218</v>
      </c>
      <c r="J503" t="s">
        <v>846</v>
      </c>
      <c r="K503" t="s">
        <v>747</v>
      </c>
      <c r="L503" t="s">
        <v>960</v>
      </c>
      <c r="M503">
        <v>850</v>
      </c>
      <c r="N503">
        <v>1462</v>
      </c>
      <c r="O503" t="s">
        <v>848</v>
      </c>
      <c r="P503" t="s">
        <v>19</v>
      </c>
      <c r="Q503" t="s">
        <v>1382</v>
      </c>
      <c r="R503" t="s">
        <v>411</v>
      </c>
    </row>
    <row r="504" spans="1:18" x14ac:dyDescent="0.3">
      <c r="A504" t="s">
        <v>1381</v>
      </c>
      <c r="B504">
        <v>1</v>
      </c>
      <c r="C504" t="s">
        <v>1</v>
      </c>
      <c r="D504">
        <v>3122</v>
      </c>
      <c r="E504">
        <v>1370</v>
      </c>
      <c r="F504">
        <v>3654</v>
      </c>
      <c r="G504">
        <v>1613</v>
      </c>
      <c r="H504">
        <v>532</v>
      </c>
      <c r="I504">
        <v>243</v>
      </c>
      <c r="J504" t="s">
        <v>208</v>
      </c>
      <c r="K504" t="s">
        <v>483</v>
      </c>
      <c r="L504" t="s">
        <v>981</v>
      </c>
      <c r="M504">
        <v>3388</v>
      </c>
      <c r="N504">
        <v>1491</v>
      </c>
      <c r="O504" t="s">
        <v>534</v>
      </c>
      <c r="P504" t="s">
        <v>102</v>
      </c>
      <c r="Q504" t="s">
        <v>1382</v>
      </c>
      <c r="R504" t="s">
        <v>20</v>
      </c>
    </row>
    <row r="505" spans="1:18" x14ac:dyDescent="0.3">
      <c r="A505" t="s">
        <v>1381</v>
      </c>
      <c r="B505">
        <v>2</v>
      </c>
      <c r="C505" t="s">
        <v>1</v>
      </c>
      <c r="D505">
        <v>1061</v>
      </c>
      <c r="E505">
        <v>1355</v>
      </c>
      <c r="F505">
        <v>1458</v>
      </c>
      <c r="G505">
        <v>1575</v>
      </c>
      <c r="H505">
        <v>397</v>
      </c>
      <c r="I505">
        <v>220</v>
      </c>
      <c r="J505" t="s">
        <v>177</v>
      </c>
      <c r="K505" t="s">
        <v>390</v>
      </c>
      <c r="L505" t="s">
        <v>424</v>
      </c>
      <c r="M505">
        <v>1259</v>
      </c>
      <c r="N505">
        <v>1465</v>
      </c>
      <c r="O505" t="s">
        <v>1017</v>
      </c>
      <c r="P505" t="s">
        <v>141</v>
      </c>
      <c r="Q505" t="s">
        <v>1382</v>
      </c>
      <c r="R505" t="s">
        <v>320</v>
      </c>
    </row>
    <row r="506" spans="1:18" x14ac:dyDescent="0.3">
      <c r="A506" t="s">
        <v>1381</v>
      </c>
      <c r="B506">
        <v>3</v>
      </c>
      <c r="C506" t="s">
        <v>1</v>
      </c>
      <c r="D506">
        <v>1963</v>
      </c>
      <c r="E506">
        <v>1360</v>
      </c>
      <c r="F506">
        <v>2254</v>
      </c>
      <c r="G506">
        <v>1578</v>
      </c>
      <c r="H506">
        <v>291</v>
      </c>
      <c r="I506">
        <v>218</v>
      </c>
      <c r="J506" t="s">
        <v>1383</v>
      </c>
      <c r="K506" t="s">
        <v>747</v>
      </c>
      <c r="L506" t="s">
        <v>567</v>
      </c>
      <c r="M506">
        <v>2108</v>
      </c>
      <c r="N506">
        <v>1469</v>
      </c>
      <c r="O506" t="s">
        <v>1384</v>
      </c>
      <c r="P506" t="s">
        <v>335</v>
      </c>
      <c r="Q506" t="s">
        <v>1382</v>
      </c>
      <c r="R506" t="s">
        <v>501</v>
      </c>
    </row>
    <row r="507" spans="1:18" x14ac:dyDescent="0.3">
      <c r="A507" t="s">
        <v>1381</v>
      </c>
      <c r="B507">
        <v>4</v>
      </c>
      <c r="C507" t="s">
        <v>1</v>
      </c>
      <c r="D507">
        <v>3539</v>
      </c>
      <c r="E507">
        <v>1381</v>
      </c>
      <c r="F507">
        <v>3905</v>
      </c>
      <c r="G507">
        <v>1623</v>
      </c>
      <c r="H507">
        <v>366</v>
      </c>
      <c r="I507">
        <v>242</v>
      </c>
      <c r="J507" t="s">
        <v>574</v>
      </c>
      <c r="K507" t="s">
        <v>1385</v>
      </c>
      <c r="L507" t="s">
        <v>476</v>
      </c>
      <c r="M507">
        <v>3722</v>
      </c>
      <c r="N507">
        <v>1502</v>
      </c>
      <c r="O507" t="s">
        <v>265</v>
      </c>
      <c r="P507" t="s">
        <v>69</v>
      </c>
      <c r="Q507" t="s">
        <v>1382</v>
      </c>
      <c r="R507" t="s">
        <v>1169</v>
      </c>
    </row>
    <row r="508" spans="1:18" x14ac:dyDescent="0.3">
      <c r="A508" t="s">
        <v>1381</v>
      </c>
      <c r="B508">
        <v>5</v>
      </c>
      <c r="C508" t="s">
        <v>1</v>
      </c>
      <c r="D508">
        <v>2775</v>
      </c>
      <c r="E508">
        <v>1396</v>
      </c>
      <c r="F508">
        <v>3158</v>
      </c>
      <c r="G508">
        <v>1590</v>
      </c>
      <c r="H508">
        <v>383</v>
      </c>
      <c r="I508">
        <v>194</v>
      </c>
      <c r="J508" t="s">
        <v>560</v>
      </c>
      <c r="K508" t="s">
        <v>667</v>
      </c>
      <c r="L508" t="s">
        <v>17</v>
      </c>
      <c r="M508">
        <v>2966</v>
      </c>
      <c r="N508">
        <v>1493</v>
      </c>
      <c r="O508" t="s">
        <v>388</v>
      </c>
      <c r="P508" t="s">
        <v>391</v>
      </c>
      <c r="Q508" t="s">
        <v>1382</v>
      </c>
      <c r="R508" t="s">
        <v>292</v>
      </c>
    </row>
    <row r="509" spans="1:18" x14ac:dyDescent="0.3">
      <c r="A509" t="s">
        <v>1381</v>
      </c>
      <c r="B509">
        <v>6</v>
      </c>
      <c r="C509" t="s">
        <v>1</v>
      </c>
      <c r="D509">
        <v>1498</v>
      </c>
      <c r="E509">
        <v>1334</v>
      </c>
      <c r="F509">
        <v>1774</v>
      </c>
      <c r="G509">
        <v>1582</v>
      </c>
      <c r="H509">
        <v>276</v>
      </c>
      <c r="I509">
        <v>248</v>
      </c>
      <c r="J509" t="s">
        <v>778</v>
      </c>
      <c r="K509" t="s">
        <v>544</v>
      </c>
      <c r="L509" t="s">
        <v>1386</v>
      </c>
      <c r="M509">
        <v>1636</v>
      </c>
      <c r="N509">
        <v>1458</v>
      </c>
      <c r="O509" t="s">
        <v>780</v>
      </c>
      <c r="P509" t="s">
        <v>1387</v>
      </c>
      <c r="Q509" t="s">
        <v>1382</v>
      </c>
      <c r="R509" t="s">
        <v>1380</v>
      </c>
    </row>
    <row r="510" spans="1:18" x14ac:dyDescent="0.3">
      <c r="A510" t="s">
        <v>1381</v>
      </c>
      <c r="B510">
        <v>7</v>
      </c>
      <c r="C510" t="s">
        <v>1</v>
      </c>
      <c r="D510">
        <v>2419</v>
      </c>
      <c r="E510">
        <v>1294</v>
      </c>
      <c r="F510">
        <v>2737</v>
      </c>
      <c r="G510">
        <v>1565</v>
      </c>
      <c r="H510">
        <v>318</v>
      </c>
      <c r="I510">
        <v>271</v>
      </c>
      <c r="J510" t="s">
        <v>1108</v>
      </c>
      <c r="K510" t="s">
        <v>450</v>
      </c>
      <c r="L510" t="s">
        <v>1321</v>
      </c>
      <c r="M510">
        <v>2578</v>
      </c>
      <c r="N510">
        <v>1429</v>
      </c>
      <c r="O510" t="s">
        <v>1388</v>
      </c>
      <c r="P510" t="s">
        <v>73</v>
      </c>
      <c r="Q510" t="s">
        <v>1382</v>
      </c>
      <c r="R510" t="s">
        <v>708</v>
      </c>
    </row>
    <row r="511" spans="1:18" hidden="1" x14ac:dyDescent="0.3">
      <c r="A511" t="s">
        <v>1381</v>
      </c>
      <c r="B511">
        <v>8</v>
      </c>
      <c r="C511" t="s">
        <v>97</v>
      </c>
      <c r="D511">
        <v>1498</v>
      </c>
      <c r="E511">
        <v>1336</v>
      </c>
      <c r="F511">
        <v>1778</v>
      </c>
      <c r="G511">
        <v>1580</v>
      </c>
      <c r="H511">
        <v>280</v>
      </c>
      <c r="I511">
        <v>244</v>
      </c>
      <c r="J511" t="s">
        <v>184</v>
      </c>
      <c r="K511" t="s">
        <v>954</v>
      </c>
      <c r="L511" t="s">
        <v>1376</v>
      </c>
      <c r="M511">
        <v>1638</v>
      </c>
      <c r="N511">
        <v>1458</v>
      </c>
      <c r="O511" t="s">
        <v>1389</v>
      </c>
      <c r="P511" t="s">
        <v>721</v>
      </c>
      <c r="Q511" t="s">
        <v>1382</v>
      </c>
      <c r="R511" t="s">
        <v>1390</v>
      </c>
    </row>
    <row r="512" spans="1:18" x14ac:dyDescent="0.3">
      <c r="A512" t="s">
        <v>1391</v>
      </c>
      <c r="B512">
        <v>0</v>
      </c>
      <c r="C512" t="s">
        <v>1</v>
      </c>
      <c r="D512">
        <v>578</v>
      </c>
      <c r="E512">
        <v>1395</v>
      </c>
      <c r="F512">
        <v>1035</v>
      </c>
      <c r="G512">
        <v>1610</v>
      </c>
      <c r="H512">
        <v>457</v>
      </c>
      <c r="I512">
        <v>215</v>
      </c>
      <c r="J512" t="s">
        <v>1392</v>
      </c>
      <c r="K512" t="s">
        <v>365</v>
      </c>
      <c r="L512" t="s">
        <v>948</v>
      </c>
      <c r="M512">
        <v>806</v>
      </c>
      <c r="N512">
        <v>1502</v>
      </c>
      <c r="O512" t="s">
        <v>1393</v>
      </c>
      <c r="P512" t="s">
        <v>102</v>
      </c>
      <c r="Q512" t="s">
        <v>1394</v>
      </c>
      <c r="R512" t="s">
        <v>36</v>
      </c>
    </row>
    <row r="513" spans="1:18" x14ac:dyDescent="0.3">
      <c r="A513" t="s">
        <v>1391</v>
      </c>
      <c r="B513">
        <v>1</v>
      </c>
      <c r="C513" t="s">
        <v>1</v>
      </c>
      <c r="D513">
        <v>1017</v>
      </c>
      <c r="E513">
        <v>1390</v>
      </c>
      <c r="F513">
        <v>1417</v>
      </c>
      <c r="G513">
        <v>1608</v>
      </c>
      <c r="H513">
        <v>400</v>
      </c>
      <c r="I513">
        <v>218</v>
      </c>
      <c r="J513" t="s">
        <v>167</v>
      </c>
      <c r="K513" t="s">
        <v>747</v>
      </c>
      <c r="L513" t="s">
        <v>1395</v>
      </c>
      <c r="M513">
        <v>1217</v>
      </c>
      <c r="N513">
        <v>1499</v>
      </c>
      <c r="O513" t="s">
        <v>641</v>
      </c>
      <c r="P513" t="s">
        <v>182</v>
      </c>
      <c r="Q513" t="s">
        <v>1394</v>
      </c>
      <c r="R513" t="s">
        <v>37</v>
      </c>
    </row>
    <row r="514" spans="1:18" x14ac:dyDescent="0.3">
      <c r="A514" t="s">
        <v>1391</v>
      </c>
      <c r="B514">
        <v>2</v>
      </c>
      <c r="C514" t="s">
        <v>1</v>
      </c>
      <c r="D514">
        <v>3323</v>
      </c>
      <c r="E514">
        <v>1405</v>
      </c>
      <c r="F514">
        <v>3823</v>
      </c>
      <c r="G514">
        <v>1617</v>
      </c>
      <c r="H514">
        <v>500</v>
      </c>
      <c r="I514">
        <v>212</v>
      </c>
      <c r="J514" t="s">
        <v>614</v>
      </c>
      <c r="K514" t="s">
        <v>968</v>
      </c>
      <c r="L514" t="s">
        <v>1215</v>
      </c>
      <c r="M514">
        <v>3573</v>
      </c>
      <c r="N514">
        <v>1511</v>
      </c>
      <c r="O514" t="s">
        <v>615</v>
      </c>
      <c r="P514" t="s">
        <v>182</v>
      </c>
      <c r="Q514" t="s">
        <v>1394</v>
      </c>
      <c r="R514" t="s">
        <v>1020</v>
      </c>
    </row>
    <row r="515" spans="1:18" x14ac:dyDescent="0.3">
      <c r="A515" t="s">
        <v>1391</v>
      </c>
      <c r="B515">
        <v>3</v>
      </c>
      <c r="C515" t="s">
        <v>1</v>
      </c>
      <c r="D515">
        <v>1932</v>
      </c>
      <c r="E515">
        <v>1384</v>
      </c>
      <c r="F515">
        <v>2214</v>
      </c>
      <c r="G515">
        <v>1599</v>
      </c>
      <c r="H515">
        <v>282</v>
      </c>
      <c r="I515">
        <v>215</v>
      </c>
      <c r="J515" t="s">
        <v>844</v>
      </c>
      <c r="K515" t="s">
        <v>365</v>
      </c>
      <c r="L515" t="s">
        <v>894</v>
      </c>
      <c r="M515">
        <v>2073</v>
      </c>
      <c r="N515">
        <v>1491</v>
      </c>
      <c r="O515" t="s">
        <v>845</v>
      </c>
      <c r="P515" t="s">
        <v>335</v>
      </c>
      <c r="Q515" t="s">
        <v>1394</v>
      </c>
      <c r="R515" t="s">
        <v>823</v>
      </c>
    </row>
    <row r="516" spans="1:18" x14ac:dyDescent="0.3">
      <c r="A516" t="s">
        <v>1391</v>
      </c>
      <c r="B516">
        <v>4</v>
      </c>
      <c r="C516" t="s">
        <v>1</v>
      </c>
      <c r="D516">
        <v>2313</v>
      </c>
      <c r="E516">
        <v>1309</v>
      </c>
      <c r="F516">
        <v>2695</v>
      </c>
      <c r="G516">
        <v>1597</v>
      </c>
      <c r="H516">
        <v>382</v>
      </c>
      <c r="I516">
        <v>288</v>
      </c>
      <c r="J516" t="s">
        <v>439</v>
      </c>
      <c r="K516" t="s">
        <v>566</v>
      </c>
      <c r="L516" t="s">
        <v>567</v>
      </c>
      <c r="M516">
        <v>2504</v>
      </c>
      <c r="N516">
        <v>1453</v>
      </c>
      <c r="O516" t="s">
        <v>384</v>
      </c>
      <c r="P516" t="s">
        <v>197</v>
      </c>
      <c r="Q516" t="s">
        <v>1394</v>
      </c>
      <c r="R516" t="s">
        <v>1207</v>
      </c>
    </row>
    <row r="517" spans="1:18" x14ac:dyDescent="0.3">
      <c r="A517" t="s">
        <v>1391</v>
      </c>
      <c r="B517">
        <v>5</v>
      </c>
      <c r="C517" t="s">
        <v>1</v>
      </c>
      <c r="D517">
        <v>2697</v>
      </c>
      <c r="E517">
        <v>1410</v>
      </c>
      <c r="F517">
        <v>3119</v>
      </c>
      <c r="G517">
        <v>1603</v>
      </c>
      <c r="H517">
        <v>422</v>
      </c>
      <c r="I517">
        <v>193</v>
      </c>
      <c r="J517" t="s">
        <v>245</v>
      </c>
      <c r="K517" t="s">
        <v>1396</v>
      </c>
      <c r="L517" t="s">
        <v>981</v>
      </c>
      <c r="M517">
        <v>2908</v>
      </c>
      <c r="N517">
        <v>1506</v>
      </c>
      <c r="O517" t="s">
        <v>242</v>
      </c>
      <c r="P517" t="s">
        <v>750</v>
      </c>
      <c r="Q517" t="s">
        <v>1394</v>
      </c>
      <c r="R517" t="s">
        <v>1027</v>
      </c>
    </row>
    <row r="518" spans="1:18" x14ac:dyDescent="0.3">
      <c r="A518" t="s">
        <v>1391</v>
      </c>
      <c r="B518">
        <v>6</v>
      </c>
      <c r="C518" t="s">
        <v>1</v>
      </c>
      <c r="D518">
        <v>1461</v>
      </c>
      <c r="E518">
        <v>1367</v>
      </c>
      <c r="F518">
        <v>1746</v>
      </c>
      <c r="G518">
        <v>1611</v>
      </c>
      <c r="H518">
        <v>285</v>
      </c>
      <c r="I518">
        <v>244</v>
      </c>
      <c r="J518" t="s">
        <v>1397</v>
      </c>
      <c r="K518" t="s">
        <v>954</v>
      </c>
      <c r="L518" t="s">
        <v>1321</v>
      </c>
      <c r="M518">
        <v>1603</v>
      </c>
      <c r="N518">
        <v>1489</v>
      </c>
      <c r="O518" t="s">
        <v>1398</v>
      </c>
      <c r="P518" t="s">
        <v>411</v>
      </c>
      <c r="Q518" t="s">
        <v>1394</v>
      </c>
      <c r="R518" t="s">
        <v>1399</v>
      </c>
    </row>
    <row r="519" spans="1:18" x14ac:dyDescent="0.3">
      <c r="A519" t="s">
        <v>1400</v>
      </c>
      <c r="B519">
        <v>0</v>
      </c>
      <c r="C519" t="s">
        <v>1</v>
      </c>
      <c r="D519">
        <v>432</v>
      </c>
      <c r="E519">
        <v>1358</v>
      </c>
      <c r="F519">
        <v>873</v>
      </c>
      <c r="G519">
        <v>1677</v>
      </c>
      <c r="H519">
        <v>441</v>
      </c>
      <c r="I519">
        <v>319</v>
      </c>
      <c r="J519" t="s">
        <v>1401</v>
      </c>
      <c r="K519" t="s">
        <v>1373</v>
      </c>
      <c r="L519" t="s">
        <v>209</v>
      </c>
      <c r="M519">
        <v>652</v>
      </c>
      <c r="N519">
        <v>1517</v>
      </c>
      <c r="O519" t="s">
        <v>1402</v>
      </c>
      <c r="P519" t="s">
        <v>19</v>
      </c>
      <c r="Q519" t="s">
        <v>1403</v>
      </c>
      <c r="R519" t="s">
        <v>1404</v>
      </c>
    </row>
    <row r="520" spans="1:18" x14ac:dyDescent="0.3">
      <c r="A520" t="s">
        <v>1400</v>
      </c>
      <c r="B520">
        <v>1</v>
      </c>
      <c r="C520" t="s">
        <v>1</v>
      </c>
      <c r="D520">
        <v>817</v>
      </c>
      <c r="E520">
        <v>1430</v>
      </c>
      <c r="F520">
        <v>1117</v>
      </c>
      <c r="G520">
        <v>1639</v>
      </c>
      <c r="H520">
        <v>300</v>
      </c>
      <c r="I520">
        <v>209</v>
      </c>
      <c r="J520" t="s">
        <v>1405</v>
      </c>
      <c r="K520" t="s">
        <v>873</v>
      </c>
      <c r="L520" t="s">
        <v>492</v>
      </c>
      <c r="M520">
        <v>967</v>
      </c>
      <c r="N520">
        <v>1534</v>
      </c>
      <c r="O520" t="s">
        <v>1406</v>
      </c>
      <c r="P520" t="s">
        <v>182</v>
      </c>
      <c r="Q520" t="s">
        <v>1403</v>
      </c>
      <c r="R520" t="s">
        <v>69</v>
      </c>
    </row>
    <row r="521" spans="1:18" x14ac:dyDescent="0.3">
      <c r="A521" t="s">
        <v>1400</v>
      </c>
      <c r="B521">
        <v>2</v>
      </c>
      <c r="C521" t="s">
        <v>1</v>
      </c>
      <c r="D521">
        <v>2008</v>
      </c>
      <c r="E521">
        <v>1406</v>
      </c>
      <c r="F521">
        <v>2304</v>
      </c>
      <c r="G521">
        <v>1624</v>
      </c>
      <c r="H521">
        <v>296</v>
      </c>
      <c r="I521">
        <v>218</v>
      </c>
      <c r="J521" t="s">
        <v>847</v>
      </c>
      <c r="K521" t="s">
        <v>747</v>
      </c>
      <c r="L521" t="s">
        <v>166</v>
      </c>
      <c r="M521">
        <v>2156</v>
      </c>
      <c r="N521">
        <v>1515</v>
      </c>
      <c r="O521" t="s">
        <v>1407</v>
      </c>
      <c r="P521" t="s">
        <v>335</v>
      </c>
      <c r="Q521" t="s">
        <v>1403</v>
      </c>
      <c r="R521" t="s">
        <v>348</v>
      </c>
    </row>
    <row r="522" spans="1:18" x14ac:dyDescent="0.3">
      <c r="A522" t="s">
        <v>1400</v>
      </c>
      <c r="B522">
        <v>3</v>
      </c>
      <c r="C522" t="s">
        <v>1</v>
      </c>
      <c r="D522">
        <v>2844</v>
      </c>
      <c r="E522">
        <v>1428</v>
      </c>
      <c r="F522">
        <v>3223</v>
      </c>
      <c r="G522">
        <v>1632</v>
      </c>
      <c r="H522">
        <v>379</v>
      </c>
      <c r="I522">
        <v>204</v>
      </c>
      <c r="J522" t="s">
        <v>553</v>
      </c>
      <c r="K522" t="s">
        <v>436</v>
      </c>
      <c r="L522" t="s">
        <v>356</v>
      </c>
      <c r="M522">
        <v>3033</v>
      </c>
      <c r="N522">
        <v>1530</v>
      </c>
      <c r="O522" t="s">
        <v>555</v>
      </c>
      <c r="P522" t="s">
        <v>57</v>
      </c>
      <c r="Q522" t="s">
        <v>1403</v>
      </c>
      <c r="R522" t="s">
        <v>1408</v>
      </c>
    </row>
    <row r="523" spans="1:18" x14ac:dyDescent="0.3">
      <c r="A523" t="s">
        <v>1400</v>
      </c>
      <c r="B523">
        <v>4</v>
      </c>
      <c r="C523" t="s">
        <v>1</v>
      </c>
      <c r="D523">
        <v>1137</v>
      </c>
      <c r="E523">
        <v>1421</v>
      </c>
      <c r="F523">
        <v>1506</v>
      </c>
      <c r="G523">
        <v>1629</v>
      </c>
      <c r="H523">
        <v>369</v>
      </c>
      <c r="I523">
        <v>208</v>
      </c>
      <c r="J523" t="s">
        <v>478</v>
      </c>
      <c r="K523" t="s">
        <v>810</v>
      </c>
      <c r="L523" t="s">
        <v>305</v>
      </c>
      <c r="M523">
        <v>1321</v>
      </c>
      <c r="N523">
        <v>1525</v>
      </c>
      <c r="O523" t="s">
        <v>480</v>
      </c>
      <c r="P523" t="s">
        <v>155</v>
      </c>
      <c r="Q523" t="s">
        <v>1403</v>
      </c>
      <c r="R523" t="s">
        <v>64</v>
      </c>
    </row>
    <row r="524" spans="1:18" x14ac:dyDescent="0.3">
      <c r="A524" t="s">
        <v>1400</v>
      </c>
      <c r="B524">
        <v>5</v>
      </c>
      <c r="C524" t="s">
        <v>1</v>
      </c>
      <c r="D524">
        <v>2405</v>
      </c>
      <c r="E524">
        <v>1331</v>
      </c>
      <c r="F524">
        <v>2791</v>
      </c>
      <c r="G524">
        <v>1619</v>
      </c>
      <c r="H524">
        <v>386</v>
      </c>
      <c r="I524">
        <v>288</v>
      </c>
      <c r="J524" t="s">
        <v>726</v>
      </c>
      <c r="K524" t="s">
        <v>566</v>
      </c>
      <c r="L524" t="s">
        <v>401</v>
      </c>
      <c r="M524">
        <v>2598</v>
      </c>
      <c r="N524">
        <v>1475</v>
      </c>
      <c r="O524" t="s">
        <v>727</v>
      </c>
      <c r="P524" t="s">
        <v>198</v>
      </c>
      <c r="Q524" t="s">
        <v>1403</v>
      </c>
      <c r="R524" t="s">
        <v>1090</v>
      </c>
    </row>
    <row r="525" spans="1:18" x14ac:dyDescent="0.3">
      <c r="A525" t="s">
        <v>1400</v>
      </c>
      <c r="B525">
        <v>6</v>
      </c>
      <c r="C525" t="s">
        <v>1</v>
      </c>
      <c r="D525">
        <v>1584</v>
      </c>
      <c r="E525">
        <v>1391</v>
      </c>
      <c r="F525">
        <v>1758</v>
      </c>
      <c r="G525">
        <v>1556</v>
      </c>
      <c r="H525">
        <v>174</v>
      </c>
      <c r="I525">
        <v>165</v>
      </c>
      <c r="J525" t="s">
        <v>1409</v>
      </c>
      <c r="K525" t="s">
        <v>1031</v>
      </c>
      <c r="L525" t="s">
        <v>1410</v>
      </c>
      <c r="M525">
        <v>1671</v>
      </c>
      <c r="N525">
        <v>1473</v>
      </c>
      <c r="O525" t="s">
        <v>1411</v>
      </c>
      <c r="P525" t="s">
        <v>1195</v>
      </c>
      <c r="Q525" t="s">
        <v>1403</v>
      </c>
      <c r="R525" t="s">
        <v>1412</v>
      </c>
    </row>
    <row r="526" spans="1:18" x14ac:dyDescent="0.3">
      <c r="A526" t="s">
        <v>1413</v>
      </c>
      <c r="B526">
        <v>0</v>
      </c>
      <c r="C526" t="s">
        <v>1</v>
      </c>
      <c r="D526">
        <v>3173</v>
      </c>
      <c r="E526">
        <v>1424</v>
      </c>
      <c r="F526">
        <v>3674</v>
      </c>
      <c r="G526">
        <v>1651</v>
      </c>
      <c r="H526">
        <v>501</v>
      </c>
      <c r="I526">
        <v>227</v>
      </c>
      <c r="J526" t="s">
        <v>666</v>
      </c>
      <c r="K526" t="s">
        <v>1414</v>
      </c>
      <c r="L526" t="s">
        <v>364</v>
      </c>
      <c r="M526">
        <v>3423</v>
      </c>
      <c r="N526">
        <v>1537</v>
      </c>
      <c r="O526" t="s">
        <v>664</v>
      </c>
      <c r="P526" t="s">
        <v>13</v>
      </c>
      <c r="Q526" t="s">
        <v>1415</v>
      </c>
      <c r="R526" t="s">
        <v>940</v>
      </c>
    </row>
    <row r="527" spans="1:18" x14ac:dyDescent="0.3">
      <c r="A527" t="s">
        <v>1413</v>
      </c>
      <c r="B527">
        <v>1</v>
      </c>
      <c r="C527" t="s">
        <v>1</v>
      </c>
      <c r="D527">
        <v>1084</v>
      </c>
      <c r="E527">
        <v>1396</v>
      </c>
      <c r="F527">
        <v>1484</v>
      </c>
      <c r="G527">
        <v>1611</v>
      </c>
      <c r="H527">
        <v>400</v>
      </c>
      <c r="I527">
        <v>215</v>
      </c>
      <c r="J527" t="s">
        <v>167</v>
      </c>
      <c r="K527" t="s">
        <v>365</v>
      </c>
      <c r="L527" t="s">
        <v>356</v>
      </c>
      <c r="M527">
        <v>1284</v>
      </c>
      <c r="N527">
        <v>1503</v>
      </c>
      <c r="O527" t="s">
        <v>641</v>
      </c>
      <c r="P527" t="s">
        <v>182</v>
      </c>
      <c r="Q527" t="s">
        <v>1415</v>
      </c>
      <c r="R527" t="s">
        <v>255</v>
      </c>
    </row>
    <row r="528" spans="1:18" x14ac:dyDescent="0.3">
      <c r="A528" t="s">
        <v>1413</v>
      </c>
      <c r="B528">
        <v>2</v>
      </c>
      <c r="C528" t="s">
        <v>1</v>
      </c>
      <c r="D528">
        <v>1981</v>
      </c>
      <c r="E528">
        <v>1397</v>
      </c>
      <c r="F528">
        <v>2278</v>
      </c>
      <c r="G528">
        <v>1618</v>
      </c>
      <c r="H528">
        <v>297</v>
      </c>
      <c r="I528">
        <v>221</v>
      </c>
      <c r="J528" t="s">
        <v>867</v>
      </c>
      <c r="K528" t="s">
        <v>24</v>
      </c>
      <c r="L528" t="s">
        <v>401</v>
      </c>
      <c r="M528">
        <v>2129</v>
      </c>
      <c r="N528">
        <v>1507</v>
      </c>
      <c r="O528" t="s">
        <v>408</v>
      </c>
      <c r="P528" t="s">
        <v>182</v>
      </c>
      <c r="Q528" t="s">
        <v>1415</v>
      </c>
      <c r="R528" t="s">
        <v>556</v>
      </c>
    </row>
    <row r="529" spans="1:18" x14ac:dyDescent="0.3">
      <c r="A529" t="s">
        <v>1413</v>
      </c>
      <c r="B529">
        <v>3</v>
      </c>
      <c r="C529" t="s">
        <v>1</v>
      </c>
      <c r="D529">
        <v>800</v>
      </c>
      <c r="E529">
        <v>1399</v>
      </c>
      <c r="F529">
        <v>1090</v>
      </c>
      <c r="G529">
        <v>1610</v>
      </c>
      <c r="H529">
        <v>290</v>
      </c>
      <c r="I529">
        <v>211</v>
      </c>
      <c r="J529" t="s">
        <v>752</v>
      </c>
      <c r="K529" t="s">
        <v>896</v>
      </c>
      <c r="L529" t="s">
        <v>294</v>
      </c>
      <c r="M529">
        <v>945</v>
      </c>
      <c r="N529">
        <v>1504</v>
      </c>
      <c r="O529" t="s">
        <v>754</v>
      </c>
      <c r="P529" t="s">
        <v>182</v>
      </c>
      <c r="Q529" t="s">
        <v>1415</v>
      </c>
      <c r="R529" t="s">
        <v>662</v>
      </c>
    </row>
    <row r="530" spans="1:18" x14ac:dyDescent="0.3">
      <c r="A530" t="s">
        <v>1413</v>
      </c>
      <c r="B530">
        <v>4</v>
      </c>
      <c r="C530" t="s">
        <v>1</v>
      </c>
      <c r="D530">
        <v>441</v>
      </c>
      <c r="E530">
        <v>1320</v>
      </c>
      <c r="F530">
        <v>859</v>
      </c>
      <c r="G530">
        <v>1642</v>
      </c>
      <c r="H530">
        <v>418</v>
      </c>
      <c r="I530">
        <v>322</v>
      </c>
      <c r="J530" t="s">
        <v>490</v>
      </c>
      <c r="K530" t="s">
        <v>1416</v>
      </c>
      <c r="L530" t="s">
        <v>441</v>
      </c>
      <c r="M530">
        <v>650</v>
      </c>
      <c r="N530">
        <v>1481</v>
      </c>
      <c r="O530" t="s">
        <v>493</v>
      </c>
      <c r="P530" t="s">
        <v>262</v>
      </c>
      <c r="Q530" t="s">
        <v>1415</v>
      </c>
      <c r="R530" t="s">
        <v>1417</v>
      </c>
    </row>
    <row r="531" spans="1:18" x14ac:dyDescent="0.3">
      <c r="A531" t="s">
        <v>1413</v>
      </c>
      <c r="B531">
        <v>5</v>
      </c>
      <c r="C531" t="s">
        <v>1</v>
      </c>
      <c r="D531">
        <v>2377</v>
      </c>
      <c r="E531">
        <v>1326</v>
      </c>
      <c r="F531">
        <v>2773</v>
      </c>
      <c r="G531">
        <v>1609</v>
      </c>
      <c r="H531">
        <v>396</v>
      </c>
      <c r="I531">
        <v>283</v>
      </c>
      <c r="J531" t="s">
        <v>1145</v>
      </c>
      <c r="K531" t="s">
        <v>1418</v>
      </c>
      <c r="L531" t="s">
        <v>11</v>
      </c>
      <c r="M531">
        <v>2575</v>
      </c>
      <c r="N531">
        <v>1467</v>
      </c>
      <c r="O531" t="s">
        <v>1144</v>
      </c>
      <c r="P531" t="s">
        <v>57</v>
      </c>
      <c r="Q531" t="s">
        <v>1415</v>
      </c>
      <c r="R531" t="s">
        <v>563</v>
      </c>
    </row>
    <row r="532" spans="1:18" x14ac:dyDescent="0.3">
      <c r="A532" t="s">
        <v>1413</v>
      </c>
      <c r="B532">
        <v>6</v>
      </c>
      <c r="C532" t="s">
        <v>1</v>
      </c>
      <c r="D532">
        <v>2779</v>
      </c>
      <c r="E532">
        <v>1434</v>
      </c>
      <c r="F532">
        <v>3191</v>
      </c>
      <c r="G532">
        <v>1627</v>
      </c>
      <c r="H532">
        <v>412</v>
      </c>
      <c r="I532">
        <v>193</v>
      </c>
      <c r="J532" t="s">
        <v>1419</v>
      </c>
      <c r="K532" t="s">
        <v>1396</v>
      </c>
      <c r="L532" t="s">
        <v>948</v>
      </c>
      <c r="M532">
        <v>2985</v>
      </c>
      <c r="N532">
        <v>1530</v>
      </c>
      <c r="O532" t="s">
        <v>1420</v>
      </c>
      <c r="P532" t="s">
        <v>391</v>
      </c>
      <c r="Q532" t="s">
        <v>1415</v>
      </c>
      <c r="R532" t="s">
        <v>750</v>
      </c>
    </row>
    <row r="533" spans="1:18" x14ac:dyDescent="0.3">
      <c r="A533" t="s">
        <v>1413</v>
      </c>
      <c r="B533">
        <v>8</v>
      </c>
      <c r="C533" t="s">
        <v>1</v>
      </c>
      <c r="D533">
        <v>1523</v>
      </c>
      <c r="E533">
        <v>1373</v>
      </c>
      <c r="F533">
        <v>1787</v>
      </c>
      <c r="G533">
        <v>1614</v>
      </c>
      <c r="H533">
        <v>264</v>
      </c>
      <c r="I533">
        <v>241</v>
      </c>
      <c r="J533" t="s">
        <v>773</v>
      </c>
      <c r="K533" t="s">
        <v>865</v>
      </c>
      <c r="L533" t="s">
        <v>144</v>
      </c>
      <c r="M533">
        <v>1655</v>
      </c>
      <c r="N533">
        <v>1493</v>
      </c>
      <c r="O533" t="s">
        <v>1421</v>
      </c>
      <c r="P533" t="s">
        <v>511</v>
      </c>
      <c r="Q533" t="s">
        <v>1415</v>
      </c>
      <c r="R533" t="s">
        <v>80</v>
      </c>
    </row>
    <row r="534" spans="1:18" x14ac:dyDescent="0.3">
      <c r="A534" t="s">
        <v>1422</v>
      </c>
      <c r="B534">
        <v>0</v>
      </c>
      <c r="C534" t="s">
        <v>1</v>
      </c>
      <c r="D534">
        <v>382</v>
      </c>
      <c r="E534">
        <v>1357</v>
      </c>
      <c r="F534">
        <v>823</v>
      </c>
      <c r="G534">
        <v>1678</v>
      </c>
      <c r="H534">
        <v>441</v>
      </c>
      <c r="I534">
        <v>321</v>
      </c>
      <c r="J534" t="s">
        <v>1401</v>
      </c>
      <c r="K534" t="s">
        <v>1423</v>
      </c>
      <c r="L534" t="s">
        <v>294</v>
      </c>
      <c r="M534">
        <v>602</v>
      </c>
      <c r="N534">
        <v>1517</v>
      </c>
      <c r="O534" t="s">
        <v>1402</v>
      </c>
      <c r="P534" t="s">
        <v>13</v>
      </c>
      <c r="Q534" t="s">
        <v>1424</v>
      </c>
      <c r="R534" t="s">
        <v>1425</v>
      </c>
    </row>
    <row r="535" spans="1:18" x14ac:dyDescent="0.3">
      <c r="A535" t="s">
        <v>1422</v>
      </c>
      <c r="B535">
        <v>1</v>
      </c>
      <c r="C535" t="s">
        <v>1</v>
      </c>
      <c r="D535">
        <v>1958</v>
      </c>
      <c r="E535">
        <v>1408</v>
      </c>
      <c r="F535">
        <v>2241</v>
      </c>
      <c r="G535">
        <v>1618</v>
      </c>
      <c r="H535">
        <v>283</v>
      </c>
      <c r="I535">
        <v>210</v>
      </c>
      <c r="J535" t="s">
        <v>1426</v>
      </c>
      <c r="K535" t="s">
        <v>184</v>
      </c>
      <c r="L535" t="s">
        <v>600</v>
      </c>
      <c r="M535">
        <v>2099</v>
      </c>
      <c r="N535">
        <v>1513</v>
      </c>
      <c r="O535" t="s">
        <v>1427</v>
      </c>
      <c r="P535" t="s">
        <v>102</v>
      </c>
      <c r="Q535" t="s">
        <v>1424</v>
      </c>
      <c r="R535" t="s">
        <v>211</v>
      </c>
    </row>
    <row r="536" spans="1:18" x14ac:dyDescent="0.3">
      <c r="A536" t="s">
        <v>1422</v>
      </c>
      <c r="B536">
        <v>2</v>
      </c>
      <c r="C536" t="s">
        <v>1</v>
      </c>
      <c r="D536">
        <v>768</v>
      </c>
      <c r="E536">
        <v>1429</v>
      </c>
      <c r="F536">
        <v>1064</v>
      </c>
      <c r="G536">
        <v>1637</v>
      </c>
      <c r="H536">
        <v>296</v>
      </c>
      <c r="I536">
        <v>208</v>
      </c>
      <c r="J536" t="s">
        <v>847</v>
      </c>
      <c r="K536" t="s">
        <v>810</v>
      </c>
      <c r="L536" t="s">
        <v>47</v>
      </c>
      <c r="M536">
        <v>916</v>
      </c>
      <c r="N536">
        <v>1533</v>
      </c>
      <c r="O536" t="s">
        <v>1407</v>
      </c>
      <c r="P536" t="s">
        <v>182</v>
      </c>
      <c r="Q536" t="s">
        <v>1424</v>
      </c>
      <c r="R536" t="s">
        <v>934</v>
      </c>
    </row>
    <row r="537" spans="1:18" x14ac:dyDescent="0.3">
      <c r="A537" t="s">
        <v>1422</v>
      </c>
      <c r="B537">
        <v>4</v>
      </c>
      <c r="C537" t="s">
        <v>1</v>
      </c>
      <c r="D537">
        <v>3135</v>
      </c>
      <c r="E537">
        <v>1412</v>
      </c>
      <c r="F537">
        <v>3548</v>
      </c>
      <c r="G537">
        <v>1624</v>
      </c>
      <c r="H537">
        <v>413</v>
      </c>
      <c r="I537">
        <v>212</v>
      </c>
      <c r="J537" t="s">
        <v>836</v>
      </c>
      <c r="K537" t="s">
        <v>968</v>
      </c>
      <c r="L537" t="s">
        <v>645</v>
      </c>
      <c r="M537">
        <v>3341</v>
      </c>
      <c r="N537">
        <v>1518</v>
      </c>
      <c r="O537" t="s">
        <v>837</v>
      </c>
      <c r="P537" t="s">
        <v>197</v>
      </c>
      <c r="Q537" t="s">
        <v>1424</v>
      </c>
      <c r="R537" t="s">
        <v>183</v>
      </c>
    </row>
    <row r="538" spans="1:18" x14ac:dyDescent="0.3">
      <c r="A538" t="s">
        <v>1422</v>
      </c>
      <c r="B538">
        <v>5</v>
      </c>
      <c r="C538" t="s">
        <v>1</v>
      </c>
      <c r="D538">
        <v>1084</v>
      </c>
      <c r="E538">
        <v>1417</v>
      </c>
      <c r="F538">
        <v>1456</v>
      </c>
      <c r="G538">
        <v>1627</v>
      </c>
      <c r="H538">
        <v>372</v>
      </c>
      <c r="I538">
        <v>210</v>
      </c>
      <c r="J538" t="s">
        <v>670</v>
      </c>
      <c r="K538" t="s">
        <v>184</v>
      </c>
      <c r="L538" t="s">
        <v>305</v>
      </c>
      <c r="M538">
        <v>1270</v>
      </c>
      <c r="N538">
        <v>1522</v>
      </c>
      <c r="O538" t="s">
        <v>671</v>
      </c>
      <c r="P538" t="s">
        <v>57</v>
      </c>
      <c r="Q538" t="s">
        <v>1424</v>
      </c>
      <c r="R538" t="s">
        <v>1428</v>
      </c>
    </row>
    <row r="539" spans="1:18" x14ac:dyDescent="0.3">
      <c r="A539" t="s">
        <v>1422</v>
      </c>
      <c r="B539">
        <v>7</v>
      </c>
      <c r="C539" t="s">
        <v>1</v>
      </c>
      <c r="D539">
        <v>2348</v>
      </c>
      <c r="E539">
        <v>1318</v>
      </c>
      <c r="F539">
        <v>2735</v>
      </c>
      <c r="G539">
        <v>1609</v>
      </c>
      <c r="H539">
        <v>387</v>
      </c>
      <c r="I539">
        <v>291</v>
      </c>
      <c r="J539" t="s">
        <v>711</v>
      </c>
      <c r="K539" t="s">
        <v>596</v>
      </c>
      <c r="L539" t="s">
        <v>567</v>
      </c>
      <c r="M539">
        <v>2541</v>
      </c>
      <c r="N539">
        <v>1463</v>
      </c>
      <c r="O539" t="s">
        <v>761</v>
      </c>
      <c r="P539" t="s">
        <v>642</v>
      </c>
      <c r="Q539" t="s">
        <v>1424</v>
      </c>
      <c r="R539" t="s">
        <v>1429</v>
      </c>
    </row>
    <row r="540" spans="1:18" x14ac:dyDescent="0.3">
      <c r="A540" t="s">
        <v>1422</v>
      </c>
      <c r="B540">
        <v>8</v>
      </c>
      <c r="C540" t="s">
        <v>1</v>
      </c>
      <c r="D540">
        <v>1501</v>
      </c>
      <c r="E540">
        <v>1385</v>
      </c>
      <c r="F540">
        <v>1690</v>
      </c>
      <c r="G540">
        <v>1550</v>
      </c>
      <c r="H540">
        <v>189</v>
      </c>
      <c r="I540">
        <v>165</v>
      </c>
      <c r="J540" t="s">
        <v>1430</v>
      </c>
      <c r="K540" t="s">
        <v>1031</v>
      </c>
      <c r="L540" t="s">
        <v>1376</v>
      </c>
      <c r="M540">
        <v>1595</v>
      </c>
      <c r="N540">
        <v>1467</v>
      </c>
      <c r="O540" t="s">
        <v>1431</v>
      </c>
      <c r="P540" t="s">
        <v>690</v>
      </c>
      <c r="Q540" t="s">
        <v>1424</v>
      </c>
      <c r="R540" t="s">
        <v>946</v>
      </c>
    </row>
    <row r="541" spans="1:18" x14ac:dyDescent="0.3">
      <c r="A541" t="s">
        <v>1432</v>
      </c>
      <c r="B541">
        <v>0</v>
      </c>
      <c r="C541" t="s">
        <v>1</v>
      </c>
      <c r="D541">
        <v>3173</v>
      </c>
      <c r="E541">
        <v>1458</v>
      </c>
      <c r="F541">
        <v>3657</v>
      </c>
      <c r="G541">
        <v>1680</v>
      </c>
      <c r="H541">
        <v>484</v>
      </c>
      <c r="I541">
        <v>222</v>
      </c>
      <c r="J541" t="s">
        <v>1298</v>
      </c>
      <c r="K541" t="s">
        <v>847</v>
      </c>
      <c r="L541" t="s">
        <v>1433</v>
      </c>
      <c r="M541">
        <v>3415</v>
      </c>
      <c r="N541">
        <v>1569</v>
      </c>
      <c r="O541" t="s">
        <v>1299</v>
      </c>
      <c r="P541" t="s">
        <v>13</v>
      </c>
      <c r="Q541" t="s">
        <v>1233</v>
      </c>
      <c r="R541" t="s">
        <v>1434</v>
      </c>
    </row>
    <row r="542" spans="1:18" x14ac:dyDescent="0.3">
      <c r="A542" t="s">
        <v>1432</v>
      </c>
      <c r="B542">
        <v>1</v>
      </c>
      <c r="C542" t="s">
        <v>1</v>
      </c>
      <c r="D542">
        <v>2768</v>
      </c>
      <c r="E542">
        <v>1447</v>
      </c>
      <c r="F542">
        <v>3202</v>
      </c>
      <c r="G542">
        <v>1659</v>
      </c>
      <c r="H542">
        <v>434</v>
      </c>
      <c r="I542">
        <v>212</v>
      </c>
      <c r="J542" t="s">
        <v>1435</v>
      </c>
      <c r="K542" t="s">
        <v>968</v>
      </c>
      <c r="L542" t="s">
        <v>253</v>
      </c>
      <c r="M542">
        <v>2985</v>
      </c>
      <c r="N542">
        <v>1553</v>
      </c>
      <c r="O542" t="s">
        <v>1436</v>
      </c>
      <c r="P542" t="s">
        <v>102</v>
      </c>
      <c r="Q542" t="s">
        <v>1233</v>
      </c>
      <c r="R542" t="s">
        <v>1346</v>
      </c>
    </row>
    <row r="543" spans="1:18" x14ac:dyDescent="0.3">
      <c r="A543" t="s">
        <v>1432</v>
      </c>
      <c r="B543">
        <v>2</v>
      </c>
      <c r="C543" t="s">
        <v>1</v>
      </c>
      <c r="D543">
        <v>839</v>
      </c>
      <c r="E543">
        <v>1439</v>
      </c>
      <c r="F543">
        <v>1117</v>
      </c>
      <c r="G543">
        <v>1650</v>
      </c>
      <c r="H543">
        <v>278</v>
      </c>
      <c r="I543">
        <v>211</v>
      </c>
      <c r="J543" t="s">
        <v>26</v>
      </c>
      <c r="K543" t="s">
        <v>896</v>
      </c>
      <c r="L543" t="s">
        <v>239</v>
      </c>
      <c r="M543">
        <v>978</v>
      </c>
      <c r="N543">
        <v>1544</v>
      </c>
      <c r="O543" t="s">
        <v>29</v>
      </c>
      <c r="P543" t="s">
        <v>182</v>
      </c>
      <c r="Q543" t="s">
        <v>1233</v>
      </c>
      <c r="R543" t="s">
        <v>1210</v>
      </c>
    </row>
    <row r="544" spans="1:18" x14ac:dyDescent="0.3">
      <c r="A544" t="s">
        <v>1432</v>
      </c>
      <c r="B544">
        <v>3</v>
      </c>
      <c r="C544" t="s">
        <v>1</v>
      </c>
      <c r="D544">
        <v>1995</v>
      </c>
      <c r="E544">
        <v>1432</v>
      </c>
      <c r="F544">
        <v>2287</v>
      </c>
      <c r="G544">
        <v>1651</v>
      </c>
      <c r="H544">
        <v>292</v>
      </c>
      <c r="I544">
        <v>219</v>
      </c>
      <c r="J544" t="s">
        <v>753</v>
      </c>
      <c r="K544" t="s">
        <v>753</v>
      </c>
      <c r="L544" t="s">
        <v>567</v>
      </c>
      <c r="M544">
        <v>2141</v>
      </c>
      <c r="N544">
        <v>1541</v>
      </c>
      <c r="O544" t="s">
        <v>1437</v>
      </c>
      <c r="P544" t="s">
        <v>182</v>
      </c>
      <c r="Q544" t="s">
        <v>1233</v>
      </c>
      <c r="R544" t="s">
        <v>941</v>
      </c>
    </row>
    <row r="545" spans="1:18" x14ac:dyDescent="0.3">
      <c r="A545" t="s">
        <v>1432</v>
      </c>
      <c r="B545">
        <v>4</v>
      </c>
      <c r="C545" t="s">
        <v>1</v>
      </c>
      <c r="D545">
        <v>1129</v>
      </c>
      <c r="E545">
        <v>1430</v>
      </c>
      <c r="F545">
        <v>1493</v>
      </c>
      <c r="G545">
        <v>1647</v>
      </c>
      <c r="H545">
        <v>364</v>
      </c>
      <c r="I545">
        <v>217</v>
      </c>
      <c r="J545" t="s">
        <v>651</v>
      </c>
      <c r="K545" t="s">
        <v>372</v>
      </c>
      <c r="L545" t="s">
        <v>113</v>
      </c>
      <c r="M545">
        <v>1311</v>
      </c>
      <c r="N545">
        <v>1538</v>
      </c>
      <c r="O545" t="s">
        <v>1240</v>
      </c>
      <c r="P545" t="s">
        <v>386</v>
      </c>
      <c r="Q545" t="s">
        <v>1233</v>
      </c>
      <c r="R545" t="s">
        <v>1438</v>
      </c>
    </row>
    <row r="546" spans="1:18" x14ac:dyDescent="0.3">
      <c r="A546" t="s">
        <v>1432</v>
      </c>
      <c r="B546">
        <v>5</v>
      </c>
      <c r="C546" t="s">
        <v>1</v>
      </c>
      <c r="D546">
        <v>1537</v>
      </c>
      <c r="E546">
        <v>1412</v>
      </c>
      <c r="F546">
        <v>1835</v>
      </c>
      <c r="G546">
        <v>1661</v>
      </c>
      <c r="H546">
        <v>298</v>
      </c>
      <c r="I546">
        <v>249</v>
      </c>
      <c r="J546" t="s">
        <v>1439</v>
      </c>
      <c r="K546" t="s">
        <v>815</v>
      </c>
      <c r="L546" t="s">
        <v>509</v>
      </c>
      <c r="M546">
        <v>1686</v>
      </c>
      <c r="N546">
        <v>1536</v>
      </c>
      <c r="O546" t="s">
        <v>1440</v>
      </c>
      <c r="P546" t="s">
        <v>262</v>
      </c>
      <c r="Q546" t="s">
        <v>1233</v>
      </c>
      <c r="R546" t="s">
        <v>1028</v>
      </c>
    </row>
    <row r="547" spans="1:18" x14ac:dyDescent="0.3">
      <c r="A547" t="s">
        <v>1432</v>
      </c>
      <c r="B547">
        <v>6</v>
      </c>
      <c r="C547" t="s">
        <v>1</v>
      </c>
      <c r="D547">
        <v>545</v>
      </c>
      <c r="E547">
        <v>1393</v>
      </c>
      <c r="F547">
        <v>903</v>
      </c>
      <c r="G547">
        <v>1687</v>
      </c>
      <c r="H547">
        <v>358</v>
      </c>
      <c r="I547">
        <v>294</v>
      </c>
      <c r="J547" t="s">
        <v>950</v>
      </c>
      <c r="K547" t="s">
        <v>440</v>
      </c>
      <c r="L547" t="s">
        <v>854</v>
      </c>
      <c r="M547">
        <v>724</v>
      </c>
      <c r="N547">
        <v>1540</v>
      </c>
      <c r="O547" t="s">
        <v>951</v>
      </c>
      <c r="P547" t="s">
        <v>63</v>
      </c>
      <c r="Q547" t="s">
        <v>1233</v>
      </c>
      <c r="R547" t="s">
        <v>1441</v>
      </c>
    </row>
    <row r="548" spans="1:18" hidden="1" x14ac:dyDescent="0.3">
      <c r="A548" t="s">
        <v>1432</v>
      </c>
      <c r="B548">
        <v>7</v>
      </c>
      <c r="C548" t="s">
        <v>97</v>
      </c>
      <c r="D548">
        <v>0</v>
      </c>
      <c r="E548">
        <v>1038</v>
      </c>
      <c r="F548">
        <v>564</v>
      </c>
      <c r="G548">
        <v>1859</v>
      </c>
      <c r="H548">
        <v>564</v>
      </c>
      <c r="I548">
        <v>821</v>
      </c>
      <c r="J548" t="s">
        <v>1083</v>
      </c>
      <c r="K548" t="s">
        <v>1442</v>
      </c>
      <c r="L548" t="s">
        <v>104</v>
      </c>
      <c r="M548">
        <v>282</v>
      </c>
      <c r="N548">
        <v>1448</v>
      </c>
      <c r="O548" t="s">
        <v>1443</v>
      </c>
      <c r="P548" t="s">
        <v>110</v>
      </c>
      <c r="Q548" t="s">
        <v>1233</v>
      </c>
      <c r="R548" t="s">
        <v>1444</v>
      </c>
    </row>
    <row r="549" spans="1:18" x14ac:dyDescent="0.3">
      <c r="A549" t="s">
        <v>1432</v>
      </c>
      <c r="B549">
        <v>8</v>
      </c>
      <c r="C549" t="s">
        <v>1</v>
      </c>
      <c r="D549">
        <v>2382</v>
      </c>
      <c r="E549">
        <v>1369</v>
      </c>
      <c r="F549">
        <v>2769</v>
      </c>
      <c r="G549">
        <v>1647</v>
      </c>
      <c r="H549">
        <v>387</v>
      </c>
      <c r="I549">
        <v>278</v>
      </c>
      <c r="J549" t="s">
        <v>711</v>
      </c>
      <c r="K549" t="s">
        <v>1026</v>
      </c>
      <c r="L549" t="s">
        <v>575</v>
      </c>
      <c r="M549">
        <v>2575</v>
      </c>
      <c r="N549">
        <v>1508</v>
      </c>
      <c r="O549" t="s">
        <v>761</v>
      </c>
      <c r="P549" t="s">
        <v>215</v>
      </c>
      <c r="Q549" t="s">
        <v>1233</v>
      </c>
      <c r="R549" t="s">
        <v>563</v>
      </c>
    </row>
    <row r="550" spans="1:18" x14ac:dyDescent="0.3">
      <c r="A550" t="s">
        <v>1445</v>
      </c>
      <c r="B550">
        <v>0</v>
      </c>
      <c r="C550" t="s">
        <v>1</v>
      </c>
      <c r="D550">
        <v>3092</v>
      </c>
      <c r="E550">
        <v>1345</v>
      </c>
      <c r="F550">
        <v>3565</v>
      </c>
      <c r="G550">
        <v>1565</v>
      </c>
      <c r="H550">
        <v>473</v>
      </c>
      <c r="I550">
        <v>220</v>
      </c>
      <c r="J550" t="s">
        <v>1446</v>
      </c>
      <c r="K550" t="s">
        <v>390</v>
      </c>
      <c r="L550" t="s">
        <v>1447</v>
      </c>
      <c r="M550">
        <v>3328</v>
      </c>
      <c r="N550">
        <v>1455</v>
      </c>
      <c r="O550" t="s">
        <v>1448</v>
      </c>
      <c r="P550" t="s">
        <v>102</v>
      </c>
      <c r="Q550" t="s">
        <v>1449</v>
      </c>
      <c r="R550" t="s">
        <v>1260</v>
      </c>
    </row>
    <row r="551" spans="1:18" x14ac:dyDescent="0.3">
      <c r="A551" t="s">
        <v>1445</v>
      </c>
      <c r="B551">
        <v>1</v>
      </c>
      <c r="C551" t="s">
        <v>1</v>
      </c>
      <c r="D551">
        <v>2690</v>
      </c>
      <c r="E551">
        <v>1338</v>
      </c>
      <c r="F551">
        <v>3119</v>
      </c>
      <c r="G551">
        <v>1550</v>
      </c>
      <c r="H551">
        <v>429</v>
      </c>
      <c r="I551">
        <v>212</v>
      </c>
      <c r="J551" t="s">
        <v>1450</v>
      </c>
      <c r="K551" t="s">
        <v>968</v>
      </c>
      <c r="L551" t="s">
        <v>419</v>
      </c>
      <c r="M551">
        <v>2904</v>
      </c>
      <c r="N551">
        <v>1444</v>
      </c>
      <c r="O551" t="s">
        <v>1451</v>
      </c>
      <c r="P551" t="s">
        <v>141</v>
      </c>
      <c r="Q551" t="s">
        <v>1449</v>
      </c>
      <c r="R551" t="s">
        <v>1027</v>
      </c>
    </row>
    <row r="552" spans="1:18" x14ac:dyDescent="0.3">
      <c r="A552" t="s">
        <v>1445</v>
      </c>
      <c r="B552">
        <v>2</v>
      </c>
      <c r="C552" t="s">
        <v>1</v>
      </c>
      <c r="D552">
        <v>731</v>
      </c>
      <c r="E552">
        <v>1328</v>
      </c>
      <c r="F552">
        <v>1024</v>
      </c>
      <c r="G552">
        <v>1546</v>
      </c>
      <c r="H552">
        <v>293</v>
      </c>
      <c r="I552">
        <v>218</v>
      </c>
      <c r="J552" t="s">
        <v>912</v>
      </c>
      <c r="K552" t="s">
        <v>747</v>
      </c>
      <c r="L552" t="s">
        <v>401</v>
      </c>
      <c r="M552">
        <v>877</v>
      </c>
      <c r="N552">
        <v>1437</v>
      </c>
      <c r="O552" t="s">
        <v>913</v>
      </c>
      <c r="P552" t="s">
        <v>182</v>
      </c>
      <c r="Q552" t="s">
        <v>1449</v>
      </c>
      <c r="R552" t="s">
        <v>1452</v>
      </c>
    </row>
    <row r="553" spans="1:18" x14ac:dyDescent="0.3">
      <c r="A553" t="s">
        <v>1445</v>
      </c>
      <c r="B553">
        <v>3</v>
      </c>
      <c r="C553" t="s">
        <v>1</v>
      </c>
      <c r="D553">
        <v>1924</v>
      </c>
      <c r="E553">
        <v>1323</v>
      </c>
      <c r="F553">
        <v>2210</v>
      </c>
      <c r="G553">
        <v>1544</v>
      </c>
      <c r="H553">
        <v>286</v>
      </c>
      <c r="I553">
        <v>221</v>
      </c>
      <c r="J553" t="s">
        <v>1453</v>
      </c>
      <c r="K553" t="s">
        <v>24</v>
      </c>
      <c r="L553" t="s">
        <v>618</v>
      </c>
      <c r="M553">
        <v>2067</v>
      </c>
      <c r="N553">
        <v>1433</v>
      </c>
      <c r="O553" t="s">
        <v>1454</v>
      </c>
      <c r="P553" t="s">
        <v>335</v>
      </c>
      <c r="Q553" t="s">
        <v>1449</v>
      </c>
      <c r="R553" t="s">
        <v>542</v>
      </c>
    </row>
    <row r="554" spans="1:18" x14ac:dyDescent="0.3">
      <c r="A554" t="s">
        <v>1445</v>
      </c>
      <c r="B554">
        <v>4</v>
      </c>
      <c r="C554" t="s">
        <v>1</v>
      </c>
      <c r="D554">
        <v>411</v>
      </c>
      <c r="E554">
        <v>1265</v>
      </c>
      <c r="F554">
        <v>799</v>
      </c>
      <c r="G554">
        <v>1569</v>
      </c>
      <c r="H554">
        <v>388</v>
      </c>
      <c r="I554">
        <v>304</v>
      </c>
      <c r="J554" t="s">
        <v>596</v>
      </c>
      <c r="K554" t="s">
        <v>12</v>
      </c>
      <c r="L554" t="s">
        <v>686</v>
      </c>
      <c r="M554">
        <v>605</v>
      </c>
      <c r="N554">
        <v>1417</v>
      </c>
      <c r="O554" t="s">
        <v>597</v>
      </c>
      <c r="P554" t="s">
        <v>155</v>
      </c>
      <c r="Q554" t="s">
        <v>1449</v>
      </c>
      <c r="R554" t="s">
        <v>1425</v>
      </c>
    </row>
    <row r="555" spans="1:18" x14ac:dyDescent="0.3">
      <c r="A555" t="s">
        <v>1445</v>
      </c>
      <c r="B555">
        <v>5</v>
      </c>
      <c r="C555" t="s">
        <v>1</v>
      </c>
      <c r="D555">
        <v>1008</v>
      </c>
      <c r="E555">
        <v>1326</v>
      </c>
      <c r="F555">
        <v>1409</v>
      </c>
      <c r="G555">
        <v>1543</v>
      </c>
      <c r="H555">
        <v>401</v>
      </c>
      <c r="I555">
        <v>217</v>
      </c>
      <c r="J555" t="s">
        <v>649</v>
      </c>
      <c r="K555" t="s">
        <v>372</v>
      </c>
      <c r="L555" t="s">
        <v>1455</v>
      </c>
      <c r="M555">
        <v>1208</v>
      </c>
      <c r="N555">
        <v>1434</v>
      </c>
      <c r="O555" t="s">
        <v>433</v>
      </c>
      <c r="P555" t="s">
        <v>750</v>
      </c>
      <c r="Q555" t="s">
        <v>1449</v>
      </c>
      <c r="R555" t="s">
        <v>1456</v>
      </c>
    </row>
    <row r="556" spans="1:18" x14ac:dyDescent="0.3">
      <c r="A556" t="s">
        <v>1445</v>
      </c>
      <c r="B556">
        <v>6</v>
      </c>
      <c r="C556" t="s">
        <v>1</v>
      </c>
      <c r="D556">
        <v>1451</v>
      </c>
      <c r="E556">
        <v>1304</v>
      </c>
      <c r="F556">
        <v>1746</v>
      </c>
      <c r="G556">
        <v>1557</v>
      </c>
      <c r="H556">
        <v>295</v>
      </c>
      <c r="I556">
        <v>253</v>
      </c>
      <c r="J556" t="s">
        <v>1084</v>
      </c>
      <c r="K556" t="s">
        <v>1457</v>
      </c>
      <c r="L556" t="s">
        <v>1321</v>
      </c>
      <c r="M556">
        <v>1598</v>
      </c>
      <c r="N556">
        <v>1430</v>
      </c>
      <c r="O556" t="s">
        <v>1458</v>
      </c>
      <c r="P556" t="s">
        <v>30</v>
      </c>
      <c r="Q556" t="s">
        <v>1449</v>
      </c>
      <c r="R556" t="s">
        <v>1459</v>
      </c>
    </row>
    <row r="557" spans="1:18" x14ac:dyDescent="0.3">
      <c r="A557" t="s">
        <v>1445</v>
      </c>
      <c r="B557">
        <v>7</v>
      </c>
      <c r="C557" t="s">
        <v>1</v>
      </c>
      <c r="D557">
        <v>3717</v>
      </c>
      <c r="E557">
        <v>1403</v>
      </c>
      <c r="F557">
        <v>3821</v>
      </c>
      <c r="G557">
        <v>1566</v>
      </c>
      <c r="H557">
        <v>104</v>
      </c>
      <c r="I557">
        <v>163</v>
      </c>
      <c r="J557" t="s">
        <v>973</v>
      </c>
      <c r="K557" t="s">
        <v>1320</v>
      </c>
      <c r="L557" t="s">
        <v>96</v>
      </c>
      <c r="M557">
        <v>3769</v>
      </c>
      <c r="N557">
        <v>1484</v>
      </c>
      <c r="O557" t="s">
        <v>976</v>
      </c>
      <c r="P557" t="s">
        <v>75</v>
      </c>
      <c r="Q557" t="s">
        <v>1449</v>
      </c>
      <c r="R557" t="s">
        <v>1460</v>
      </c>
    </row>
    <row r="558" spans="1:18" x14ac:dyDescent="0.3">
      <c r="A558" t="s">
        <v>1445</v>
      </c>
      <c r="B558">
        <v>8</v>
      </c>
      <c r="C558" t="s">
        <v>1</v>
      </c>
      <c r="D558">
        <v>2356</v>
      </c>
      <c r="E558">
        <v>1260</v>
      </c>
      <c r="F558">
        <v>2689</v>
      </c>
      <c r="G558">
        <v>1528</v>
      </c>
      <c r="H558">
        <v>333</v>
      </c>
      <c r="I558">
        <v>268</v>
      </c>
      <c r="J558" t="s">
        <v>984</v>
      </c>
      <c r="K558" t="s">
        <v>5</v>
      </c>
      <c r="L558" t="s">
        <v>903</v>
      </c>
      <c r="M558">
        <v>2522</v>
      </c>
      <c r="N558">
        <v>1394</v>
      </c>
      <c r="O558" t="s">
        <v>985</v>
      </c>
      <c r="P558" t="s">
        <v>511</v>
      </c>
      <c r="Q558" t="s">
        <v>1449</v>
      </c>
      <c r="R558" t="s">
        <v>1429</v>
      </c>
    </row>
    <row r="559" spans="1:18" x14ac:dyDescent="0.3">
      <c r="A559" t="s">
        <v>1461</v>
      </c>
      <c r="B559">
        <v>0</v>
      </c>
      <c r="C559" t="s">
        <v>1</v>
      </c>
      <c r="D559">
        <v>3107</v>
      </c>
      <c r="E559">
        <v>1362</v>
      </c>
      <c r="F559">
        <v>3605</v>
      </c>
      <c r="G559">
        <v>1586</v>
      </c>
      <c r="H559">
        <v>498</v>
      </c>
      <c r="I559">
        <v>224</v>
      </c>
      <c r="J559" t="s">
        <v>735</v>
      </c>
      <c r="K559" t="s">
        <v>967</v>
      </c>
      <c r="L559" t="s">
        <v>1193</v>
      </c>
      <c r="M559">
        <v>3356</v>
      </c>
      <c r="N559">
        <v>1474</v>
      </c>
      <c r="O559" t="s">
        <v>734</v>
      </c>
      <c r="P559" t="s">
        <v>80</v>
      </c>
      <c r="Q559" t="s">
        <v>1462</v>
      </c>
      <c r="R559" t="s">
        <v>802</v>
      </c>
    </row>
    <row r="560" spans="1:18" x14ac:dyDescent="0.3">
      <c r="A560" t="s">
        <v>1461</v>
      </c>
      <c r="B560">
        <v>1</v>
      </c>
      <c r="C560" t="s">
        <v>1</v>
      </c>
      <c r="D560">
        <v>756</v>
      </c>
      <c r="E560">
        <v>1363</v>
      </c>
      <c r="F560">
        <v>1066</v>
      </c>
      <c r="G560">
        <v>1571</v>
      </c>
      <c r="H560">
        <v>310</v>
      </c>
      <c r="I560">
        <v>208</v>
      </c>
      <c r="J560" t="s">
        <v>1268</v>
      </c>
      <c r="K560" t="s">
        <v>810</v>
      </c>
      <c r="L560" t="s">
        <v>460</v>
      </c>
      <c r="M560">
        <v>911</v>
      </c>
      <c r="N560">
        <v>1467</v>
      </c>
      <c r="O560" t="s">
        <v>1463</v>
      </c>
      <c r="P560" t="s">
        <v>141</v>
      </c>
      <c r="Q560" t="s">
        <v>1462</v>
      </c>
      <c r="R560" t="s">
        <v>631</v>
      </c>
    </row>
    <row r="561" spans="1:18" x14ac:dyDescent="0.3">
      <c r="A561" t="s">
        <v>1461</v>
      </c>
      <c r="B561">
        <v>2</v>
      </c>
      <c r="C561" t="s">
        <v>1</v>
      </c>
      <c r="D561">
        <v>1945</v>
      </c>
      <c r="E561">
        <v>1350</v>
      </c>
      <c r="F561">
        <v>2235</v>
      </c>
      <c r="G561">
        <v>1574</v>
      </c>
      <c r="H561">
        <v>290</v>
      </c>
      <c r="I561">
        <v>224</v>
      </c>
      <c r="J561" t="s">
        <v>752</v>
      </c>
      <c r="K561" t="s">
        <v>967</v>
      </c>
      <c r="L561" t="s">
        <v>618</v>
      </c>
      <c r="M561">
        <v>2090</v>
      </c>
      <c r="N561">
        <v>1462</v>
      </c>
      <c r="O561" t="s">
        <v>754</v>
      </c>
      <c r="P561" t="s">
        <v>386</v>
      </c>
      <c r="Q561" t="s">
        <v>1462</v>
      </c>
      <c r="R561" t="s">
        <v>1372</v>
      </c>
    </row>
    <row r="562" spans="1:18" x14ac:dyDescent="0.3">
      <c r="A562" t="s">
        <v>1461</v>
      </c>
      <c r="B562">
        <v>3</v>
      </c>
      <c r="C562" t="s">
        <v>1</v>
      </c>
      <c r="D562">
        <v>462</v>
      </c>
      <c r="E562">
        <v>1294</v>
      </c>
      <c r="F562">
        <v>832</v>
      </c>
      <c r="G562">
        <v>1612</v>
      </c>
      <c r="H562">
        <v>370</v>
      </c>
      <c r="I562">
        <v>318</v>
      </c>
      <c r="J562" t="s">
        <v>413</v>
      </c>
      <c r="K562" t="s">
        <v>1464</v>
      </c>
      <c r="L562" t="s">
        <v>1465</v>
      </c>
      <c r="M562">
        <v>647</v>
      </c>
      <c r="N562">
        <v>1453</v>
      </c>
      <c r="O562" t="s">
        <v>416</v>
      </c>
      <c r="P562" t="s">
        <v>57</v>
      </c>
      <c r="Q562" t="s">
        <v>1462</v>
      </c>
      <c r="R562" t="s">
        <v>20</v>
      </c>
    </row>
    <row r="563" spans="1:18" x14ac:dyDescent="0.3">
      <c r="A563" t="s">
        <v>1461</v>
      </c>
      <c r="B563">
        <v>4</v>
      </c>
      <c r="C563" t="s">
        <v>1</v>
      </c>
      <c r="D563">
        <v>1052</v>
      </c>
      <c r="E563">
        <v>1356</v>
      </c>
      <c r="F563">
        <v>1434</v>
      </c>
      <c r="G563">
        <v>1569</v>
      </c>
      <c r="H563">
        <v>382</v>
      </c>
      <c r="I563">
        <v>213</v>
      </c>
      <c r="J563" t="s">
        <v>439</v>
      </c>
      <c r="K563" t="s">
        <v>853</v>
      </c>
      <c r="L563" t="s">
        <v>451</v>
      </c>
      <c r="M563">
        <v>1243</v>
      </c>
      <c r="N563">
        <v>1462</v>
      </c>
      <c r="O563" t="s">
        <v>384</v>
      </c>
      <c r="P563" t="s">
        <v>30</v>
      </c>
      <c r="Q563" t="s">
        <v>1462</v>
      </c>
      <c r="R563" t="s">
        <v>719</v>
      </c>
    </row>
    <row r="564" spans="1:18" x14ac:dyDescent="0.3">
      <c r="A564" t="s">
        <v>1461</v>
      </c>
      <c r="B564">
        <v>5</v>
      </c>
      <c r="C564" t="s">
        <v>1</v>
      </c>
      <c r="D564">
        <v>1479</v>
      </c>
      <c r="E564">
        <v>1330</v>
      </c>
      <c r="F564">
        <v>1784</v>
      </c>
      <c r="G564">
        <v>1579</v>
      </c>
      <c r="H564">
        <v>305</v>
      </c>
      <c r="I564">
        <v>249</v>
      </c>
      <c r="J564" t="s">
        <v>1046</v>
      </c>
      <c r="K564" t="s">
        <v>815</v>
      </c>
      <c r="L564" t="s">
        <v>854</v>
      </c>
      <c r="M564">
        <v>1631</v>
      </c>
      <c r="N564">
        <v>1454</v>
      </c>
      <c r="O564" t="s">
        <v>1047</v>
      </c>
      <c r="P564" t="s">
        <v>411</v>
      </c>
      <c r="Q564" t="s">
        <v>1462</v>
      </c>
      <c r="R564" t="s">
        <v>1302</v>
      </c>
    </row>
    <row r="565" spans="1:18" x14ac:dyDescent="0.3">
      <c r="A565" t="s">
        <v>1461</v>
      </c>
      <c r="B565">
        <v>6</v>
      </c>
      <c r="C565" t="s">
        <v>1</v>
      </c>
      <c r="D565">
        <v>2325</v>
      </c>
      <c r="E565">
        <v>1276</v>
      </c>
      <c r="F565">
        <v>2721</v>
      </c>
      <c r="G565">
        <v>1562</v>
      </c>
      <c r="H565">
        <v>396</v>
      </c>
      <c r="I565">
        <v>286</v>
      </c>
      <c r="J565" t="s">
        <v>1145</v>
      </c>
      <c r="K565" t="s">
        <v>465</v>
      </c>
      <c r="L565" t="s">
        <v>209</v>
      </c>
      <c r="M565">
        <v>2523</v>
      </c>
      <c r="N565">
        <v>1419</v>
      </c>
      <c r="O565" t="s">
        <v>1144</v>
      </c>
      <c r="P565" t="s">
        <v>1117</v>
      </c>
      <c r="Q565" t="s">
        <v>1462</v>
      </c>
      <c r="R565" t="s">
        <v>1280</v>
      </c>
    </row>
    <row r="566" spans="1:18" x14ac:dyDescent="0.3">
      <c r="A566" t="s">
        <v>1461</v>
      </c>
      <c r="B566">
        <v>8</v>
      </c>
      <c r="C566" t="s">
        <v>1</v>
      </c>
      <c r="D566">
        <v>3757</v>
      </c>
      <c r="E566">
        <v>1401</v>
      </c>
      <c r="F566">
        <v>3873</v>
      </c>
      <c r="G566">
        <v>1587</v>
      </c>
      <c r="H566">
        <v>116</v>
      </c>
      <c r="I566">
        <v>186</v>
      </c>
      <c r="J566" t="s">
        <v>1466</v>
      </c>
      <c r="K566" t="s">
        <v>1467</v>
      </c>
      <c r="L566" t="s">
        <v>1117</v>
      </c>
      <c r="M566">
        <v>3815</v>
      </c>
      <c r="N566">
        <v>1494</v>
      </c>
      <c r="O566" t="s">
        <v>1468</v>
      </c>
      <c r="P566" t="s">
        <v>817</v>
      </c>
      <c r="Q566" t="s">
        <v>1462</v>
      </c>
      <c r="R566" t="s">
        <v>652</v>
      </c>
    </row>
    <row r="567" spans="1:18" hidden="1" x14ac:dyDescent="0.3">
      <c r="A567" t="s">
        <v>1461</v>
      </c>
      <c r="B567">
        <v>9</v>
      </c>
      <c r="C567" t="s">
        <v>97</v>
      </c>
      <c r="D567">
        <v>1477</v>
      </c>
      <c r="E567">
        <v>1328</v>
      </c>
      <c r="F567">
        <v>1782</v>
      </c>
      <c r="G567">
        <v>1582</v>
      </c>
      <c r="H567">
        <v>305</v>
      </c>
      <c r="I567">
        <v>254</v>
      </c>
      <c r="J567" t="s">
        <v>1046</v>
      </c>
      <c r="K567" t="s">
        <v>787</v>
      </c>
      <c r="L567" t="s">
        <v>509</v>
      </c>
      <c r="M567">
        <v>1629</v>
      </c>
      <c r="N567">
        <v>1455</v>
      </c>
      <c r="O567" t="s">
        <v>1469</v>
      </c>
      <c r="P567" t="s">
        <v>115</v>
      </c>
      <c r="Q567" t="s">
        <v>1462</v>
      </c>
      <c r="R567" t="s">
        <v>1470</v>
      </c>
    </row>
    <row r="568" spans="1:18" x14ac:dyDescent="0.3">
      <c r="A568" t="s">
        <v>1471</v>
      </c>
      <c r="B568">
        <v>0</v>
      </c>
      <c r="C568" t="s">
        <v>1</v>
      </c>
      <c r="D568">
        <v>3237</v>
      </c>
      <c r="E568">
        <v>1275</v>
      </c>
      <c r="F568">
        <v>3729</v>
      </c>
      <c r="G568">
        <v>1500</v>
      </c>
      <c r="H568">
        <v>492</v>
      </c>
      <c r="I568">
        <v>225</v>
      </c>
      <c r="J568" t="s">
        <v>218</v>
      </c>
      <c r="K568" t="s">
        <v>1405</v>
      </c>
      <c r="L568" t="s">
        <v>981</v>
      </c>
      <c r="M568">
        <v>3483</v>
      </c>
      <c r="N568">
        <v>1387</v>
      </c>
      <c r="O568" t="s">
        <v>1472</v>
      </c>
      <c r="P568" t="s">
        <v>13</v>
      </c>
      <c r="Q568" t="s">
        <v>1473</v>
      </c>
      <c r="R568" t="s">
        <v>1474</v>
      </c>
    </row>
    <row r="569" spans="1:18" x14ac:dyDescent="0.3">
      <c r="A569" t="s">
        <v>1471</v>
      </c>
      <c r="B569">
        <v>1</v>
      </c>
      <c r="C569" t="s">
        <v>1</v>
      </c>
      <c r="D569">
        <v>2076</v>
      </c>
      <c r="E569">
        <v>1262</v>
      </c>
      <c r="F569">
        <v>2349</v>
      </c>
      <c r="G569">
        <v>1477</v>
      </c>
      <c r="H569">
        <v>273</v>
      </c>
      <c r="I569">
        <v>215</v>
      </c>
      <c r="J569" t="s">
        <v>385</v>
      </c>
      <c r="K569" t="s">
        <v>365</v>
      </c>
      <c r="L569" t="s">
        <v>779</v>
      </c>
      <c r="M569">
        <v>2212</v>
      </c>
      <c r="N569">
        <v>1369</v>
      </c>
      <c r="O569" t="s">
        <v>850</v>
      </c>
      <c r="P569" t="s">
        <v>141</v>
      </c>
      <c r="Q569" t="s">
        <v>1473</v>
      </c>
      <c r="R569" t="s">
        <v>1225</v>
      </c>
    </row>
    <row r="570" spans="1:18" x14ac:dyDescent="0.3">
      <c r="A570" t="s">
        <v>1471</v>
      </c>
      <c r="B570">
        <v>2</v>
      </c>
      <c r="C570" t="s">
        <v>1</v>
      </c>
      <c r="D570">
        <v>1191</v>
      </c>
      <c r="E570">
        <v>1266</v>
      </c>
      <c r="F570">
        <v>1571</v>
      </c>
      <c r="G570">
        <v>1476</v>
      </c>
      <c r="H570">
        <v>380</v>
      </c>
      <c r="I570">
        <v>210</v>
      </c>
      <c r="J570" t="s">
        <v>564</v>
      </c>
      <c r="K570" t="s">
        <v>184</v>
      </c>
      <c r="L570" t="s">
        <v>1066</v>
      </c>
      <c r="M570">
        <v>1381</v>
      </c>
      <c r="N570">
        <v>1371</v>
      </c>
      <c r="O570" t="s">
        <v>930</v>
      </c>
      <c r="P570" t="s">
        <v>335</v>
      </c>
      <c r="Q570" t="s">
        <v>1473</v>
      </c>
      <c r="R570" t="s">
        <v>8</v>
      </c>
    </row>
    <row r="571" spans="1:18" x14ac:dyDescent="0.3">
      <c r="A571" t="s">
        <v>1471</v>
      </c>
      <c r="B571">
        <v>3</v>
      </c>
      <c r="C571" t="s">
        <v>1</v>
      </c>
      <c r="D571">
        <v>633</v>
      </c>
      <c r="E571">
        <v>1224</v>
      </c>
      <c r="F571">
        <v>991</v>
      </c>
      <c r="G571">
        <v>1513</v>
      </c>
      <c r="H571">
        <v>358</v>
      </c>
      <c r="I571">
        <v>289</v>
      </c>
      <c r="J571" t="s">
        <v>950</v>
      </c>
      <c r="K571" t="s">
        <v>513</v>
      </c>
      <c r="L571" t="s">
        <v>903</v>
      </c>
      <c r="M571">
        <v>812</v>
      </c>
      <c r="N571">
        <v>1368</v>
      </c>
      <c r="O571" t="s">
        <v>951</v>
      </c>
      <c r="P571" t="s">
        <v>335</v>
      </c>
      <c r="Q571" t="s">
        <v>1473</v>
      </c>
      <c r="R571" t="s">
        <v>1475</v>
      </c>
    </row>
    <row r="572" spans="1:18" x14ac:dyDescent="0.3">
      <c r="A572" t="s">
        <v>1471</v>
      </c>
      <c r="B572">
        <v>4</v>
      </c>
      <c r="C572" t="s">
        <v>1</v>
      </c>
      <c r="D572">
        <v>922</v>
      </c>
      <c r="E572">
        <v>1270</v>
      </c>
      <c r="F572">
        <v>1205</v>
      </c>
      <c r="G572">
        <v>1474</v>
      </c>
      <c r="H572">
        <v>283</v>
      </c>
      <c r="I572">
        <v>204</v>
      </c>
      <c r="J572" t="s">
        <v>1426</v>
      </c>
      <c r="K572" t="s">
        <v>436</v>
      </c>
      <c r="L572" t="s">
        <v>575</v>
      </c>
      <c r="M572">
        <v>1063</v>
      </c>
      <c r="N572">
        <v>1372</v>
      </c>
      <c r="O572" t="s">
        <v>1427</v>
      </c>
      <c r="P572" t="s">
        <v>335</v>
      </c>
      <c r="Q572" t="s">
        <v>1473</v>
      </c>
      <c r="R572" t="s">
        <v>1346</v>
      </c>
    </row>
    <row r="573" spans="1:18" x14ac:dyDescent="0.3">
      <c r="A573" t="s">
        <v>1471</v>
      </c>
      <c r="B573">
        <v>5</v>
      </c>
      <c r="C573" t="s">
        <v>1</v>
      </c>
      <c r="D573">
        <v>2910</v>
      </c>
      <c r="E573">
        <v>1260</v>
      </c>
      <c r="F573">
        <v>3241</v>
      </c>
      <c r="G573">
        <v>1475</v>
      </c>
      <c r="H573">
        <v>331</v>
      </c>
      <c r="I573">
        <v>215</v>
      </c>
      <c r="J573" t="s">
        <v>1112</v>
      </c>
      <c r="K573" t="s">
        <v>365</v>
      </c>
      <c r="L573" t="s">
        <v>327</v>
      </c>
      <c r="M573">
        <v>3075</v>
      </c>
      <c r="N573">
        <v>1367</v>
      </c>
      <c r="O573" t="s">
        <v>1111</v>
      </c>
      <c r="P573" t="s">
        <v>386</v>
      </c>
      <c r="Q573" t="s">
        <v>1473</v>
      </c>
      <c r="R573" t="s">
        <v>559</v>
      </c>
    </row>
    <row r="574" spans="1:18" x14ac:dyDescent="0.3">
      <c r="A574" t="s">
        <v>1471</v>
      </c>
      <c r="B574">
        <v>6</v>
      </c>
      <c r="C574" t="s">
        <v>1</v>
      </c>
      <c r="D574">
        <v>2446</v>
      </c>
      <c r="E574">
        <v>1190</v>
      </c>
      <c r="F574">
        <v>2831</v>
      </c>
      <c r="G574">
        <v>1470</v>
      </c>
      <c r="H574">
        <v>385</v>
      </c>
      <c r="I574">
        <v>280</v>
      </c>
      <c r="J574" t="s">
        <v>1253</v>
      </c>
      <c r="K574" t="s">
        <v>578</v>
      </c>
      <c r="L574" t="s">
        <v>209</v>
      </c>
      <c r="M574">
        <v>2638</v>
      </c>
      <c r="N574">
        <v>1330</v>
      </c>
      <c r="O574" t="s">
        <v>1252</v>
      </c>
      <c r="P574" t="s">
        <v>313</v>
      </c>
      <c r="Q574" t="s">
        <v>1473</v>
      </c>
      <c r="R574" t="s">
        <v>1050</v>
      </c>
    </row>
    <row r="575" spans="1:18" x14ac:dyDescent="0.3">
      <c r="A575" t="s">
        <v>1471</v>
      </c>
      <c r="B575">
        <v>7</v>
      </c>
      <c r="C575" t="s">
        <v>1</v>
      </c>
      <c r="D575">
        <v>1616</v>
      </c>
      <c r="E575">
        <v>1242</v>
      </c>
      <c r="F575">
        <v>1890</v>
      </c>
      <c r="G575">
        <v>1484</v>
      </c>
      <c r="H575">
        <v>274</v>
      </c>
      <c r="I575">
        <v>242</v>
      </c>
      <c r="J575" t="s">
        <v>863</v>
      </c>
      <c r="K575" t="s">
        <v>1385</v>
      </c>
      <c r="L575" t="s">
        <v>1476</v>
      </c>
      <c r="M575">
        <v>1753</v>
      </c>
      <c r="N575">
        <v>1363</v>
      </c>
      <c r="O575" t="s">
        <v>864</v>
      </c>
      <c r="P575" t="s">
        <v>750</v>
      </c>
      <c r="Q575" t="s">
        <v>1473</v>
      </c>
      <c r="R575" t="s">
        <v>1028</v>
      </c>
    </row>
    <row r="576" spans="1:18" x14ac:dyDescent="0.3">
      <c r="A576" t="s">
        <v>1477</v>
      </c>
      <c r="B576">
        <v>0</v>
      </c>
      <c r="C576" t="s">
        <v>1</v>
      </c>
      <c r="D576">
        <v>3186</v>
      </c>
      <c r="E576">
        <v>1403</v>
      </c>
      <c r="F576">
        <v>3691</v>
      </c>
      <c r="G576">
        <v>1620</v>
      </c>
      <c r="H576">
        <v>505</v>
      </c>
      <c r="I576">
        <v>217</v>
      </c>
      <c r="J576" t="s">
        <v>469</v>
      </c>
      <c r="K576" t="s">
        <v>372</v>
      </c>
      <c r="L576" t="s">
        <v>1226</v>
      </c>
      <c r="M576">
        <v>3438</v>
      </c>
      <c r="N576">
        <v>1511</v>
      </c>
      <c r="O576" t="s">
        <v>471</v>
      </c>
      <c r="P576" t="s">
        <v>13</v>
      </c>
      <c r="Q576" t="s">
        <v>1478</v>
      </c>
      <c r="R576" t="s">
        <v>58</v>
      </c>
    </row>
    <row r="577" spans="1:18" x14ac:dyDescent="0.3">
      <c r="A577" t="s">
        <v>1477</v>
      </c>
      <c r="B577">
        <v>1</v>
      </c>
      <c r="C577" t="s">
        <v>1</v>
      </c>
      <c r="D577">
        <v>1992</v>
      </c>
      <c r="E577">
        <v>1366</v>
      </c>
      <c r="F577">
        <v>2292</v>
      </c>
      <c r="G577">
        <v>1592</v>
      </c>
      <c r="H577">
        <v>300</v>
      </c>
      <c r="I577">
        <v>226</v>
      </c>
      <c r="J577" t="s">
        <v>1405</v>
      </c>
      <c r="K577" t="s">
        <v>1479</v>
      </c>
      <c r="L577" t="s">
        <v>567</v>
      </c>
      <c r="M577">
        <v>2142</v>
      </c>
      <c r="N577">
        <v>1479</v>
      </c>
      <c r="O577" t="s">
        <v>1406</v>
      </c>
      <c r="P577" t="s">
        <v>141</v>
      </c>
      <c r="Q577" t="s">
        <v>1478</v>
      </c>
      <c r="R577" t="s">
        <v>227</v>
      </c>
    </row>
    <row r="578" spans="1:18" x14ac:dyDescent="0.3">
      <c r="A578" t="s">
        <v>1477</v>
      </c>
      <c r="B578">
        <v>2</v>
      </c>
      <c r="C578" t="s">
        <v>1</v>
      </c>
      <c r="D578">
        <v>608</v>
      </c>
      <c r="E578">
        <v>1296</v>
      </c>
      <c r="F578">
        <v>1267</v>
      </c>
      <c r="G578">
        <v>1595</v>
      </c>
      <c r="H578">
        <v>659</v>
      </c>
      <c r="I578">
        <v>299</v>
      </c>
      <c r="J578" t="s">
        <v>1480</v>
      </c>
      <c r="K578" t="s">
        <v>48</v>
      </c>
      <c r="L578" t="s">
        <v>899</v>
      </c>
      <c r="M578">
        <v>937</v>
      </c>
      <c r="N578">
        <v>1445</v>
      </c>
      <c r="O578" t="s">
        <v>1481</v>
      </c>
      <c r="P578" t="s">
        <v>262</v>
      </c>
      <c r="Q578" t="s">
        <v>1478</v>
      </c>
      <c r="R578" t="s">
        <v>1374</v>
      </c>
    </row>
    <row r="579" spans="1:18" x14ac:dyDescent="0.3">
      <c r="A579" t="s">
        <v>1477</v>
      </c>
      <c r="B579">
        <v>3</v>
      </c>
      <c r="C579" t="s">
        <v>1</v>
      </c>
      <c r="D579">
        <v>498</v>
      </c>
      <c r="E579">
        <v>1300</v>
      </c>
      <c r="F579">
        <v>889</v>
      </c>
      <c r="G579">
        <v>1604</v>
      </c>
      <c r="H579">
        <v>391</v>
      </c>
      <c r="I579">
        <v>304</v>
      </c>
      <c r="J579" t="s">
        <v>1040</v>
      </c>
      <c r="K579" t="s">
        <v>12</v>
      </c>
      <c r="L579" t="s">
        <v>618</v>
      </c>
      <c r="M579">
        <v>693</v>
      </c>
      <c r="N579">
        <v>1452</v>
      </c>
      <c r="O579" t="s">
        <v>1041</v>
      </c>
      <c r="P579" t="s">
        <v>197</v>
      </c>
      <c r="Q579" t="s">
        <v>1478</v>
      </c>
      <c r="R579" t="s">
        <v>183</v>
      </c>
    </row>
    <row r="580" spans="1:18" x14ac:dyDescent="0.3">
      <c r="A580" t="s">
        <v>1477</v>
      </c>
      <c r="B580">
        <v>4</v>
      </c>
      <c r="C580" t="s">
        <v>1</v>
      </c>
      <c r="D580">
        <v>2832</v>
      </c>
      <c r="E580">
        <v>1377</v>
      </c>
      <c r="F580">
        <v>3187</v>
      </c>
      <c r="G580">
        <v>1603</v>
      </c>
      <c r="H580">
        <v>355</v>
      </c>
      <c r="I580">
        <v>226</v>
      </c>
      <c r="J580" t="s">
        <v>665</v>
      </c>
      <c r="K580" t="s">
        <v>1479</v>
      </c>
      <c r="L580" t="s">
        <v>94</v>
      </c>
      <c r="M580">
        <v>3009</v>
      </c>
      <c r="N580">
        <v>1490</v>
      </c>
      <c r="O580" t="s">
        <v>1482</v>
      </c>
      <c r="P580" t="s">
        <v>57</v>
      </c>
      <c r="Q580" t="s">
        <v>1478</v>
      </c>
      <c r="R580" t="s">
        <v>701</v>
      </c>
    </row>
    <row r="581" spans="1:18" x14ac:dyDescent="0.3">
      <c r="A581" t="s">
        <v>1477</v>
      </c>
      <c r="B581">
        <v>5</v>
      </c>
      <c r="C581" t="s">
        <v>1</v>
      </c>
      <c r="D581">
        <v>1184</v>
      </c>
      <c r="E581">
        <v>1368</v>
      </c>
      <c r="F581">
        <v>1497</v>
      </c>
      <c r="G581">
        <v>1575</v>
      </c>
      <c r="H581">
        <v>313</v>
      </c>
      <c r="I581">
        <v>207</v>
      </c>
      <c r="J581" t="s">
        <v>95</v>
      </c>
      <c r="K581" t="s">
        <v>778</v>
      </c>
      <c r="L581" t="s">
        <v>476</v>
      </c>
      <c r="M581">
        <v>1340</v>
      </c>
      <c r="N581">
        <v>1471</v>
      </c>
      <c r="O581" t="s">
        <v>740</v>
      </c>
      <c r="P581" t="s">
        <v>391</v>
      </c>
      <c r="Q581" t="s">
        <v>1478</v>
      </c>
      <c r="R581" t="s">
        <v>269</v>
      </c>
    </row>
    <row r="582" spans="1:18" x14ac:dyDescent="0.3">
      <c r="A582" t="s">
        <v>1477</v>
      </c>
      <c r="B582">
        <v>6</v>
      </c>
      <c r="C582" t="s">
        <v>1</v>
      </c>
      <c r="D582">
        <v>2442</v>
      </c>
      <c r="E582">
        <v>1303</v>
      </c>
      <c r="F582">
        <v>2780</v>
      </c>
      <c r="G582">
        <v>1574</v>
      </c>
      <c r="H582">
        <v>338</v>
      </c>
      <c r="I582">
        <v>271</v>
      </c>
      <c r="J582" t="s">
        <v>1149</v>
      </c>
      <c r="K582" t="s">
        <v>450</v>
      </c>
      <c r="L582" t="s">
        <v>244</v>
      </c>
      <c r="M582">
        <v>2611</v>
      </c>
      <c r="N582">
        <v>1438</v>
      </c>
      <c r="O582" t="s">
        <v>1483</v>
      </c>
      <c r="P582" t="s">
        <v>110</v>
      </c>
      <c r="Q582" t="s">
        <v>1478</v>
      </c>
      <c r="R582" t="s">
        <v>182</v>
      </c>
    </row>
    <row r="583" spans="1:18" x14ac:dyDescent="0.3">
      <c r="A583" t="s">
        <v>1477</v>
      </c>
      <c r="B583">
        <v>7</v>
      </c>
      <c r="C583" t="s">
        <v>1</v>
      </c>
      <c r="D583">
        <v>1535</v>
      </c>
      <c r="E583">
        <v>1347</v>
      </c>
      <c r="F583">
        <v>1814</v>
      </c>
      <c r="G583">
        <v>1589</v>
      </c>
      <c r="H583">
        <v>279</v>
      </c>
      <c r="I583">
        <v>242</v>
      </c>
      <c r="J583" t="s">
        <v>895</v>
      </c>
      <c r="K583" t="s">
        <v>1385</v>
      </c>
      <c r="L583" t="s">
        <v>1376</v>
      </c>
      <c r="M583">
        <v>1674</v>
      </c>
      <c r="N583">
        <v>1468</v>
      </c>
      <c r="O583" t="s">
        <v>897</v>
      </c>
      <c r="P583" t="s">
        <v>736</v>
      </c>
      <c r="Q583" t="s">
        <v>1478</v>
      </c>
      <c r="R583" t="s">
        <v>1010</v>
      </c>
    </row>
    <row r="584" spans="1:18" x14ac:dyDescent="0.3">
      <c r="A584" t="s">
        <v>1484</v>
      </c>
      <c r="B584">
        <v>0</v>
      </c>
      <c r="C584" t="s">
        <v>1</v>
      </c>
      <c r="D584">
        <v>262</v>
      </c>
      <c r="E584">
        <v>1154</v>
      </c>
      <c r="F584">
        <v>1073</v>
      </c>
      <c r="G584">
        <v>1464</v>
      </c>
      <c r="H584">
        <v>811</v>
      </c>
      <c r="I584">
        <v>310</v>
      </c>
      <c r="J584" t="s">
        <v>1485</v>
      </c>
      <c r="K584" t="s">
        <v>475</v>
      </c>
      <c r="L584" t="s">
        <v>1486</v>
      </c>
      <c r="M584">
        <v>667</v>
      </c>
      <c r="N584">
        <v>1309</v>
      </c>
      <c r="O584" t="s">
        <v>1487</v>
      </c>
      <c r="P584" t="s">
        <v>6</v>
      </c>
      <c r="Q584" t="s">
        <v>1488</v>
      </c>
      <c r="R584" t="s">
        <v>983</v>
      </c>
    </row>
    <row r="585" spans="1:18" x14ac:dyDescent="0.3">
      <c r="A585" t="s">
        <v>1484</v>
      </c>
      <c r="B585">
        <v>1</v>
      </c>
      <c r="C585" t="s">
        <v>1</v>
      </c>
      <c r="D585">
        <v>2983</v>
      </c>
      <c r="E585">
        <v>1214</v>
      </c>
      <c r="F585">
        <v>3458</v>
      </c>
      <c r="G585">
        <v>1425</v>
      </c>
      <c r="H585">
        <v>475</v>
      </c>
      <c r="I585">
        <v>211</v>
      </c>
      <c r="J585" t="s">
        <v>1489</v>
      </c>
      <c r="K585" t="s">
        <v>896</v>
      </c>
      <c r="L585" t="s">
        <v>811</v>
      </c>
      <c r="M585">
        <v>3220</v>
      </c>
      <c r="N585">
        <v>1319</v>
      </c>
      <c r="O585" t="s">
        <v>1490</v>
      </c>
      <c r="P585" t="s">
        <v>13</v>
      </c>
      <c r="Q585" t="s">
        <v>1488</v>
      </c>
      <c r="R585" t="s">
        <v>1491</v>
      </c>
    </row>
    <row r="586" spans="1:18" x14ac:dyDescent="0.3">
      <c r="A586" t="s">
        <v>1484</v>
      </c>
      <c r="B586">
        <v>2</v>
      </c>
      <c r="C586" t="s">
        <v>1</v>
      </c>
      <c r="D586">
        <v>1833</v>
      </c>
      <c r="E586">
        <v>1208</v>
      </c>
      <c r="F586">
        <v>2125</v>
      </c>
      <c r="G586">
        <v>1427</v>
      </c>
      <c r="H586">
        <v>292</v>
      </c>
      <c r="I586">
        <v>219</v>
      </c>
      <c r="J586" t="s">
        <v>753</v>
      </c>
      <c r="K586" t="s">
        <v>753</v>
      </c>
      <c r="L586" t="s">
        <v>567</v>
      </c>
      <c r="M586">
        <v>1979</v>
      </c>
      <c r="N586">
        <v>1317</v>
      </c>
      <c r="O586" t="s">
        <v>1437</v>
      </c>
      <c r="P586" t="s">
        <v>130</v>
      </c>
      <c r="Q586" t="s">
        <v>1488</v>
      </c>
      <c r="R586" t="s">
        <v>1492</v>
      </c>
    </row>
    <row r="587" spans="1:18" x14ac:dyDescent="0.3">
      <c r="A587" t="s">
        <v>1484</v>
      </c>
      <c r="B587">
        <v>3</v>
      </c>
      <c r="C587" t="s">
        <v>1</v>
      </c>
      <c r="D587">
        <v>998</v>
      </c>
      <c r="E587">
        <v>1219</v>
      </c>
      <c r="F587">
        <v>1317</v>
      </c>
      <c r="G587">
        <v>1433</v>
      </c>
      <c r="H587">
        <v>319</v>
      </c>
      <c r="I587">
        <v>214</v>
      </c>
      <c r="J587" t="s">
        <v>1362</v>
      </c>
      <c r="K587" t="s">
        <v>237</v>
      </c>
      <c r="L587" t="s">
        <v>460</v>
      </c>
      <c r="M587">
        <v>1157</v>
      </c>
      <c r="N587">
        <v>1326</v>
      </c>
      <c r="O587" t="s">
        <v>1363</v>
      </c>
      <c r="P587" t="s">
        <v>182</v>
      </c>
      <c r="Q587" t="s">
        <v>1488</v>
      </c>
      <c r="R587" t="s">
        <v>1213</v>
      </c>
    </row>
    <row r="588" spans="1:18" x14ac:dyDescent="0.3">
      <c r="A588" t="s">
        <v>1484</v>
      </c>
      <c r="B588">
        <v>4</v>
      </c>
      <c r="C588" t="s">
        <v>1</v>
      </c>
      <c r="D588">
        <v>2673</v>
      </c>
      <c r="E588">
        <v>1201</v>
      </c>
      <c r="F588">
        <v>2988</v>
      </c>
      <c r="G588">
        <v>1413</v>
      </c>
      <c r="H588">
        <v>315</v>
      </c>
      <c r="I588">
        <v>212</v>
      </c>
      <c r="J588" t="s">
        <v>1008</v>
      </c>
      <c r="K588" t="s">
        <v>968</v>
      </c>
      <c r="L588" t="s">
        <v>460</v>
      </c>
      <c r="M588">
        <v>2830</v>
      </c>
      <c r="N588">
        <v>1307</v>
      </c>
      <c r="O588" t="s">
        <v>1009</v>
      </c>
      <c r="P588" t="s">
        <v>57</v>
      </c>
      <c r="Q588" t="s">
        <v>1488</v>
      </c>
      <c r="R588" t="s">
        <v>1493</v>
      </c>
    </row>
    <row r="589" spans="1:18" x14ac:dyDescent="0.3">
      <c r="A589" t="s">
        <v>1484</v>
      </c>
      <c r="B589">
        <v>5</v>
      </c>
      <c r="C589" t="s">
        <v>1</v>
      </c>
      <c r="D589">
        <v>1360</v>
      </c>
      <c r="E589">
        <v>1195</v>
      </c>
      <c r="F589">
        <v>1638</v>
      </c>
      <c r="G589">
        <v>1444</v>
      </c>
      <c r="H589">
        <v>278</v>
      </c>
      <c r="I589">
        <v>249</v>
      </c>
      <c r="J589" t="s">
        <v>26</v>
      </c>
      <c r="K589" t="s">
        <v>815</v>
      </c>
      <c r="L589" t="s">
        <v>1494</v>
      </c>
      <c r="M589">
        <v>1499</v>
      </c>
      <c r="N589">
        <v>1319</v>
      </c>
      <c r="O589" t="s">
        <v>29</v>
      </c>
      <c r="P589" t="s">
        <v>505</v>
      </c>
      <c r="Q589" t="s">
        <v>1488</v>
      </c>
      <c r="R589" t="s">
        <v>908</v>
      </c>
    </row>
    <row r="590" spans="1:18" x14ac:dyDescent="0.3">
      <c r="A590" t="s">
        <v>1484</v>
      </c>
      <c r="B590">
        <v>6</v>
      </c>
      <c r="C590" t="s">
        <v>1</v>
      </c>
      <c r="D590">
        <v>2218</v>
      </c>
      <c r="E590">
        <v>1133</v>
      </c>
      <c r="F590">
        <v>2590</v>
      </c>
      <c r="G590">
        <v>1418</v>
      </c>
      <c r="H590">
        <v>372</v>
      </c>
      <c r="I590">
        <v>285</v>
      </c>
      <c r="J590" t="s">
        <v>670</v>
      </c>
      <c r="K590" t="s">
        <v>564</v>
      </c>
      <c r="L590" t="s">
        <v>894</v>
      </c>
      <c r="M590">
        <v>2404</v>
      </c>
      <c r="N590">
        <v>1275</v>
      </c>
      <c r="O590" t="s">
        <v>671</v>
      </c>
      <c r="P590" t="s">
        <v>1195</v>
      </c>
      <c r="Q590" t="s">
        <v>1488</v>
      </c>
      <c r="R590" t="s">
        <v>1345</v>
      </c>
    </row>
    <row r="591" spans="1:18" x14ac:dyDescent="0.3">
      <c r="A591" t="s">
        <v>1495</v>
      </c>
      <c r="B591">
        <v>0</v>
      </c>
      <c r="C591" t="s">
        <v>1</v>
      </c>
      <c r="D591">
        <v>306</v>
      </c>
      <c r="E591">
        <v>1237</v>
      </c>
      <c r="F591">
        <v>1077</v>
      </c>
      <c r="G591">
        <v>1543</v>
      </c>
      <c r="H591">
        <v>771</v>
      </c>
      <c r="I591">
        <v>306</v>
      </c>
      <c r="J591" t="s">
        <v>1093</v>
      </c>
      <c r="K591" t="s">
        <v>627</v>
      </c>
      <c r="L591" t="s">
        <v>1496</v>
      </c>
      <c r="M591">
        <v>691</v>
      </c>
      <c r="N591">
        <v>1390</v>
      </c>
      <c r="O591" t="s">
        <v>1095</v>
      </c>
      <c r="P591" t="s">
        <v>13</v>
      </c>
      <c r="Q591" t="s">
        <v>1497</v>
      </c>
      <c r="R591" t="s">
        <v>392</v>
      </c>
    </row>
    <row r="592" spans="1:18" x14ac:dyDescent="0.3">
      <c r="A592" t="s">
        <v>1495</v>
      </c>
      <c r="B592">
        <v>1</v>
      </c>
      <c r="C592" t="s">
        <v>1</v>
      </c>
      <c r="D592">
        <v>2978</v>
      </c>
      <c r="E592">
        <v>1364</v>
      </c>
      <c r="F592">
        <v>3455</v>
      </c>
      <c r="G592">
        <v>1576</v>
      </c>
      <c r="H592">
        <v>477</v>
      </c>
      <c r="I592">
        <v>212</v>
      </c>
      <c r="J592" t="s">
        <v>1001</v>
      </c>
      <c r="K592" t="s">
        <v>968</v>
      </c>
      <c r="L592" t="s">
        <v>811</v>
      </c>
      <c r="M592">
        <v>3216</v>
      </c>
      <c r="N592">
        <v>1470</v>
      </c>
      <c r="O592" t="s">
        <v>1003</v>
      </c>
      <c r="P592" t="s">
        <v>19</v>
      </c>
      <c r="Q592" t="s">
        <v>1497</v>
      </c>
      <c r="R592" t="s">
        <v>1498</v>
      </c>
    </row>
    <row r="593" spans="1:18" x14ac:dyDescent="0.3">
      <c r="A593" t="s">
        <v>1495</v>
      </c>
      <c r="B593">
        <v>2</v>
      </c>
      <c r="C593" t="s">
        <v>1</v>
      </c>
      <c r="D593">
        <v>1836</v>
      </c>
      <c r="E593">
        <v>1328</v>
      </c>
      <c r="F593">
        <v>2122</v>
      </c>
      <c r="G593">
        <v>1544</v>
      </c>
      <c r="H593">
        <v>286</v>
      </c>
      <c r="I593">
        <v>216</v>
      </c>
      <c r="J593" t="s">
        <v>1453</v>
      </c>
      <c r="K593" t="s">
        <v>1095</v>
      </c>
      <c r="L593" t="s">
        <v>239</v>
      </c>
      <c r="M593">
        <v>1979</v>
      </c>
      <c r="N593">
        <v>1436</v>
      </c>
      <c r="O593" t="s">
        <v>1454</v>
      </c>
      <c r="P593" t="s">
        <v>182</v>
      </c>
      <c r="Q593" t="s">
        <v>1497</v>
      </c>
      <c r="R593" t="s">
        <v>501</v>
      </c>
    </row>
    <row r="594" spans="1:18" x14ac:dyDescent="0.3">
      <c r="A594" t="s">
        <v>1495</v>
      </c>
      <c r="B594">
        <v>3</v>
      </c>
      <c r="C594" t="s">
        <v>1</v>
      </c>
      <c r="D594">
        <v>993</v>
      </c>
      <c r="E594">
        <v>1315</v>
      </c>
      <c r="F594">
        <v>1316</v>
      </c>
      <c r="G594">
        <v>1529</v>
      </c>
      <c r="H594">
        <v>323</v>
      </c>
      <c r="I594">
        <v>214</v>
      </c>
      <c r="J594" t="s">
        <v>1499</v>
      </c>
      <c r="K594" t="s">
        <v>237</v>
      </c>
      <c r="L594" t="s">
        <v>476</v>
      </c>
      <c r="M594">
        <v>1154</v>
      </c>
      <c r="N594">
        <v>1422</v>
      </c>
      <c r="O594" t="s">
        <v>1500</v>
      </c>
      <c r="P594" t="s">
        <v>335</v>
      </c>
      <c r="Q594" t="s">
        <v>1497</v>
      </c>
      <c r="R594" t="s">
        <v>488</v>
      </c>
    </row>
    <row r="595" spans="1:18" x14ac:dyDescent="0.3">
      <c r="A595" t="s">
        <v>1495</v>
      </c>
      <c r="B595">
        <v>4</v>
      </c>
      <c r="C595" t="s">
        <v>1</v>
      </c>
      <c r="D595">
        <v>2214</v>
      </c>
      <c r="E595">
        <v>1263</v>
      </c>
      <c r="F595">
        <v>2583</v>
      </c>
      <c r="G595">
        <v>1540</v>
      </c>
      <c r="H595">
        <v>369</v>
      </c>
      <c r="I595">
        <v>277</v>
      </c>
      <c r="J595" t="s">
        <v>478</v>
      </c>
      <c r="K595" t="s">
        <v>725</v>
      </c>
      <c r="L595" t="s">
        <v>567</v>
      </c>
      <c r="M595">
        <v>2398</v>
      </c>
      <c r="N595">
        <v>1401</v>
      </c>
      <c r="O595" t="s">
        <v>480</v>
      </c>
      <c r="P595" t="s">
        <v>750</v>
      </c>
      <c r="Q595" t="s">
        <v>1497</v>
      </c>
      <c r="R595" t="s">
        <v>484</v>
      </c>
    </row>
    <row r="596" spans="1:18" x14ac:dyDescent="0.3">
      <c r="A596" t="s">
        <v>1495</v>
      </c>
      <c r="B596">
        <v>5</v>
      </c>
      <c r="C596" t="s">
        <v>1</v>
      </c>
      <c r="D596">
        <v>2643</v>
      </c>
      <c r="E596">
        <v>1350</v>
      </c>
      <c r="F596">
        <v>2981</v>
      </c>
      <c r="G596">
        <v>1555</v>
      </c>
      <c r="H596">
        <v>338</v>
      </c>
      <c r="I596">
        <v>205</v>
      </c>
      <c r="J596" t="s">
        <v>1149</v>
      </c>
      <c r="K596" t="s">
        <v>759</v>
      </c>
      <c r="L596" t="s">
        <v>34</v>
      </c>
      <c r="M596">
        <v>2812</v>
      </c>
      <c r="N596">
        <v>1452</v>
      </c>
      <c r="O596" t="s">
        <v>1483</v>
      </c>
      <c r="P596" t="s">
        <v>198</v>
      </c>
      <c r="Q596" t="s">
        <v>1497</v>
      </c>
      <c r="R596" t="s">
        <v>37</v>
      </c>
    </row>
    <row r="597" spans="1:18" x14ac:dyDescent="0.3">
      <c r="A597" t="s">
        <v>1495</v>
      </c>
      <c r="B597">
        <v>6</v>
      </c>
      <c r="C597" t="s">
        <v>1</v>
      </c>
      <c r="D597">
        <v>1362</v>
      </c>
      <c r="E597">
        <v>1296</v>
      </c>
      <c r="F597">
        <v>1655</v>
      </c>
      <c r="G597">
        <v>1542</v>
      </c>
      <c r="H597">
        <v>293</v>
      </c>
      <c r="I597">
        <v>246</v>
      </c>
      <c r="J597" t="s">
        <v>912</v>
      </c>
      <c r="K597" t="s">
        <v>459</v>
      </c>
      <c r="L597" t="s">
        <v>1353</v>
      </c>
      <c r="M597">
        <v>1508</v>
      </c>
      <c r="N597">
        <v>1419</v>
      </c>
      <c r="O597" t="s">
        <v>913</v>
      </c>
      <c r="P597" t="s">
        <v>198</v>
      </c>
      <c r="Q597" t="s">
        <v>1497</v>
      </c>
      <c r="R597" t="s">
        <v>130</v>
      </c>
    </row>
    <row r="598" spans="1:18" x14ac:dyDescent="0.3">
      <c r="A598" t="s">
        <v>1495</v>
      </c>
      <c r="B598">
        <v>7</v>
      </c>
      <c r="C598" t="s">
        <v>1</v>
      </c>
      <c r="D598">
        <v>3379</v>
      </c>
      <c r="E598">
        <v>1390</v>
      </c>
      <c r="F598">
        <v>3684</v>
      </c>
      <c r="G598">
        <v>1595</v>
      </c>
      <c r="H598">
        <v>305</v>
      </c>
      <c r="I598">
        <v>205</v>
      </c>
      <c r="J598" t="s">
        <v>1046</v>
      </c>
      <c r="K598" t="s">
        <v>759</v>
      </c>
      <c r="L598" t="s">
        <v>460</v>
      </c>
      <c r="M598">
        <v>3531</v>
      </c>
      <c r="N598">
        <v>1492</v>
      </c>
      <c r="O598" t="s">
        <v>1047</v>
      </c>
      <c r="P598" t="s">
        <v>736</v>
      </c>
      <c r="Q598" t="s">
        <v>1497</v>
      </c>
      <c r="R598" t="s">
        <v>1217</v>
      </c>
    </row>
    <row r="599" spans="1:18" x14ac:dyDescent="0.3">
      <c r="A599" t="s">
        <v>1501</v>
      </c>
      <c r="B599">
        <v>0</v>
      </c>
      <c r="C599" t="s">
        <v>1</v>
      </c>
      <c r="D599">
        <v>2499</v>
      </c>
      <c r="E599">
        <v>1263</v>
      </c>
      <c r="F599">
        <v>2840</v>
      </c>
      <c r="G599">
        <v>1478</v>
      </c>
      <c r="H599">
        <v>341</v>
      </c>
      <c r="I599">
        <v>215</v>
      </c>
      <c r="J599" t="s">
        <v>758</v>
      </c>
      <c r="K599" t="s">
        <v>365</v>
      </c>
      <c r="L599" t="s">
        <v>380</v>
      </c>
      <c r="M599">
        <v>2669</v>
      </c>
      <c r="N599">
        <v>1370</v>
      </c>
      <c r="O599" t="s">
        <v>760</v>
      </c>
      <c r="P599" t="s">
        <v>386</v>
      </c>
      <c r="Q599" t="s">
        <v>1502</v>
      </c>
      <c r="R599" t="s">
        <v>1503</v>
      </c>
    </row>
    <row r="600" spans="1:18" x14ac:dyDescent="0.3">
      <c r="A600" t="s">
        <v>1501</v>
      </c>
      <c r="B600">
        <v>1</v>
      </c>
      <c r="C600" t="s">
        <v>1</v>
      </c>
      <c r="D600">
        <v>1677</v>
      </c>
      <c r="E600">
        <v>1223</v>
      </c>
      <c r="F600">
        <v>1958</v>
      </c>
      <c r="G600">
        <v>1441</v>
      </c>
      <c r="H600">
        <v>281</v>
      </c>
      <c r="I600">
        <v>218</v>
      </c>
      <c r="J600" t="s">
        <v>1024</v>
      </c>
      <c r="K600" t="s">
        <v>747</v>
      </c>
      <c r="L600" t="s">
        <v>618</v>
      </c>
      <c r="M600">
        <v>1817</v>
      </c>
      <c r="N600">
        <v>1332</v>
      </c>
      <c r="O600" t="s">
        <v>1025</v>
      </c>
      <c r="P600" t="s">
        <v>750</v>
      </c>
      <c r="Q600" t="s">
        <v>1502</v>
      </c>
      <c r="R600" t="s">
        <v>1504</v>
      </c>
    </row>
    <row r="601" spans="1:18" x14ac:dyDescent="0.3">
      <c r="A601" t="s">
        <v>1501</v>
      </c>
      <c r="B601">
        <v>2</v>
      </c>
      <c r="C601" t="s">
        <v>1</v>
      </c>
      <c r="D601">
        <v>823</v>
      </c>
      <c r="E601">
        <v>1197</v>
      </c>
      <c r="F601">
        <v>1130</v>
      </c>
      <c r="G601">
        <v>1403</v>
      </c>
      <c r="H601">
        <v>307</v>
      </c>
      <c r="I601">
        <v>206</v>
      </c>
      <c r="J601" t="s">
        <v>1505</v>
      </c>
      <c r="K601" t="s">
        <v>849</v>
      </c>
      <c r="L601" t="s">
        <v>460</v>
      </c>
      <c r="M601">
        <v>976</v>
      </c>
      <c r="N601">
        <v>1300</v>
      </c>
      <c r="O601" t="s">
        <v>1506</v>
      </c>
      <c r="P601" t="s">
        <v>104</v>
      </c>
      <c r="Q601" t="s">
        <v>1502</v>
      </c>
      <c r="R601" t="s">
        <v>559</v>
      </c>
    </row>
    <row r="602" spans="1:18" x14ac:dyDescent="0.3">
      <c r="A602" t="s">
        <v>1501</v>
      </c>
      <c r="B602">
        <v>3</v>
      </c>
      <c r="C602" t="s">
        <v>1</v>
      </c>
      <c r="D602">
        <v>0</v>
      </c>
      <c r="E602">
        <v>1096</v>
      </c>
      <c r="F602">
        <v>860</v>
      </c>
      <c r="G602">
        <v>1413</v>
      </c>
      <c r="H602">
        <v>860</v>
      </c>
      <c r="I602">
        <v>317</v>
      </c>
      <c r="J602" t="s">
        <v>1507</v>
      </c>
      <c r="K602" t="s">
        <v>518</v>
      </c>
      <c r="L602" t="s">
        <v>1508</v>
      </c>
      <c r="M602">
        <v>430</v>
      </c>
      <c r="N602">
        <v>1254</v>
      </c>
      <c r="O602" t="s">
        <v>1509</v>
      </c>
      <c r="P602" t="s">
        <v>238</v>
      </c>
      <c r="Q602" t="s">
        <v>1502</v>
      </c>
      <c r="R602" t="s">
        <v>994</v>
      </c>
    </row>
    <row r="603" spans="1:18" x14ac:dyDescent="0.3">
      <c r="A603" t="s">
        <v>1501</v>
      </c>
      <c r="B603">
        <v>4</v>
      </c>
      <c r="C603" t="s">
        <v>1</v>
      </c>
      <c r="D603">
        <v>2845</v>
      </c>
      <c r="E603">
        <v>1296</v>
      </c>
      <c r="F603">
        <v>3295</v>
      </c>
      <c r="G603">
        <v>1511</v>
      </c>
      <c r="H603">
        <v>450</v>
      </c>
      <c r="I603">
        <v>215</v>
      </c>
      <c r="J603" t="s">
        <v>790</v>
      </c>
      <c r="K603" t="s">
        <v>365</v>
      </c>
      <c r="L603" t="s">
        <v>955</v>
      </c>
      <c r="M603">
        <v>3070</v>
      </c>
      <c r="N603">
        <v>1403</v>
      </c>
      <c r="O603" t="s">
        <v>792</v>
      </c>
      <c r="P603" t="s">
        <v>238</v>
      </c>
      <c r="Q603" t="s">
        <v>1502</v>
      </c>
      <c r="R603" t="s">
        <v>1510</v>
      </c>
    </row>
    <row r="604" spans="1:18" x14ac:dyDescent="0.3">
      <c r="A604" t="s">
        <v>1501</v>
      </c>
      <c r="B604">
        <v>5</v>
      </c>
      <c r="C604" t="s">
        <v>1</v>
      </c>
      <c r="D604">
        <v>2113</v>
      </c>
      <c r="E604">
        <v>1171</v>
      </c>
      <c r="F604">
        <v>2456</v>
      </c>
      <c r="G604">
        <v>1464</v>
      </c>
      <c r="H604">
        <v>343</v>
      </c>
      <c r="I604">
        <v>293</v>
      </c>
      <c r="J604" t="s">
        <v>1511</v>
      </c>
      <c r="K604" t="s">
        <v>1266</v>
      </c>
      <c r="L604" t="s">
        <v>1321</v>
      </c>
      <c r="M604">
        <v>2284</v>
      </c>
      <c r="N604">
        <v>1317</v>
      </c>
      <c r="O604" t="s">
        <v>1512</v>
      </c>
      <c r="P604" t="s">
        <v>511</v>
      </c>
      <c r="Q604" t="s">
        <v>1502</v>
      </c>
      <c r="R604" t="s">
        <v>1513</v>
      </c>
    </row>
    <row r="605" spans="1:18" x14ac:dyDescent="0.3">
      <c r="A605" t="s">
        <v>1501</v>
      </c>
      <c r="B605">
        <v>6</v>
      </c>
      <c r="C605" t="s">
        <v>1</v>
      </c>
      <c r="D605">
        <v>1396</v>
      </c>
      <c r="E605">
        <v>1195</v>
      </c>
      <c r="F605">
        <v>1542</v>
      </c>
      <c r="G605">
        <v>1447</v>
      </c>
      <c r="H605">
        <v>146</v>
      </c>
      <c r="I605">
        <v>252</v>
      </c>
      <c r="J605" t="s">
        <v>1012</v>
      </c>
      <c r="K605" t="s">
        <v>1203</v>
      </c>
      <c r="L605" t="s">
        <v>1195</v>
      </c>
      <c r="M605">
        <v>1469</v>
      </c>
      <c r="N605">
        <v>1321</v>
      </c>
      <c r="O605" t="s">
        <v>1014</v>
      </c>
      <c r="P605" t="s">
        <v>73</v>
      </c>
      <c r="Q605" t="s">
        <v>1502</v>
      </c>
      <c r="R605" t="s">
        <v>182</v>
      </c>
    </row>
    <row r="606" spans="1:18" x14ac:dyDescent="0.3">
      <c r="A606" t="s">
        <v>1501</v>
      </c>
      <c r="B606">
        <v>8</v>
      </c>
      <c r="C606" t="s">
        <v>1</v>
      </c>
      <c r="D606">
        <v>2844</v>
      </c>
      <c r="E606">
        <v>1297</v>
      </c>
      <c r="F606">
        <v>3149</v>
      </c>
      <c r="G606">
        <v>1506</v>
      </c>
      <c r="H606">
        <v>305</v>
      </c>
      <c r="I606">
        <v>209</v>
      </c>
      <c r="J606" t="s">
        <v>1046</v>
      </c>
      <c r="K606" t="s">
        <v>873</v>
      </c>
      <c r="L606" t="s">
        <v>545</v>
      </c>
      <c r="M606">
        <v>2996</v>
      </c>
      <c r="N606">
        <v>1401</v>
      </c>
      <c r="O606" t="s">
        <v>1047</v>
      </c>
      <c r="P606" t="s">
        <v>1163</v>
      </c>
      <c r="Q606" t="s">
        <v>1502</v>
      </c>
      <c r="R606" t="s">
        <v>701</v>
      </c>
    </row>
    <row r="607" spans="1:18" x14ac:dyDescent="0.3">
      <c r="A607" t="s">
        <v>1514</v>
      </c>
      <c r="B607">
        <v>0</v>
      </c>
      <c r="C607" t="s">
        <v>1</v>
      </c>
      <c r="D607">
        <v>2837</v>
      </c>
      <c r="E607">
        <v>1176</v>
      </c>
      <c r="F607">
        <v>3175</v>
      </c>
      <c r="G607">
        <v>1400</v>
      </c>
      <c r="H607">
        <v>338</v>
      </c>
      <c r="I607">
        <v>224</v>
      </c>
      <c r="J607" t="s">
        <v>1149</v>
      </c>
      <c r="K607" t="s">
        <v>967</v>
      </c>
      <c r="L607" t="s">
        <v>476</v>
      </c>
      <c r="M607">
        <v>3006</v>
      </c>
      <c r="N607">
        <v>1288</v>
      </c>
      <c r="O607" t="s">
        <v>1483</v>
      </c>
      <c r="P607" t="s">
        <v>386</v>
      </c>
      <c r="Q607" t="s">
        <v>1515</v>
      </c>
      <c r="R607" t="s">
        <v>1516</v>
      </c>
    </row>
    <row r="608" spans="1:18" x14ac:dyDescent="0.3">
      <c r="A608" t="s">
        <v>1514</v>
      </c>
      <c r="B608">
        <v>1</v>
      </c>
      <c r="C608" t="s">
        <v>1</v>
      </c>
      <c r="D608">
        <v>2002</v>
      </c>
      <c r="E608">
        <v>1182</v>
      </c>
      <c r="F608">
        <v>2286</v>
      </c>
      <c r="G608">
        <v>1403</v>
      </c>
      <c r="H608">
        <v>284</v>
      </c>
      <c r="I608">
        <v>221</v>
      </c>
      <c r="J608" t="s">
        <v>853</v>
      </c>
      <c r="K608" t="s">
        <v>24</v>
      </c>
      <c r="L608" t="s">
        <v>618</v>
      </c>
      <c r="M608">
        <v>2144</v>
      </c>
      <c r="N608">
        <v>1292</v>
      </c>
      <c r="O608" t="s">
        <v>962</v>
      </c>
      <c r="P608" t="s">
        <v>197</v>
      </c>
      <c r="Q608" t="s">
        <v>1515</v>
      </c>
      <c r="R608" t="s">
        <v>1517</v>
      </c>
    </row>
    <row r="609" spans="1:18" x14ac:dyDescent="0.3">
      <c r="A609" t="s">
        <v>1514</v>
      </c>
      <c r="B609">
        <v>2</v>
      </c>
      <c r="C609" t="s">
        <v>1</v>
      </c>
      <c r="D609">
        <v>1211</v>
      </c>
      <c r="E609">
        <v>1181</v>
      </c>
      <c r="F609">
        <v>1508</v>
      </c>
      <c r="G609">
        <v>1395</v>
      </c>
      <c r="H609">
        <v>297</v>
      </c>
      <c r="I609">
        <v>214</v>
      </c>
      <c r="J609" t="s">
        <v>867</v>
      </c>
      <c r="K609" t="s">
        <v>237</v>
      </c>
      <c r="L609" t="s">
        <v>575</v>
      </c>
      <c r="M609">
        <v>1359</v>
      </c>
      <c r="N609">
        <v>1288</v>
      </c>
      <c r="O609" t="s">
        <v>408</v>
      </c>
      <c r="P609" t="s">
        <v>63</v>
      </c>
      <c r="Q609" t="s">
        <v>1515</v>
      </c>
      <c r="R609" t="s">
        <v>82</v>
      </c>
    </row>
    <row r="610" spans="1:18" x14ac:dyDescent="0.3">
      <c r="A610" t="s">
        <v>1514</v>
      </c>
      <c r="B610">
        <v>3</v>
      </c>
      <c r="C610" t="s">
        <v>1</v>
      </c>
      <c r="D610">
        <v>3174</v>
      </c>
      <c r="E610">
        <v>1199</v>
      </c>
      <c r="F610">
        <v>3608</v>
      </c>
      <c r="G610">
        <v>1404</v>
      </c>
      <c r="H610">
        <v>434</v>
      </c>
      <c r="I610">
        <v>205</v>
      </c>
      <c r="J610" t="s">
        <v>1435</v>
      </c>
      <c r="K610" t="s">
        <v>759</v>
      </c>
      <c r="L610" t="s">
        <v>1022</v>
      </c>
      <c r="M610">
        <v>3391</v>
      </c>
      <c r="N610">
        <v>1301</v>
      </c>
      <c r="O610" t="s">
        <v>1436</v>
      </c>
      <c r="P610" t="s">
        <v>110</v>
      </c>
      <c r="Q610" t="s">
        <v>1515</v>
      </c>
      <c r="R610" t="s">
        <v>1518</v>
      </c>
    </row>
    <row r="611" spans="1:18" x14ac:dyDescent="0.3">
      <c r="A611" t="s">
        <v>1514</v>
      </c>
      <c r="B611">
        <v>4</v>
      </c>
      <c r="C611" t="s">
        <v>1</v>
      </c>
      <c r="D611">
        <v>541</v>
      </c>
      <c r="E611">
        <v>1121</v>
      </c>
      <c r="F611">
        <v>1285</v>
      </c>
      <c r="G611">
        <v>1413</v>
      </c>
      <c r="H611">
        <v>744</v>
      </c>
      <c r="I611">
        <v>292</v>
      </c>
      <c r="J611" t="s">
        <v>1162</v>
      </c>
      <c r="K611" t="s">
        <v>298</v>
      </c>
      <c r="L611" t="s">
        <v>1519</v>
      </c>
      <c r="M611">
        <v>913</v>
      </c>
      <c r="N611">
        <v>1267</v>
      </c>
      <c r="O611" t="s">
        <v>1520</v>
      </c>
      <c r="P611" t="s">
        <v>96</v>
      </c>
      <c r="Q611" t="s">
        <v>1515</v>
      </c>
      <c r="R611" t="s">
        <v>1521</v>
      </c>
    </row>
    <row r="612" spans="1:18" x14ac:dyDescent="0.3">
      <c r="A612" t="s">
        <v>1514</v>
      </c>
      <c r="B612">
        <v>6</v>
      </c>
      <c r="C612" t="s">
        <v>1</v>
      </c>
      <c r="D612">
        <v>2381</v>
      </c>
      <c r="E612">
        <v>1094</v>
      </c>
      <c r="F612">
        <v>2768</v>
      </c>
      <c r="G612">
        <v>1402</v>
      </c>
      <c r="H612">
        <v>387</v>
      </c>
      <c r="I612">
        <v>308</v>
      </c>
      <c r="J612" t="s">
        <v>711</v>
      </c>
      <c r="K612" t="s">
        <v>644</v>
      </c>
      <c r="L612" t="s">
        <v>878</v>
      </c>
      <c r="M612">
        <v>2574</v>
      </c>
      <c r="N612">
        <v>1248</v>
      </c>
      <c r="O612" t="s">
        <v>761</v>
      </c>
      <c r="P612" t="s">
        <v>73</v>
      </c>
      <c r="Q612" t="s">
        <v>1515</v>
      </c>
      <c r="R612" t="s">
        <v>8</v>
      </c>
    </row>
    <row r="613" spans="1:18" x14ac:dyDescent="0.3">
      <c r="A613" t="s">
        <v>1514</v>
      </c>
      <c r="B613">
        <v>7</v>
      </c>
      <c r="C613" t="s">
        <v>1</v>
      </c>
      <c r="D613">
        <v>1567</v>
      </c>
      <c r="E613">
        <v>1168</v>
      </c>
      <c r="F613">
        <v>1796</v>
      </c>
      <c r="G613">
        <v>1291</v>
      </c>
      <c r="H613">
        <v>229</v>
      </c>
      <c r="I613">
        <v>123</v>
      </c>
      <c r="J613" t="s">
        <v>901</v>
      </c>
      <c r="K613" t="s">
        <v>1522</v>
      </c>
      <c r="L613" t="s">
        <v>356</v>
      </c>
      <c r="M613">
        <v>1681</v>
      </c>
      <c r="N613">
        <v>1229</v>
      </c>
      <c r="O613" t="s">
        <v>904</v>
      </c>
      <c r="P613" t="s">
        <v>859</v>
      </c>
      <c r="Q613" t="s">
        <v>1515</v>
      </c>
      <c r="R613" t="s">
        <v>602</v>
      </c>
    </row>
    <row r="614" spans="1:18" x14ac:dyDescent="0.3">
      <c r="A614" t="s">
        <v>1523</v>
      </c>
      <c r="B614">
        <v>0</v>
      </c>
      <c r="C614" t="s">
        <v>1</v>
      </c>
      <c r="D614">
        <v>2001</v>
      </c>
      <c r="E614">
        <v>1157</v>
      </c>
      <c r="F614">
        <v>2301</v>
      </c>
      <c r="G614">
        <v>1376</v>
      </c>
      <c r="H614">
        <v>300</v>
      </c>
      <c r="I614">
        <v>219</v>
      </c>
      <c r="J614" t="s">
        <v>1405</v>
      </c>
      <c r="K614" t="s">
        <v>753</v>
      </c>
      <c r="L614" t="s">
        <v>294</v>
      </c>
      <c r="M614">
        <v>2151</v>
      </c>
      <c r="N614">
        <v>1266</v>
      </c>
      <c r="O614" t="s">
        <v>1406</v>
      </c>
      <c r="P614" t="s">
        <v>335</v>
      </c>
      <c r="Q614" t="s">
        <v>1524</v>
      </c>
      <c r="R614" t="s">
        <v>755</v>
      </c>
    </row>
    <row r="615" spans="1:18" x14ac:dyDescent="0.3">
      <c r="A615" t="s">
        <v>1523</v>
      </c>
      <c r="B615">
        <v>1</v>
      </c>
      <c r="C615" t="s">
        <v>1</v>
      </c>
      <c r="D615">
        <v>539</v>
      </c>
      <c r="E615">
        <v>1087</v>
      </c>
      <c r="F615">
        <v>1286</v>
      </c>
      <c r="G615">
        <v>1378</v>
      </c>
      <c r="H615">
        <v>747</v>
      </c>
      <c r="I615">
        <v>291</v>
      </c>
      <c r="J615" t="s">
        <v>1525</v>
      </c>
      <c r="K615" t="s">
        <v>596</v>
      </c>
      <c r="L615" t="s">
        <v>1526</v>
      </c>
      <c r="M615">
        <v>912</v>
      </c>
      <c r="N615">
        <v>1232</v>
      </c>
      <c r="O615" t="s">
        <v>867</v>
      </c>
      <c r="P615" t="s">
        <v>262</v>
      </c>
      <c r="Q615" t="s">
        <v>1524</v>
      </c>
      <c r="R615" t="s">
        <v>1191</v>
      </c>
    </row>
    <row r="616" spans="1:18" x14ac:dyDescent="0.3">
      <c r="A616" t="s">
        <v>1523</v>
      </c>
      <c r="B616">
        <v>2</v>
      </c>
      <c r="C616" t="s">
        <v>1</v>
      </c>
      <c r="D616">
        <v>1200</v>
      </c>
      <c r="E616">
        <v>1150</v>
      </c>
      <c r="F616">
        <v>1512</v>
      </c>
      <c r="G616">
        <v>1364</v>
      </c>
      <c r="H616">
        <v>312</v>
      </c>
      <c r="I616">
        <v>214</v>
      </c>
      <c r="J616" t="s">
        <v>62</v>
      </c>
      <c r="K616" t="s">
        <v>237</v>
      </c>
      <c r="L616" t="s">
        <v>545</v>
      </c>
      <c r="M616">
        <v>1356</v>
      </c>
      <c r="N616">
        <v>1257</v>
      </c>
      <c r="O616" t="s">
        <v>1034</v>
      </c>
      <c r="P616" t="s">
        <v>391</v>
      </c>
      <c r="Q616" t="s">
        <v>1524</v>
      </c>
      <c r="R616" t="s">
        <v>99</v>
      </c>
    </row>
    <row r="617" spans="1:18" x14ac:dyDescent="0.3">
      <c r="A617" t="s">
        <v>1523</v>
      </c>
      <c r="B617">
        <v>3</v>
      </c>
      <c r="C617" t="s">
        <v>1</v>
      </c>
      <c r="D617">
        <v>2841</v>
      </c>
      <c r="E617">
        <v>1160</v>
      </c>
      <c r="F617">
        <v>3172</v>
      </c>
      <c r="G617">
        <v>1380</v>
      </c>
      <c r="H617">
        <v>331</v>
      </c>
      <c r="I617">
        <v>220</v>
      </c>
      <c r="J617" t="s">
        <v>1112</v>
      </c>
      <c r="K617" t="s">
        <v>390</v>
      </c>
      <c r="L617" t="s">
        <v>446</v>
      </c>
      <c r="M617">
        <v>3006</v>
      </c>
      <c r="N617">
        <v>1270</v>
      </c>
      <c r="O617" t="s">
        <v>1111</v>
      </c>
      <c r="P617" t="s">
        <v>505</v>
      </c>
      <c r="Q617" t="s">
        <v>1524</v>
      </c>
      <c r="R617" t="s">
        <v>1210</v>
      </c>
    </row>
    <row r="618" spans="1:18" x14ac:dyDescent="0.3">
      <c r="A618" t="s">
        <v>1523</v>
      </c>
      <c r="B618">
        <v>4</v>
      </c>
      <c r="C618" t="s">
        <v>1</v>
      </c>
      <c r="D618">
        <v>3178</v>
      </c>
      <c r="E618">
        <v>1187</v>
      </c>
      <c r="F618">
        <v>3682</v>
      </c>
      <c r="G618">
        <v>1394</v>
      </c>
      <c r="H618">
        <v>504</v>
      </c>
      <c r="I618">
        <v>207</v>
      </c>
      <c r="J618" t="s">
        <v>137</v>
      </c>
      <c r="K618" t="s">
        <v>778</v>
      </c>
      <c r="L618" t="s">
        <v>1527</v>
      </c>
      <c r="M618">
        <v>3430</v>
      </c>
      <c r="N618">
        <v>1290</v>
      </c>
      <c r="O618" t="s">
        <v>1222</v>
      </c>
      <c r="P618" t="s">
        <v>505</v>
      </c>
      <c r="Q618" t="s">
        <v>1524</v>
      </c>
      <c r="R618" t="s">
        <v>91</v>
      </c>
    </row>
    <row r="619" spans="1:18" x14ac:dyDescent="0.3">
      <c r="A619" t="s">
        <v>1523</v>
      </c>
      <c r="B619">
        <v>5</v>
      </c>
      <c r="C619" t="s">
        <v>1</v>
      </c>
      <c r="D619">
        <v>2457</v>
      </c>
      <c r="E619">
        <v>1075</v>
      </c>
      <c r="F619">
        <v>2786</v>
      </c>
      <c r="G619">
        <v>1379</v>
      </c>
      <c r="H619">
        <v>329</v>
      </c>
      <c r="I619">
        <v>304</v>
      </c>
      <c r="J619" t="s">
        <v>1528</v>
      </c>
      <c r="K619" t="s">
        <v>12</v>
      </c>
      <c r="L619" t="s">
        <v>1529</v>
      </c>
      <c r="M619">
        <v>2621</v>
      </c>
      <c r="N619">
        <v>1227</v>
      </c>
      <c r="O619" t="s">
        <v>1530</v>
      </c>
      <c r="P619" t="s">
        <v>1195</v>
      </c>
      <c r="Q619" t="s">
        <v>1524</v>
      </c>
      <c r="R619" t="s">
        <v>206</v>
      </c>
    </row>
    <row r="620" spans="1:18" x14ac:dyDescent="0.3">
      <c r="A620" t="s">
        <v>1523</v>
      </c>
      <c r="B620">
        <v>6</v>
      </c>
      <c r="C620" t="s">
        <v>1</v>
      </c>
      <c r="D620">
        <v>1554</v>
      </c>
      <c r="E620">
        <v>1139</v>
      </c>
      <c r="F620">
        <v>1802</v>
      </c>
      <c r="G620">
        <v>1378</v>
      </c>
      <c r="H620">
        <v>248</v>
      </c>
      <c r="I620">
        <v>239</v>
      </c>
      <c r="J620" t="s">
        <v>1467</v>
      </c>
      <c r="K620" t="s">
        <v>1061</v>
      </c>
      <c r="L620" t="s">
        <v>842</v>
      </c>
      <c r="M620">
        <v>1678</v>
      </c>
      <c r="N620">
        <v>1258</v>
      </c>
      <c r="O620" t="s">
        <v>1531</v>
      </c>
      <c r="P620" t="s">
        <v>361</v>
      </c>
      <c r="Q620" t="s">
        <v>1524</v>
      </c>
      <c r="R620" t="s">
        <v>1532</v>
      </c>
    </row>
    <row r="621" spans="1:18" x14ac:dyDescent="0.3">
      <c r="A621" t="s">
        <v>1523</v>
      </c>
      <c r="B621">
        <v>8</v>
      </c>
      <c r="C621" t="s">
        <v>1</v>
      </c>
      <c r="D621">
        <v>1571</v>
      </c>
      <c r="E621">
        <v>1139</v>
      </c>
      <c r="F621">
        <v>1801</v>
      </c>
      <c r="G621">
        <v>1261</v>
      </c>
      <c r="H621">
        <v>230</v>
      </c>
      <c r="I621">
        <v>122</v>
      </c>
      <c r="J621" t="s">
        <v>1533</v>
      </c>
      <c r="K621" t="s">
        <v>1534</v>
      </c>
      <c r="L621" t="s">
        <v>1535</v>
      </c>
      <c r="M621">
        <v>1686</v>
      </c>
      <c r="N621">
        <v>1200</v>
      </c>
      <c r="O621" t="s">
        <v>1536</v>
      </c>
      <c r="P621" t="s">
        <v>884</v>
      </c>
      <c r="Q621" t="s">
        <v>1524</v>
      </c>
      <c r="R621" t="s">
        <v>547</v>
      </c>
    </row>
    <row r="622" spans="1:18" x14ac:dyDescent="0.3">
      <c r="A622" t="s">
        <v>1537</v>
      </c>
      <c r="B622">
        <v>0</v>
      </c>
      <c r="C622" t="s">
        <v>1</v>
      </c>
      <c r="D622">
        <v>2745</v>
      </c>
      <c r="E622">
        <v>1512</v>
      </c>
      <c r="F622">
        <v>3068</v>
      </c>
      <c r="G622">
        <v>1726</v>
      </c>
      <c r="H622">
        <v>323</v>
      </c>
      <c r="I622">
        <v>214</v>
      </c>
      <c r="J622" t="s">
        <v>1499</v>
      </c>
      <c r="K622" t="s">
        <v>237</v>
      </c>
      <c r="L622" t="s">
        <v>476</v>
      </c>
      <c r="M622">
        <v>2906</v>
      </c>
      <c r="N622">
        <v>1619</v>
      </c>
      <c r="O622" t="s">
        <v>1500</v>
      </c>
      <c r="P622" t="s">
        <v>182</v>
      </c>
      <c r="Q622" t="s">
        <v>1538</v>
      </c>
      <c r="R622" t="s">
        <v>382</v>
      </c>
    </row>
    <row r="623" spans="1:18" x14ac:dyDescent="0.3">
      <c r="A623" t="s">
        <v>1537</v>
      </c>
      <c r="B623">
        <v>1</v>
      </c>
      <c r="C623" t="s">
        <v>1</v>
      </c>
      <c r="D623">
        <v>1160</v>
      </c>
      <c r="E623">
        <v>1444</v>
      </c>
      <c r="F623">
        <v>1451</v>
      </c>
      <c r="G623">
        <v>1666</v>
      </c>
      <c r="H623">
        <v>291</v>
      </c>
      <c r="I623">
        <v>222</v>
      </c>
      <c r="J623" t="s">
        <v>1383</v>
      </c>
      <c r="K623" t="s">
        <v>847</v>
      </c>
      <c r="L623" t="s">
        <v>894</v>
      </c>
      <c r="M623">
        <v>1305</v>
      </c>
      <c r="N623">
        <v>1555</v>
      </c>
      <c r="O623" t="s">
        <v>1384</v>
      </c>
      <c r="P623" t="s">
        <v>155</v>
      </c>
      <c r="Q623" t="s">
        <v>1538</v>
      </c>
      <c r="R623" t="s">
        <v>206</v>
      </c>
    </row>
    <row r="624" spans="1:18" x14ac:dyDescent="0.3">
      <c r="A624" t="s">
        <v>1537</v>
      </c>
      <c r="B624">
        <v>2</v>
      </c>
      <c r="C624" t="s">
        <v>1</v>
      </c>
      <c r="D624">
        <v>1940</v>
      </c>
      <c r="E624">
        <v>1473</v>
      </c>
      <c r="F624">
        <v>2221</v>
      </c>
      <c r="G624">
        <v>1694</v>
      </c>
      <c r="H624">
        <v>281</v>
      </c>
      <c r="I624">
        <v>221</v>
      </c>
      <c r="J624" t="s">
        <v>1024</v>
      </c>
      <c r="K624" t="s">
        <v>24</v>
      </c>
      <c r="L624" t="s">
        <v>779</v>
      </c>
      <c r="M624">
        <v>2080</v>
      </c>
      <c r="N624">
        <v>1583</v>
      </c>
      <c r="O624" t="s">
        <v>1025</v>
      </c>
      <c r="P624" t="s">
        <v>750</v>
      </c>
      <c r="Q624" t="s">
        <v>1538</v>
      </c>
      <c r="R624" t="s">
        <v>556</v>
      </c>
    </row>
    <row r="625" spans="1:18" x14ac:dyDescent="0.3">
      <c r="A625" t="s">
        <v>1537</v>
      </c>
      <c r="B625">
        <v>3</v>
      </c>
      <c r="C625" t="s">
        <v>1</v>
      </c>
      <c r="D625">
        <v>3079</v>
      </c>
      <c r="E625">
        <v>1545</v>
      </c>
      <c r="F625">
        <v>3460</v>
      </c>
      <c r="G625">
        <v>1753</v>
      </c>
      <c r="H625">
        <v>381</v>
      </c>
      <c r="I625">
        <v>208</v>
      </c>
      <c r="J625" t="s">
        <v>647</v>
      </c>
      <c r="K625" t="s">
        <v>810</v>
      </c>
      <c r="L625" t="s">
        <v>1395</v>
      </c>
      <c r="M625">
        <v>3269</v>
      </c>
      <c r="N625">
        <v>1649</v>
      </c>
      <c r="O625" t="s">
        <v>648</v>
      </c>
      <c r="P625" t="s">
        <v>110</v>
      </c>
      <c r="Q625" t="s">
        <v>1538</v>
      </c>
      <c r="R625" t="s">
        <v>793</v>
      </c>
    </row>
    <row r="626" spans="1:18" x14ac:dyDescent="0.3">
      <c r="A626" t="s">
        <v>1537</v>
      </c>
      <c r="B626">
        <v>4</v>
      </c>
      <c r="C626" t="s">
        <v>1</v>
      </c>
      <c r="D626">
        <v>2311</v>
      </c>
      <c r="E626">
        <v>1398</v>
      </c>
      <c r="F626">
        <v>2693</v>
      </c>
      <c r="G626">
        <v>1718</v>
      </c>
      <c r="H626">
        <v>382</v>
      </c>
      <c r="I626">
        <v>320</v>
      </c>
      <c r="J626" t="s">
        <v>439</v>
      </c>
      <c r="K626" t="s">
        <v>445</v>
      </c>
      <c r="L626" t="s">
        <v>1353</v>
      </c>
      <c r="M626">
        <v>2502</v>
      </c>
      <c r="N626">
        <v>1558</v>
      </c>
      <c r="O626" t="s">
        <v>384</v>
      </c>
      <c r="P626" t="s">
        <v>1117</v>
      </c>
      <c r="Q626" t="s">
        <v>1538</v>
      </c>
      <c r="R626" t="s">
        <v>121</v>
      </c>
    </row>
    <row r="627" spans="1:18" x14ac:dyDescent="0.3">
      <c r="A627" t="s">
        <v>1537</v>
      </c>
      <c r="B627">
        <v>6</v>
      </c>
      <c r="C627" t="s">
        <v>1</v>
      </c>
      <c r="D627">
        <v>489</v>
      </c>
      <c r="E627">
        <v>1374</v>
      </c>
      <c r="F627">
        <v>1214</v>
      </c>
      <c r="G627">
        <v>1666</v>
      </c>
      <c r="H627">
        <v>725</v>
      </c>
      <c r="I627">
        <v>292</v>
      </c>
      <c r="J627" t="s">
        <v>1539</v>
      </c>
      <c r="K627" t="s">
        <v>298</v>
      </c>
      <c r="L627" t="s">
        <v>1540</v>
      </c>
      <c r="M627">
        <v>851</v>
      </c>
      <c r="N627">
        <v>1520</v>
      </c>
      <c r="O627" t="s">
        <v>1541</v>
      </c>
      <c r="P627" t="s">
        <v>361</v>
      </c>
      <c r="Q627" t="s">
        <v>1538</v>
      </c>
      <c r="R627" t="s">
        <v>1191</v>
      </c>
    </row>
    <row r="628" spans="1:18" x14ac:dyDescent="0.3">
      <c r="A628" t="s">
        <v>1537</v>
      </c>
      <c r="B628">
        <v>7</v>
      </c>
      <c r="C628" t="s">
        <v>1</v>
      </c>
      <c r="D628">
        <v>1446</v>
      </c>
      <c r="E628">
        <v>1463</v>
      </c>
      <c r="F628">
        <v>1551</v>
      </c>
      <c r="G628">
        <v>1588</v>
      </c>
      <c r="H628">
        <v>105</v>
      </c>
      <c r="I628">
        <v>125</v>
      </c>
      <c r="J628" t="s">
        <v>1542</v>
      </c>
      <c r="K628" t="s">
        <v>1543</v>
      </c>
      <c r="L628" t="s">
        <v>335</v>
      </c>
      <c r="M628">
        <v>1498</v>
      </c>
      <c r="N628">
        <v>1525</v>
      </c>
      <c r="O628" t="s">
        <v>1544</v>
      </c>
      <c r="P628" t="s">
        <v>656</v>
      </c>
      <c r="Q628" t="s">
        <v>1538</v>
      </c>
      <c r="R628" t="s">
        <v>1280</v>
      </c>
    </row>
    <row r="629" spans="1:18" hidden="1" x14ac:dyDescent="0.3">
      <c r="A629" t="s">
        <v>1537</v>
      </c>
      <c r="B629">
        <v>8</v>
      </c>
      <c r="C629" t="s">
        <v>97</v>
      </c>
      <c r="D629">
        <v>484</v>
      </c>
      <c r="E629">
        <v>1371</v>
      </c>
      <c r="F629">
        <v>1216</v>
      </c>
      <c r="G629">
        <v>1668</v>
      </c>
      <c r="H629">
        <v>732</v>
      </c>
      <c r="I629">
        <v>297</v>
      </c>
      <c r="J629" t="s">
        <v>179</v>
      </c>
      <c r="K629" t="s">
        <v>1145</v>
      </c>
      <c r="L629" t="s">
        <v>1261</v>
      </c>
      <c r="M629">
        <v>850</v>
      </c>
      <c r="N629">
        <v>1519</v>
      </c>
      <c r="O629" t="s">
        <v>538</v>
      </c>
      <c r="P629" t="s">
        <v>721</v>
      </c>
      <c r="Q629" t="s">
        <v>1538</v>
      </c>
      <c r="R629" t="s">
        <v>1191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0B396-8806-428F-AC9F-A34D0DFE38C7}">
  <dimension ref="A1:FS1100"/>
  <sheetViews>
    <sheetView topLeftCell="AR1" workbookViewId="0">
      <selection activeCell="AS15" sqref="AS15"/>
    </sheetView>
  </sheetViews>
  <sheetFormatPr defaultRowHeight="14.4" x14ac:dyDescent="0.3"/>
  <cols>
    <col min="1" max="1" width="47.109375" bestFit="1" customWidth="1"/>
    <col min="2" max="2" width="16.33203125" bestFit="1" customWidth="1"/>
    <col min="3" max="3" width="14" bestFit="1" customWidth="1"/>
    <col min="4" max="4" width="33" bestFit="1" customWidth="1"/>
    <col min="5" max="5" width="9.21875" bestFit="1" customWidth="1"/>
    <col min="6" max="8" width="23.5546875" bestFit="1" customWidth="1"/>
    <col min="9" max="9" width="16" bestFit="1" customWidth="1"/>
    <col min="10" max="10" width="10.109375" bestFit="1" customWidth="1"/>
    <col min="11" max="11" width="18.33203125" bestFit="1" customWidth="1"/>
    <col min="12" max="12" width="12.44140625" bestFit="1" customWidth="1"/>
    <col min="13" max="13" width="45" bestFit="1" customWidth="1"/>
    <col min="14" max="14" width="14.6640625" bestFit="1" customWidth="1"/>
    <col min="15" max="15" width="24.33203125" bestFit="1" customWidth="1"/>
    <col min="16" max="16" width="13.88671875" bestFit="1" customWidth="1"/>
    <col min="17" max="17" width="22.33203125" bestFit="1" customWidth="1"/>
    <col min="18" max="18" width="16.21875" bestFit="1" customWidth="1"/>
    <col min="19" max="19" width="23.44140625" bestFit="1" customWidth="1"/>
    <col min="20" max="20" width="8" bestFit="1" customWidth="1"/>
    <col min="21" max="21" width="9" bestFit="1" customWidth="1"/>
    <col min="22" max="22" width="16.88671875" bestFit="1" customWidth="1"/>
    <col min="23" max="23" width="13.21875" bestFit="1" customWidth="1"/>
    <col min="24" max="24" width="13.109375" bestFit="1" customWidth="1"/>
    <col min="25" max="25" width="15.77734375" bestFit="1" customWidth="1"/>
    <col min="26" max="26" width="10.77734375" bestFit="1" customWidth="1"/>
    <col min="27" max="27" width="17.88671875" bestFit="1" customWidth="1"/>
    <col min="28" max="28" width="15.5546875" bestFit="1" customWidth="1"/>
    <col min="29" max="29" width="15" bestFit="1" customWidth="1"/>
    <col min="30" max="30" width="11" bestFit="1" customWidth="1"/>
    <col min="31" max="31" width="18.21875" bestFit="1" customWidth="1"/>
    <col min="32" max="32" width="10.44140625" bestFit="1" customWidth="1"/>
    <col min="33" max="35" width="17.88671875" bestFit="1" customWidth="1"/>
    <col min="36" max="36" width="12.44140625" bestFit="1" customWidth="1"/>
    <col min="37" max="37" width="19" bestFit="1" customWidth="1"/>
    <col min="38" max="38" width="19.77734375" bestFit="1" customWidth="1"/>
    <col min="39" max="39" width="19.6640625" bestFit="1" customWidth="1"/>
    <col min="40" max="40" width="15.5546875" bestFit="1" customWidth="1"/>
    <col min="41" max="41" width="16.77734375" bestFit="1" customWidth="1"/>
    <col min="42" max="42" width="23.33203125" bestFit="1" customWidth="1"/>
    <col min="43" max="43" width="16" bestFit="1" customWidth="1"/>
    <col min="44" max="44" width="16.44140625" bestFit="1" customWidth="1"/>
    <col min="45" max="45" width="13.33203125" bestFit="1" customWidth="1"/>
    <col min="46" max="46" width="13.44140625" bestFit="1" customWidth="1"/>
    <col min="47" max="47" width="14.77734375" bestFit="1" customWidth="1"/>
    <col min="48" max="48" width="15.5546875" bestFit="1" customWidth="1"/>
    <col min="49" max="49" width="40" bestFit="1" customWidth="1"/>
    <col min="50" max="50" width="41.6640625" bestFit="1" customWidth="1"/>
    <col min="51" max="51" width="43.44140625" bestFit="1" customWidth="1"/>
    <col min="52" max="52" width="41.6640625" bestFit="1" customWidth="1"/>
    <col min="53" max="53" width="20.109375" bestFit="1" customWidth="1"/>
    <col min="54" max="54" width="20.77734375" bestFit="1" customWidth="1"/>
    <col min="55" max="55" width="12.6640625" bestFit="1" customWidth="1"/>
    <col min="56" max="56" width="17.33203125" bestFit="1" customWidth="1"/>
    <col min="57" max="57" width="19.33203125" bestFit="1" customWidth="1"/>
    <col min="58" max="58" width="17.33203125" bestFit="1" customWidth="1"/>
    <col min="59" max="59" width="19.33203125" bestFit="1" customWidth="1"/>
    <col min="60" max="60" width="16" bestFit="1" customWidth="1"/>
    <col min="61" max="61" width="27" bestFit="1" customWidth="1"/>
    <col min="62" max="62" width="26.6640625" bestFit="1" customWidth="1"/>
    <col min="63" max="63" width="40.33203125" bestFit="1" customWidth="1"/>
    <col min="64" max="64" width="22.33203125" bestFit="1" customWidth="1"/>
    <col min="65" max="65" width="40.33203125" bestFit="1" customWidth="1"/>
    <col min="66" max="66" width="36.44140625" bestFit="1" customWidth="1"/>
    <col min="67" max="67" width="17.77734375" bestFit="1" customWidth="1"/>
    <col min="68" max="68" width="17.88671875" bestFit="1" customWidth="1"/>
    <col min="69" max="69" width="18.6640625" bestFit="1" customWidth="1"/>
    <col min="70" max="70" width="16.21875" bestFit="1" customWidth="1"/>
    <col min="71" max="71" width="14.5546875" bestFit="1" customWidth="1"/>
    <col min="72" max="72" width="17.88671875" bestFit="1" customWidth="1"/>
    <col min="73" max="73" width="20.33203125" bestFit="1" customWidth="1"/>
    <col min="74" max="74" width="17.77734375" bestFit="1" customWidth="1"/>
    <col min="75" max="75" width="24.5546875" bestFit="1" customWidth="1"/>
    <col min="76" max="76" width="17.77734375" bestFit="1" customWidth="1"/>
    <col min="77" max="77" width="16" bestFit="1" customWidth="1"/>
    <col min="78" max="78" width="28.21875" bestFit="1" customWidth="1"/>
    <col min="79" max="79" width="17.77734375" bestFit="1" customWidth="1"/>
    <col min="80" max="81" width="18.6640625" bestFit="1" customWidth="1"/>
    <col min="82" max="82" width="32.33203125" bestFit="1" customWidth="1"/>
    <col min="83" max="83" width="23.6640625" bestFit="1" customWidth="1"/>
    <col min="84" max="84" width="22.44140625" bestFit="1" customWidth="1"/>
    <col min="85" max="85" width="20.77734375" bestFit="1" customWidth="1"/>
    <col min="86" max="87" width="24.5546875" bestFit="1" customWidth="1"/>
    <col min="88" max="88" width="20.77734375" bestFit="1" customWidth="1"/>
    <col min="89" max="89" width="39.33203125" bestFit="1" customWidth="1"/>
    <col min="90" max="90" width="66" bestFit="1" customWidth="1"/>
    <col min="91" max="92" width="39.33203125" bestFit="1" customWidth="1"/>
    <col min="93" max="93" width="77.33203125" bestFit="1" customWidth="1"/>
    <col min="94" max="94" width="32.33203125" bestFit="1" customWidth="1"/>
    <col min="95" max="95" width="80.88671875" bestFit="1" customWidth="1"/>
    <col min="96" max="96" width="32.33203125" bestFit="1" customWidth="1"/>
    <col min="97" max="97" width="80.88671875" bestFit="1" customWidth="1"/>
    <col min="98" max="98" width="22.44140625" bestFit="1" customWidth="1"/>
    <col min="99" max="99" width="21.88671875" bestFit="1" customWidth="1"/>
    <col min="100" max="100" width="39.33203125" bestFit="1" customWidth="1"/>
    <col min="101" max="102" width="66" bestFit="1" customWidth="1"/>
    <col min="103" max="103" width="80.88671875" bestFit="1" customWidth="1"/>
    <col min="104" max="104" width="66" bestFit="1" customWidth="1"/>
    <col min="105" max="106" width="39.33203125" bestFit="1" customWidth="1"/>
    <col min="107" max="107" width="19.6640625" bestFit="1" customWidth="1"/>
    <col min="108" max="108" width="18.6640625" bestFit="1" customWidth="1"/>
    <col min="109" max="109" width="17.77734375" bestFit="1" customWidth="1"/>
    <col min="110" max="110" width="32.33203125" bestFit="1" customWidth="1"/>
    <col min="111" max="111" width="20.33203125" bestFit="1" customWidth="1"/>
    <col min="112" max="112" width="22.44140625" bestFit="1" customWidth="1"/>
    <col min="113" max="113" width="27.44140625" bestFit="1" customWidth="1"/>
    <col min="114" max="114" width="27.77734375" bestFit="1" customWidth="1"/>
    <col min="115" max="115" width="23.88671875" bestFit="1" customWidth="1"/>
    <col min="116" max="116" width="27.44140625" bestFit="1" customWidth="1"/>
    <col min="117" max="117" width="39.33203125" bestFit="1" customWidth="1"/>
    <col min="118" max="118" width="66" bestFit="1" customWidth="1"/>
    <col min="119" max="120" width="39.33203125" bestFit="1" customWidth="1"/>
    <col min="121" max="121" width="32.33203125" bestFit="1" customWidth="1"/>
    <col min="122" max="123" width="27.21875" bestFit="1" customWidth="1"/>
    <col min="124" max="124" width="23.5546875" bestFit="1" customWidth="1"/>
    <col min="125" max="125" width="21.5546875" bestFit="1" customWidth="1"/>
    <col min="126" max="126" width="21.88671875" bestFit="1" customWidth="1"/>
    <col min="127" max="127" width="31.77734375" bestFit="1" customWidth="1"/>
    <col min="128" max="128" width="39.33203125" bestFit="1" customWidth="1"/>
    <col min="129" max="129" width="66" bestFit="1" customWidth="1"/>
    <col min="130" max="130" width="40.33203125" bestFit="1" customWidth="1"/>
    <col min="131" max="131" width="39.33203125" bestFit="1" customWidth="1"/>
    <col min="132" max="132" width="17" bestFit="1" customWidth="1"/>
    <col min="133" max="137" width="27.21875" bestFit="1" customWidth="1"/>
    <col min="138" max="138" width="23.5546875" bestFit="1" customWidth="1"/>
    <col min="139" max="140" width="21.44140625" bestFit="1" customWidth="1"/>
    <col min="141" max="141" width="18.44140625" bestFit="1" customWidth="1"/>
    <col min="142" max="142" width="31.77734375" bestFit="1" customWidth="1"/>
    <col min="143" max="144" width="32.6640625" bestFit="1" customWidth="1"/>
    <col min="145" max="145" width="31.77734375" bestFit="1" customWidth="1"/>
    <col min="146" max="147" width="40.33203125" bestFit="1" customWidth="1"/>
    <col min="148" max="148" width="10.77734375" bestFit="1" customWidth="1"/>
    <col min="149" max="149" width="40.33203125" bestFit="1" customWidth="1"/>
    <col min="150" max="151" width="27.21875" bestFit="1" customWidth="1"/>
    <col min="152" max="152" width="23.5546875" bestFit="1" customWidth="1"/>
    <col min="153" max="154" width="21.44140625" bestFit="1" customWidth="1"/>
    <col min="155" max="155" width="15.88671875" bestFit="1" customWidth="1"/>
    <col min="156" max="156" width="16.5546875" bestFit="1" customWidth="1"/>
    <col min="157" max="157" width="9.109375" bestFit="1" customWidth="1"/>
    <col min="158" max="158" width="9.88671875" bestFit="1" customWidth="1"/>
    <col min="159" max="159" width="31.77734375" bestFit="1" customWidth="1"/>
    <col min="160" max="160" width="32.6640625" bestFit="1" customWidth="1"/>
    <col min="161" max="161" width="6.5546875" bestFit="1" customWidth="1"/>
    <col min="162" max="162" width="27.21875" bestFit="1" customWidth="1"/>
    <col min="163" max="163" width="40.33203125" bestFit="1" customWidth="1"/>
    <col min="164" max="164" width="23.5546875" bestFit="1" customWidth="1"/>
    <col min="165" max="165" width="21.44140625" bestFit="1" customWidth="1"/>
    <col min="166" max="166" width="18.77734375" bestFit="1" customWidth="1"/>
    <col min="167" max="167" width="15.88671875" bestFit="1" customWidth="1"/>
    <col min="168" max="168" width="16.5546875" bestFit="1" customWidth="1"/>
    <col min="169" max="169" width="9.109375" bestFit="1" customWidth="1"/>
    <col min="170" max="170" width="7.88671875" bestFit="1" customWidth="1"/>
    <col min="171" max="171" width="31.77734375" bestFit="1" customWidth="1"/>
    <col min="172" max="172" width="32.6640625" bestFit="1" customWidth="1"/>
    <col min="173" max="173" width="6.5546875" bestFit="1" customWidth="1"/>
    <col min="174" max="174" width="10.109375" bestFit="1" customWidth="1"/>
    <col min="175" max="175" width="40.33203125" bestFit="1" customWidth="1"/>
  </cols>
  <sheetData>
    <row r="1" spans="1:175" x14ac:dyDescent="0.3">
      <c r="A1" t="s">
        <v>1563</v>
      </c>
      <c r="B1" t="s">
        <v>1564</v>
      </c>
      <c r="C1" t="s">
        <v>1565</v>
      </c>
      <c r="D1" t="s">
        <v>1566</v>
      </c>
      <c r="E1" t="s">
        <v>1567</v>
      </c>
      <c r="F1" t="s">
        <v>1568</v>
      </c>
      <c r="G1" t="s">
        <v>1569</v>
      </c>
      <c r="H1" t="s">
        <v>1570</v>
      </c>
      <c r="I1" t="s">
        <v>1571</v>
      </c>
      <c r="J1" t="s">
        <v>1572</v>
      </c>
      <c r="K1" t="s">
        <v>1573</v>
      </c>
      <c r="L1" t="s">
        <v>1574</v>
      </c>
      <c r="M1" t="s">
        <v>1575</v>
      </c>
      <c r="N1" t="s">
        <v>1576</v>
      </c>
      <c r="O1" t="s">
        <v>1577</v>
      </c>
      <c r="P1" t="s">
        <v>1578</v>
      </c>
      <c r="Q1" t="s">
        <v>1579</v>
      </c>
      <c r="R1" t="s">
        <v>1580</v>
      </c>
      <c r="S1" t="s">
        <v>1581</v>
      </c>
      <c r="T1" t="s">
        <v>1582</v>
      </c>
      <c r="U1" t="s">
        <v>1583</v>
      </c>
      <c r="V1" t="s">
        <v>1584</v>
      </c>
      <c r="W1" t="s">
        <v>1585</v>
      </c>
      <c r="X1" t="s">
        <v>1586</v>
      </c>
      <c r="Y1" t="s">
        <v>1587</v>
      </c>
      <c r="Z1" t="s">
        <v>1588</v>
      </c>
      <c r="AA1" t="s">
        <v>1589</v>
      </c>
      <c r="AB1" t="s">
        <v>1590</v>
      </c>
      <c r="AC1" t="s">
        <v>1591</v>
      </c>
      <c r="AD1" t="s">
        <v>1592</v>
      </c>
      <c r="AE1" t="s">
        <v>1593</v>
      </c>
      <c r="AF1" t="s">
        <v>1594</v>
      </c>
      <c r="AG1" t="s">
        <v>1595</v>
      </c>
      <c r="AH1" t="s">
        <v>1596</v>
      </c>
      <c r="AI1" t="s">
        <v>1597</v>
      </c>
      <c r="AJ1" t="s">
        <v>1598</v>
      </c>
      <c r="AK1" t="s">
        <v>1599</v>
      </c>
      <c r="AL1" t="s">
        <v>1600</v>
      </c>
      <c r="AM1" t="s">
        <v>1601</v>
      </c>
      <c r="AN1" t="s">
        <v>1602</v>
      </c>
      <c r="AO1" t="s">
        <v>1603</v>
      </c>
      <c r="AP1" t="s">
        <v>1604</v>
      </c>
      <c r="AQ1" t="s">
        <v>1605</v>
      </c>
      <c r="AR1" t="s">
        <v>1606</v>
      </c>
      <c r="AS1" t="s">
        <v>1607</v>
      </c>
      <c r="AT1" t="s">
        <v>1608</v>
      </c>
      <c r="AU1" t="s">
        <v>1609</v>
      </c>
      <c r="AV1" t="s">
        <v>1610</v>
      </c>
      <c r="AW1" t="s">
        <v>1611</v>
      </c>
      <c r="AX1" t="s">
        <v>1612</v>
      </c>
      <c r="AY1" t="s">
        <v>1613</v>
      </c>
      <c r="AZ1" t="s">
        <v>1614</v>
      </c>
      <c r="BA1" t="s">
        <v>1615</v>
      </c>
      <c r="BB1" t="s">
        <v>1616</v>
      </c>
      <c r="BC1" t="s">
        <v>1617</v>
      </c>
      <c r="BD1" t="s">
        <v>1618</v>
      </c>
      <c r="BE1" t="s">
        <v>1619</v>
      </c>
      <c r="BF1" t="s">
        <v>1620</v>
      </c>
      <c r="BG1" t="s">
        <v>1621</v>
      </c>
      <c r="BH1" t="s">
        <v>1622</v>
      </c>
      <c r="BI1" t="s">
        <v>1623</v>
      </c>
      <c r="BJ1" t="s">
        <v>1624</v>
      </c>
      <c r="BK1" t="s">
        <v>1625</v>
      </c>
      <c r="BL1" t="s">
        <v>1626</v>
      </c>
      <c r="BM1" t="s">
        <v>1627</v>
      </c>
      <c r="BN1" t="s">
        <v>1628</v>
      </c>
      <c r="BO1" t="s">
        <v>1629</v>
      </c>
      <c r="BP1" t="s">
        <v>1630</v>
      </c>
      <c r="BQ1" t="s">
        <v>1631</v>
      </c>
      <c r="BR1" t="s">
        <v>1632</v>
      </c>
      <c r="BS1" t="s">
        <v>1633</v>
      </c>
      <c r="BT1" t="s">
        <v>1634</v>
      </c>
      <c r="BU1" t="s">
        <v>1635</v>
      </c>
      <c r="BV1" t="s">
        <v>1636</v>
      </c>
      <c r="BW1" t="s">
        <v>1637</v>
      </c>
      <c r="BX1" t="s">
        <v>1638</v>
      </c>
      <c r="BY1" t="s">
        <v>1639</v>
      </c>
      <c r="BZ1" t="s">
        <v>1640</v>
      </c>
      <c r="CA1" t="s">
        <v>1641</v>
      </c>
      <c r="CB1" t="s">
        <v>1642</v>
      </c>
      <c r="CC1" t="s">
        <v>1643</v>
      </c>
      <c r="CD1" t="s">
        <v>1644</v>
      </c>
      <c r="CE1" t="s">
        <v>1645</v>
      </c>
      <c r="CF1" t="s">
        <v>1646</v>
      </c>
      <c r="CG1" t="s">
        <v>1647</v>
      </c>
      <c r="CH1" t="s">
        <v>1648</v>
      </c>
      <c r="CI1" t="s">
        <v>1649</v>
      </c>
      <c r="CJ1" t="s">
        <v>1650</v>
      </c>
      <c r="CK1" t="s">
        <v>1651</v>
      </c>
      <c r="CL1" t="s">
        <v>1652</v>
      </c>
      <c r="CM1" t="s">
        <v>1653</v>
      </c>
      <c r="CN1" t="s">
        <v>1654</v>
      </c>
      <c r="CO1" t="s">
        <v>1655</v>
      </c>
      <c r="CP1" t="s">
        <v>1656</v>
      </c>
      <c r="CQ1" t="s">
        <v>1657</v>
      </c>
      <c r="CR1" t="s">
        <v>1658</v>
      </c>
      <c r="CS1" t="s">
        <v>1659</v>
      </c>
      <c r="CT1" t="s">
        <v>1660</v>
      </c>
      <c r="CU1" t="s">
        <v>1661</v>
      </c>
      <c r="CV1" t="s">
        <v>1662</v>
      </c>
      <c r="CW1" t="s">
        <v>1663</v>
      </c>
      <c r="CX1" t="s">
        <v>1664</v>
      </c>
      <c r="CY1" t="s">
        <v>1665</v>
      </c>
      <c r="CZ1" t="s">
        <v>1666</v>
      </c>
      <c r="DA1" t="s">
        <v>1667</v>
      </c>
      <c r="DB1" t="s">
        <v>1668</v>
      </c>
      <c r="DC1" t="s">
        <v>1669</v>
      </c>
      <c r="DD1" t="s">
        <v>1670</v>
      </c>
      <c r="DE1" t="s">
        <v>1671</v>
      </c>
      <c r="DF1" t="s">
        <v>1672</v>
      </c>
      <c r="DG1" t="s">
        <v>1673</v>
      </c>
      <c r="DH1" t="s">
        <v>1674</v>
      </c>
      <c r="DI1" t="s">
        <v>1675</v>
      </c>
      <c r="DJ1" t="s">
        <v>1676</v>
      </c>
      <c r="DK1" t="s">
        <v>1677</v>
      </c>
      <c r="DL1" t="s">
        <v>1678</v>
      </c>
      <c r="DM1" t="s">
        <v>1679</v>
      </c>
      <c r="DN1" t="s">
        <v>1680</v>
      </c>
      <c r="DO1" t="s">
        <v>1681</v>
      </c>
      <c r="DP1" t="s">
        <v>1682</v>
      </c>
      <c r="DQ1" t="s">
        <v>1683</v>
      </c>
      <c r="DR1" t="s">
        <v>1684</v>
      </c>
      <c r="DS1" t="s">
        <v>1685</v>
      </c>
      <c r="DT1" t="s">
        <v>1686</v>
      </c>
      <c r="DU1" t="s">
        <v>1687</v>
      </c>
      <c r="DV1" t="s">
        <v>1688</v>
      </c>
      <c r="DW1" t="s">
        <v>1689</v>
      </c>
      <c r="DX1" t="s">
        <v>1690</v>
      </c>
      <c r="DY1" t="s">
        <v>1691</v>
      </c>
      <c r="DZ1" t="s">
        <v>1692</v>
      </c>
      <c r="EA1" t="s">
        <v>1693</v>
      </c>
      <c r="EB1" t="s">
        <v>1694</v>
      </c>
      <c r="EC1" t="s">
        <v>1695</v>
      </c>
      <c r="ED1" t="s">
        <v>1696</v>
      </c>
      <c r="EE1" t="s">
        <v>1697</v>
      </c>
      <c r="EF1" t="s">
        <v>1698</v>
      </c>
      <c r="EG1" t="s">
        <v>1699</v>
      </c>
      <c r="EH1" t="s">
        <v>1700</v>
      </c>
      <c r="EI1" t="s">
        <v>1701</v>
      </c>
      <c r="EJ1" t="s">
        <v>1702</v>
      </c>
      <c r="EK1" t="s">
        <v>1703</v>
      </c>
      <c r="EL1" t="s">
        <v>1704</v>
      </c>
      <c r="EM1" t="s">
        <v>1705</v>
      </c>
      <c r="EN1" t="s">
        <v>1706</v>
      </c>
      <c r="EO1" t="s">
        <v>1707</v>
      </c>
      <c r="EP1" t="s">
        <v>1708</v>
      </c>
      <c r="EQ1" t="s">
        <v>1709</v>
      </c>
      <c r="ER1" t="s">
        <v>1710</v>
      </c>
      <c r="ES1" t="s">
        <v>1711</v>
      </c>
      <c r="ET1" t="s">
        <v>1712</v>
      </c>
      <c r="EU1" t="s">
        <v>1713</v>
      </c>
      <c r="EV1" t="s">
        <v>1714</v>
      </c>
      <c r="EW1" t="s">
        <v>1715</v>
      </c>
      <c r="EX1" t="s">
        <v>1716</v>
      </c>
      <c r="EY1" t="s">
        <v>1717</v>
      </c>
      <c r="EZ1" t="s">
        <v>1718</v>
      </c>
      <c r="FA1" t="s">
        <v>1719</v>
      </c>
      <c r="FB1" t="s">
        <v>1720</v>
      </c>
      <c r="FC1" t="s">
        <v>1721</v>
      </c>
      <c r="FD1" t="s">
        <v>1722</v>
      </c>
      <c r="FE1" t="s">
        <v>1723</v>
      </c>
      <c r="FF1" t="s">
        <v>1724</v>
      </c>
      <c r="FG1" t="s">
        <v>1725</v>
      </c>
      <c r="FH1" t="s">
        <v>1726</v>
      </c>
      <c r="FI1" t="s">
        <v>1727</v>
      </c>
      <c r="FJ1" t="s">
        <v>1728</v>
      </c>
      <c r="FK1" t="s">
        <v>1729</v>
      </c>
      <c r="FL1" t="s">
        <v>1730</v>
      </c>
      <c r="FM1" t="s">
        <v>1731</v>
      </c>
      <c r="FN1" t="s">
        <v>1732</v>
      </c>
      <c r="FO1" t="s">
        <v>1733</v>
      </c>
      <c r="FP1" t="s">
        <v>1734</v>
      </c>
      <c r="FQ1" t="s">
        <v>1735</v>
      </c>
      <c r="FR1" t="s">
        <v>1736</v>
      </c>
      <c r="FS1" t="s">
        <v>1737</v>
      </c>
    </row>
    <row r="2" spans="1:175" x14ac:dyDescent="0.3">
      <c r="A2" s="1" t="s">
        <v>1738</v>
      </c>
      <c r="B2" s="1" t="s">
        <v>1739</v>
      </c>
      <c r="C2" s="1" t="s">
        <v>0</v>
      </c>
      <c r="D2" s="1" t="s">
        <v>1740</v>
      </c>
      <c r="E2" s="1" t="s">
        <v>1741</v>
      </c>
      <c r="F2" s="1" t="s">
        <v>1742</v>
      </c>
      <c r="G2" s="1" t="s">
        <v>1742</v>
      </c>
      <c r="H2" s="1" t="s">
        <v>1743</v>
      </c>
      <c r="I2" s="1" t="s">
        <v>1744</v>
      </c>
      <c r="J2" s="1" t="s">
        <v>1745</v>
      </c>
      <c r="K2" s="1" t="s">
        <v>1746</v>
      </c>
      <c r="L2" s="1" t="s">
        <v>1747</v>
      </c>
      <c r="M2" s="1" t="s">
        <v>1748</v>
      </c>
      <c r="N2" s="1" t="s">
        <v>1749</v>
      </c>
      <c r="O2" s="1" t="s">
        <v>1750</v>
      </c>
      <c r="P2" s="1" t="s">
        <v>1751</v>
      </c>
      <c r="Q2">
        <v>49</v>
      </c>
      <c r="R2" s="1" t="s">
        <v>1752</v>
      </c>
      <c r="S2" s="1" t="s">
        <v>1753</v>
      </c>
      <c r="T2" s="1" t="s">
        <v>1754</v>
      </c>
      <c r="U2" s="1" t="s">
        <v>1755</v>
      </c>
      <c r="V2" s="1" t="s">
        <v>1756</v>
      </c>
      <c r="W2">
        <v>72</v>
      </c>
      <c r="X2">
        <v>72</v>
      </c>
      <c r="Y2" s="1" t="s">
        <v>1757</v>
      </c>
      <c r="Z2" s="2">
        <v>36999</v>
      </c>
      <c r="AA2" s="1" t="s">
        <v>1758</v>
      </c>
      <c r="AB2" s="1" t="s">
        <v>1755</v>
      </c>
      <c r="AC2" s="1" t="s">
        <v>1759</v>
      </c>
      <c r="AD2" s="1" t="s">
        <v>424</v>
      </c>
      <c r="AE2" s="1" t="s">
        <v>1760</v>
      </c>
      <c r="AF2" s="1" t="s">
        <v>1761</v>
      </c>
      <c r="AG2" s="1" t="s">
        <v>1762</v>
      </c>
      <c r="AH2" s="1" t="s">
        <v>1758</v>
      </c>
      <c r="AI2" s="1" t="s">
        <v>1758</v>
      </c>
      <c r="AJ2" s="1" t="s">
        <v>1763</v>
      </c>
      <c r="AK2" s="1" t="s">
        <v>1763</v>
      </c>
      <c r="AL2" s="1" t="s">
        <v>1763</v>
      </c>
      <c r="AM2" s="1" t="s">
        <v>1759</v>
      </c>
      <c r="AN2" s="1" t="s">
        <v>424</v>
      </c>
      <c r="AO2" s="1" t="s">
        <v>1764</v>
      </c>
      <c r="AP2" s="1" t="s">
        <v>1765</v>
      </c>
      <c r="AQ2" s="1" t="s">
        <v>1766</v>
      </c>
      <c r="AR2" s="1" t="s">
        <v>1767</v>
      </c>
      <c r="AS2" s="1" t="s">
        <v>1768</v>
      </c>
      <c r="AT2">
        <v>2009150922131327</v>
      </c>
      <c r="AU2" s="1" t="s">
        <v>1769</v>
      </c>
      <c r="AV2">
        <v>28324834781833</v>
      </c>
      <c r="AW2" s="1" t="s">
        <v>1770</v>
      </c>
      <c r="AX2" s="1" t="s">
        <v>1765</v>
      </c>
      <c r="AY2" s="1" t="s">
        <v>1771</v>
      </c>
      <c r="AZ2" s="1" t="s">
        <v>1772</v>
      </c>
      <c r="BA2" s="1" t="s">
        <v>1773</v>
      </c>
      <c r="BB2">
        <v>621</v>
      </c>
      <c r="BC2" s="1" t="s">
        <v>1774</v>
      </c>
      <c r="BD2" s="1" t="s">
        <v>1775</v>
      </c>
      <c r="BE2" s="1" t="s">
        <v>1776</v>
      </c>
      <c r="BF2" s="1" t="s">
        <v>1777</v>
      </c>
      <c r="BG2" s="1" t="s">
        <v>1778</v>
      </c>
      <c r="BH2" s="1" t="s">
        <v>1779</v>
      </c>
      <c r="BI2" s="1" t="s">
        <v>1779</v>
      </c>
      <c r="BJ2" s="1" t="s">
        <v>1780</v>
      </c>
      <c r="BK2" s="1" t="s">
        <v>1781</v>
      </c>
      <c r="BL2" s="1" t="s">
        <v>1754</v>
      </c>
      <c r="BM2" s="1" t="s">
        <v>1782</v>
      </c>
      <c r="BN2" s="1" t="s">
        <v>1783</v>
      </c>
      <c r="BO2" s="1" t="s">
        <v>1784</v>
      </c>
      <c r="BP2" s="1" t="s">
        <v>1785</v>
      </c>
      <c r="BQ2" s="1" t="s">
        <v>1786</v>
      </c>
      <c r="BR2" s="1" t="s">
        <v>1787</v>
      </c>
      <c r="BS2" s="1" t="s">
        <v>1788</v>
      </c>
      <c r="BT2" s="1" t="s">
        <v>1789</v>
      </c>
      <c r="BU2" s="1" t="s">
        <v>1790</v>
      </c>
      <c r="BV2" s="1" t="s">
        <v>1791</v>
      </c>
      <c r="BW2" s="1" t="s">
        <v>1790</v>
      </c>
      <c r="BX2" s="1" t="s">
        <v>1791</v>
      </c>
      <c r="BY2" s="1" t="s">
        <v>1792</v>
      </c>
      <c r="BZ2" s="1" t="s">
        <v>1793</v>
      </c>
      <c r="CA2" s="1" t="s">
        <v>1794</v>
      </c>
      <c r="CB2" s="1" t="s">
        <v>1795</v>
      </c>
      <c r="CC2" s="1" t="s">
        <v>1796</v>
      </c>
      <c r="CD2" s="1" t="s">
        <v>1797</v>
      </c>
      <c r="CE2" s="1" t="s">
        <v>1798</v>
      </c>
      <c r="CF2" s="1" t="s">
        <v>1799</v>
      </c>
      <c r="CG2" s="1" t="s">
        <v>1800</v>
      </c>
      <c r="CH2" s="1" t="s">
        <v>1794</v>
      </c>
      <c r="CI2" s="1" t="s">
        <v>1801</v>
      </c>
      <c r="CJ2" s="1" t="s">
        <v>1794</v>
      </c>
      <c r="CK2" s="1" t="s">
        <v>1802</v>
      </c>
      <c r="CL2" s="1" t="s">
        <v>1803</v>
      </c>
      <c r="CM2" s="1" t="s">
        <v>1804</v>
      </c>
      <c r="CN2" s="1" t="s">
        <v>1805</v>
      </c>
      <c r="CO2" s="1" t="s">
        <v>1794</v>
      </c>
      <c r="CP2" s="1" t="s">
        <v>1806</v>
      </c>
      <c r="CQ2" s="1" t="s">
        <v>1807</v>
      </c>
      <c r="CR2" s="1" t="s">
        <v>1808</v>
      </c>
      <c r="CS2" s="1" t="s">
        <v>1809</v>
      </c>
      <c r="CT2" s="1" t="s">
        <v>1810</v>
      </c>
      <c r="CU2" s="1" t="s">
        <v>1811</v>
      </c>
      <c r="CV2" s="1" t="s">
        <v>1812</v>
      </c>
      <c r="CW2" s="1" t="s">
        <v>1813</v>
      </c>
      <c r="CX2" s="1" t="s">
        <v>1814</v>
      </c>
      <c r="CY2" s="1" t="s">
        <v>1813</v>
      </c>
      <c r="CZ2" s="1" t="s">
        <v>1813</v>
      </c>
      <c r="DA2" s="1" t="s">
        <v>1775</v>
      </c>
      <c r="DB2" s="1" t="s">
        <v>1776</v>
      </c>
      <c r="DC2" s="1" t="s">
        <v>1752</v>
      </c>
      <c r="DD2" s="1" t="s">
        <v>1765</v>
      </c>
      <c r="DE2" s="1" t="s">
        <v>1815</v>
      </c>
      <c r="DF2" s="1" t="s">
        <v>1816</v>
      </c>
      <c r="DG2" s="1" t="s">
        <v>1817</v>
      </c>
      <c r="DH2" s="1" t="s">
        <v>1818</v>
      </c>
      <c r="DI2" s="1" t="s">
        <v>1819</v>
      </c>
      <c r="DJ2" s="1" t="s">
        <v>1820</v>
      </c>
      <c r="DK2" s="1" t="s">
        <v>1821</v>
      </c>
      <c r="DL2" s="1" t="s">
        <v>1822</v>
      </c>
      <c r="DM2" s="1" t="s">
        <v>1765</v>
      </c>
      <c r="DN2" s="1" t="s">
        <v>1765</v>
      </c>
      <c r="DO2" s="1" t="s">
        <v>1823</v>
      </c>
      <c r="DP2" s="1" t="s">
        <v>1824</v>
      </c>
      <c r="DQ2" s="1" t="s">
        <v>1824</v>
      </c>
      <c r="DR2" s="1" t="s">
        <v>1765</v>
      </c>
      <c r="DS2" s="1" t="s">
        <v>1825</v>
      </c>
      <c r="DT2" s="1" t="s">
        <v>1816</v>
      </c>
      <c r="DU2" s="1" t="s">
        <v>1826</v>
      </c>
      <c r="DV2" s="1" t="s">
        <v>1827</v>
      </c>
      <c r="DW2" s="1" t="s">
        <v>1828</v>
      </c>
      <c r="DX2" s="1" t="s">
        <v>1829</v>
      </c>
      <c r="DY2" s="1" t="s">
        <v>424</v>
      </c>
      <c r="DZ2" s="1" t="s">
        <v>1752</v>
      </c>
      <c r="EA2" s="1" t="s">
        <v>218</v>
      </c>
      <c r="EB2" s="1" t="s">
        <v>892</v>
      </c>
      <c r="EC2" s="1" t="s">
        <v>1759</v>
      </c>
      <c r="ED2" s="1" t="s">
        <v>1830</v>
      </c>
      <c r="EE2" s="1" t="s">
        <v>1830</v>
      </c>
      <c r="EF2" s="1" t="s">
        <v>1831</v>
      </c>
      <c r="EG2" s="1" t="s">
        <v>1832</v>
      </c>
      <c r="EH2" s="1" t="s">
        <v>1833</v>
      </c>
      <c r="EI2" s="1" t="s">
        <v>1834</v>
      </c>
      <c r="EJ2" s="1" t="s">
        <v>1835</v>
      </c>
      <c r="EK2" s="1" t="s">
        <v>1836</v>
      </c>
      <c r="EL2" s="1" t="s">
        <v>1837</v>
      </c>
      <c r="EM2" s="1" t="s">
        <v>1838</v>
      </c>
      <c r="EN2" s="1" t="s">
        <v>1839</v>
      </c>
      <c r="EO2" s="1" t="s">
        <v>1840</v>
      </c>
      <c r="EP2" s="1" t="s">
        <v>1841</v>
      </c>
      <c r="EQ2" s="1" t="s">
        <v>1782</v>
      </c>
      <c r="ER2" s="1" t="s">
        <v>1802</v>
      </c>
      <c r="ES2" s="1" t="s">
        <v>1802</v>
      </c>
      <c r="ET2" s="1" t="s">
        <v>1802</v>
      </c>
      <c r="EU2" s="1" t="s">
        <v>1802</v>
      </c>
      <c r="EV2" s="1" t="s">
        <v>1802</v>
      </c>
      <c r="EW2" s="1" t="s">
        <v>1802</v>
      </c>
      <c r="EX2" s="1" t="s">
        <v>1802</v>
      </c>
      <c r="EY2" s="1" t="s">
        <v>1802</v>
      </c>
      <c r="EZ2" s="1" t="s">
        <v>1802</v>
      </c>
      <c r="FA2" s="1" t="s">
        <v>1802</v>
      </c>
      <c r="FB2" s="1" t="s">
        <v>1802</v>
      </c>
      <c r="FC2" s="1" t="s">
        <v>1802</v>
      </c>
      <c r="FD2" s="1" t="s">
        <v>1802</v>
      </c>
      <c r="FE2" s="1" t="s">
        <v>1802</v>
      </c>
      <c r="FF2" s="1" t="s">
        <v>1802</v>
      </c>
      <c r="FG2" s="1" t="s">
        <v>1802</v>
      </c>
      <c r="FH2" s="1" t="s">
        <v>1802</v>
      </c>
      <c r="FI2" s="1" t="s">
        <v>1802</v>
      </c>
      <c r="FJ2" s="1" t="s">
        <v>1802</v>
      </c>
      <c r="FK2" s="1" t="s">
        <v>1802</v>
      </c>
      <c r="FL2" s="1" t="s">
        <v>1802</v>
      </c>
      <c r="FM2" s="1" t="s">
        <v>1802</v>
      </c>
      <c r="FN2" s="1" t="s">
        <v>1802</v>
      </c>
      <c r="FO2" s="1" t="s">
        <v>1802</v>
      </c>
      <c r="FP2" s="1" t="s">
        <v>1802</v>
      </c>
      <c r="FQ2" s="1" t="s">
        <v>1802</v>
      </c>
      <c r="FR2" s="2"/>
      <c r="FS2" s="1" t="s">
        <v>1802</v>
      </c>
    </row>
    <row r="3" spans="1:175" x14ac:dyDescent="0.3">
      <c r="A3" s="1" t="s">
        <v>1842</v>
      </c>
      <c r="B3" s="1" t="s">
        <v>1739</v>
      </c>
      <c r="C3" s="1" t="s">
        <v>38</v>
      </c>
      <c r="D3" s="1" t="s">
        <v>1740</v>
      </c>
      <c r="E3" s="1" t="s">
        <v>1741</v>
      </c>
      <c r="F3" s="1" t="s">
        <v>1843</v>
      </c>
      <c r="G3" s="1" t="s">
        <v>1843</v>
      </c>
      <c r="H3" s="1" t="s">
        <v>1844</v>
      </c>
      <c r="I3" s="1" t="s">
        <v>1744</v>
      </c>
      <c r="J3" s="1" t="s">
        <v>1745</v>
      </c>
      <c r="K3" s="1" t="s">
        <v>1746</v>
      </c>
      <c r="L3" s="1" t="s">
        <v>1747</v>
      </c>
      <c r="M3" s="1" t="s">
        <v>1748</v>
      </c>
      <c r="N3" s="1" t="s">
        <v>1749</v>
      </c>
      <c r="O3" s="1" t="s">
        <v>1845</v>
      </c>
      <c r="P3" s="1" t="s">
        <v>1751</v>
      </c>
      <c r="Q3">
        <v>49</v>
      </c>
      <c r="R3" s="1" t="s">
        <v>1752</v>
      </c>
      <c r="S3" s="1" t="s">
        <v>1753</v>
      </c>
      <c r="T3" s="1" t="s">
        <v>1754</v>
      </c>
      <c r="U3" s="1" t="s">
        <v>1755</v>
      </c>
      <c r="V3" s="1" t="s">
        <v>1756</v>
      </c>
      <c r="W3">
        <v>72</v>
      </c>
      <c r="X3">
        <v>72</v>
      </c>
      <c r="Y3" s="1" t="s">
        <v>1757</v>
      </c>
      <c r="Z3" s="2">
        <v>36999</v>
      </c>
      <c r="AA3" s="1" t="s">
        <v>1755</v>
      </c>
      <c r="AB3" s="1" t="s">
        <v>1846</v>
      </c>
      <c r="AC3" s="1" t="s">
        <v>1846</v>
      </c>
      <c r="AD3" s="1" t="s">
        <v>1847</v>
      </c>
      <c r="AE3" s="1" t="s">
        <v>424</v>
      </c>
      <c r="AF3" s="1" t="s">
        <v>1760</v>
      </c>
      <c r="AG3" s="1" t="s">
        <v>1761</v>
      </c>
      <c r="AH3" s="1" t="s">
        <v>1762</v>
      </c>
      <c r="AI3" s="1" t="s">
        <v>1848</v>
      </c>
      <c r="AJ3" s="1" t="s">
        <v>1763</v>
      </c>
      <c r="AK3" s="1" t="s">
        <v>1763</v>
      </c>
      <c r="AL3" s="1" t="s">
        <v>1763</v>
      </c>
      <c r="AM3" s="1" t="s">
        <v>1847</v>
      </c>
      <c r="AN3" s="1" t="s">
        <v>424</v>
      </c>
      <c r="AO3" s="1" t="s">
        <v>1849</v>
      </c>
      <c r="AP3" s="1" t="s">
        <v>1765</v>
      </c>
      <c r="AQ3" s="1" t="s">
        <v>1766</v>
      </c>
      <c r="AR3" s="1" t="s">
        <v>1767</v>
      </c>
      <c r="AS3" s="1" t="s">
        <v>1768</v>
      </c>
      <c r="AT3">
        <v>2009150922131327</v>
      </c>
      <c r="AU3" s="1" t="s">
        <v>1769</v>
      </c>
      <c r="AV3">
        <v>31345353814875</v>
      </c>
      <c r="AW3" s="1" t="s">
        <v>1770</v>
      </c>
      <c r="AX3" s="1" t="s">
        <v>1765</v>
      </c>
      <c r="AY3" s="1" t="s">
        <v>1850</v>
      </c>
      <c r="AZ3" s="1" t="s">
        <v>1772</v>
      </c>
      <c r="BA3" s="1" t="s">
        <v>1851</v>
      </c>
      <c r="BB3">
        <v>783</v>
      </c>
      <c r="BC3" s="1" t="s">
        <v>1774</v>
      </c>
      <c r="BD3" s="1" t="s">
        <v>1775</v>
      </c>
      <c r="BE3" s="1" t="s">
        <v>1776</v>
      </c>
      <c r="BF3" s="1" t="s">
        <v>1777</v>
      </c>
      <c r="BG3" s="1" t="s">
        <v>1778</v>
      </c>
      <c r="BH3" s="1" t="s">
        <v>1779</v>
      </c>
      <c r="BI3" s="1" t="s">
        <v>1779</v>
      </c>
      <c r="BJ3" s="1" t="s">
        <v>1780</v>
      </c>
      <c r="BK3" s="1" t="s">
        <v>1781</v>
      </c>
      <c r="BL3" s="1" t="s">
        <v>1754</v>
      </c>
      <c r="BM3" s="1" t="s">
        <v>1782</v>
      </c>
      <c r="BN3" s="1" t="s">
        <v>1783</v>
      </c>
      <c r="BO3" s="1" t="s">
        <v>1784</v>
      </c>
      <c r="BP3" s="1" t="s">
        <v>1785</v>
      </c>
      <c r="BQ3" s="1" t="s">
        <v>1786</v>
      </c>
      <c r="BR3" s="1" t="s">
        <v>1852</v>
      </c>
      <c r="BS3" s="1" t="s">
        <v>1788</v>
      </c>
      <c r="BT3" s="1" t="s">
        <v>1853</v>
      </c>
      <c r="BU3" s="1" t="s">
        <v>1790</v>
      </c>
      <c r="BV3" s="1" t="s">
        <v>1854</v>
      </c>
      <c r="BW3" s="1" t="s">
        <v>1790</v>
      </c>
      <c r="BX3" s="1" t="s">
        <v>1854</v>
      </c>
      <c r="BY3" s="1" t="s">
        <v>1792</v>
      </c>
      <c r="BZ3" s="1" t="s">
        <v>1855</v>
      </c>
      <c r="CA3" s="1" t="s">
        <v>1856</v>
      </c>
      <c r="CB3" s="1" t="s">
        <v>1848</v>
      </c>
      <c r="CC3" s="1" t="s">
        <v>1857</v>
      </c>
      <c r="CD3" s="1" t="s">
        <v>1848</v>
      </c>
      <c r="CE3" s="1" t="s">
        <v>1848</v>
      </c>
      <c r="CF3" s="1" t="s">
        <v>1858</v>
      </c>
      <c r="CG3" s="1" t="s">
        <v>1859</v>
      </c>
      <c r="CH3" s="1" t="s">
        <v>1860</v>
      </c>
      <c r="CI3" s="1" t="s">
        <v>1765</v>
      </c>
      <c r="CJ3" s="1" t="s">
        <v>1861</v>
      </c>
      <c r="CK3" s="1" t="s">
        <v>1862</v>
      </c>
      <c r="CL3" s="1" t="s">
        <v>1775</v>
      </c>
      <c r="CM3" s="1" t="s">
        <v>1863</v>
      </c>
      <c r="CN3" s="1" t="s">
        <v>1864</v>
      </c>
      <c r="CO3" s="1" t="s">
        <v>1865</v>
      </c>
      <c r="CP3" s="1" t="s">
        <v>1776</v>
      </c>
      <c r="CQ3" s="1" t="s">
        <v>1866</v>
      </c>
      <c r="CR3" s="1" t="s">
        <v>1867</v>
      </c>
      <c r="CS3" s="1" t="s">
        <v>1868</v>
      </c>
      <c r="CT3" s="1" t="s">
        <v>1869</v>
      </c>
      <c r="CU3" s="1" t="s">
        <v>1870</v>
      </c>
      <c r="CV3" s="1" t="s">
        <v>1871</v>
      </c>
      <c r="CW3" s="1" t="s">
        <v>1872</v>
      </c>
      <c r="CX3" s="1" t="s">
        <v>1873</v>
      </c>
      <c r="CY3" s="1" t="s">
        <v>1874</v>
      </c>
      <c r="CZ3" s="1" t="s">
        <v>1875</v>
      </c>
      <c r="DA3" s="1" t="s">
        <v>1876</v>
      </c>
      <c r="DB3" s="1" t="s">
        <v>1794</v>
      </c>
      <c r="DC3" s="1" t="s">
        <v>1795</v>
      </c>
      <c r="DD3" s="1" t="s">
        <v>1796</v>
      </c>
      <c r="DE3" s="1" t="s">
        <v>1797</v>
      </c>
      <c r="DF3" s="1" t="s">
        <v>1798</v>
      </c>
      <c r="DG3" s="1" t="s">
        <v>1799</v>
      </c>
      <c r="DH3" s="1" t="s">
        <v>1800</v>
      </c>
      <c r="DI3" s="1" t="s">
        <v>1794</v>
      </c>
      <c r="DJ3" s="1" t="s">
        <v>1801</v>
      </c>
      <c r="DK3" s="1" t="s">
        <v>1794</v>
      </c>
      <c r="DL3" s="1" t="s">
        <v>1802</v>
      </c>
      <c r="DM3" s="1" t="s">
        <v>1803</v>
      </c>
      <c r="DN3" s="1" t="s">
        <v>1804</v>
      </c>
      <c r="DO3" s="1" t="s">
        <v>1805</v>
      </c>
      <c r="DP3" s="1" t="s">
        <v>1794</v>
      </c>
      <c r="DQ3" s="1" t="s">
        <v>1806</v>
      </c>
      <c r="DR3" s="1" t="s">
        <v>1807</v>
      </c>
      <c r="DS3" s="1" t="s">
        <v>1808</v>
      </c>
      <c r="DT3" s="1" t="s">
        <v>1809</v>
      </c>
      <c r="DU3" s="1" t="s">
        <v>1810</v>
      </c>
      <c r="DV3" s="1" t="s">
        <v>1811</v>
      </c>
      <c r="DW3" s="1" t="s">
        <v>1812</v>
      </c>
      <c r="DX3" s="1" t="s">
        <v>1813</v>
      </c>
      <c r="DY3" s="1" t="s">
        <v>1814</v>
      </c>
      <c r="DZ3" s="1" t="s">
        <v>1813</v>
      </c>
      <c r="EA3" s="1" t="s">
        <v>1813</v>
      </c>
      <c r="EB3" s="1" t="s">
        <v>1775</v>
      </c>
      <c r="EC3" s="1" t="s">
        <v>1776</v>
      </c>
      <c r="ED3" s="1" t="s">
        <v>1752</v>
      </c>
      <c r="EE3" s="1" t="s">
        <v>1765</v>
      </c>
      <c r="EF3" s="1" t="s">
        <v>1824</v>
      </c>
      <c r="EG3" s="1" t="s">
        <v>1877</v>
      </c>
      <c r="EH3" s="1" t="s">
        <v>1816</v>
      </c>
      <c r="EI3" s="1" t="s">
        <v>1817</v>
      </c>
      <c r="EJ3" s="1" t="s">
        <v>1818</v>
      </c>
      <c r="EK3" s="1" t="s">
        <v>1819</v>
      </c>
      <c r="EL3" s="1" t="s">
        <v>1820</v>
      </c>
      <c r="EM3" s="1" t="s">
        <v>1821</v>
      </c>
      <c r="EN3" s="1" t="s">
        <v>1878</v>
      </c>
      <c r="EO3" s="1" t="s">
        <v>1765</v>
      </c>
      <c r="EP3" s="1" t="s">
        <v>1765</v>
      </c>
      <c r="EQ3" s="1" t="s">
        <v>1823</v>
      </c>
      <c r="ER3" s="1" t="s">
        <v>1824</v>
      </c>
      <c r="ES3" s="1" t="s">
        <v>1824</v>
      </c>
      <c r="ET3" s="1" t="s">
        <v>1765</v>
      </c>
      <c r="EU3" s="1" t="s">
        <v>1825</v>
      </c>
      <c r="EV3" s="1" t="s">
        <v>1816</v>
      </c>
      <c r="EW3" s="1" t="s">
        <v>1826</v>
      </c>
      <c r="EX3" s="1" t="s">
        <v>1879</v>
      </c>
      <c r="EY3" s="1" t="s">
        <v>1880</v>
      </c>
      <c r="EZ3" s="1" t="s">
        <v>1881</v>
      </c>
      <c r="FA3" s="1" t="s">
        <v>424</v>
      </c>
      <c r="FB3" s="1" t="s">
        <v>1752</v>
      </c>
      <c r="FC3" s="1" t="s">
        <v>218</v>
      </c>
      <c r="FD3" s="1" t="s">
        <v>892</v>
      </c>
      <c r="FE3" s="1" t="s">
        <v>1847</v>
      </c>
      <c r="FF3" s="1" t="s">
        <v>1882</v>
      </c>
      <c r="FG3" s="1" t="s">
        <v>1882</v>
      </c>
      <c r="FH3" s="1" t="s">
        <v>1883</v>
      </c>
      <c r="FI3" s="1" t="s">
        <v>1884</v>
      </c>
      <c r="FJ3" s="1" t="s">
        <v>1885</v>
      </c>
      <c r="FK3" s="1" t="s">
        <v>1886</v>
      </c>
      <c r="FL3" s="1" t="s">
        <v>1887</v>
      </c>
      <c r="FM3" s="1" t="s">
        <v>1836</v>
      </c>
      <c r="FN3" s="1" t="s">
        <v>1837</v>
      </c>
      <c r="FO3" s="1" t="s">
        <v>1838</v>
      </c>
      <c r="FP3" s="1" t="s">
        <v>1888</v>
      </c>
      <c r="FQ3" s="1" t="s">
        <v>1840</v>
      </c>
      <c r="FR3" s="2">
        <v>45820</v>
      </c>
      <c r="FS3" s="1" t="s">
        <v>1782</v>
      </c>
    </row>
    <row r="4" spans="1:175" x14ac:dyDescent="0.3">
      <c r="A4" s="1" t="s">
        <v>1889</v>
      </c>
      <c r="B4" s="1" t="s">
        <v>1739</v>
      </c>
      <c r="C4" s="1" t="s">
        <v>77</v>
      </c>
      <c r="D4" s="1" t="s">
        <v>1740</v>
      </c>
      <c r="E4" s="1" t="s">
        <v>1890</v>
      </c>
      <c r="F4" s="1" t="s">
        <v>1891</v>
      </c>
      <c r="G4" s="1" t="s">
        <v>1891</v>
      </c>
      <c r="H4" s="1" t="s">
        <v>1892</v>
      </c>
      <c r="I4" s="1" t="s">
        <v>1744</v>
      </c>
      <c r="J4" s="1" t="s">
        <v>1745</v>
      </c>
      <c r="K4" s="1" t="s">
        <v>1746</v>
      </c>
      <c r="L4" s="1" t="s">
        <v>1747</v>
      </c>
      <c r="M4" s="1" t="s">
        <v>1748</v>
      </c>
      <c r="N4" s="1" t="s">
        <v>1749</v>
      </c>
      <c r="O4" s="1" t="s">
        <v>1750</v>
      </c>
      <c r="P4" s="1" t="s">
        <v>1751</v>
      </c>
      <c r="Q4">
        <v>49</v>
      </c>
      <c r="R4" s="1" t="s">
        <v>1752</v>
      </c>
      <c r="S4" s="1" t="s">
        <v>1753</v>
      </c>
      <c r="T4" s="1" t="s">
        <v>1754</v>
      </c>
      <c r="U4" s="1" t="s">
        <v>1755</v>
      </c>
      <c r="V4" s="1" t="s">
        <v>1756</v>
      </c>
      <c r="W4">
        <v>72</v>
      </c>
      <c r="X4">
        <v>72</v>
      </c>
      <c r="Y4" s="1" t="s">
        <v>1757</v>
      </c>
      <c r="Z4" s="2">
        <v>36999</v>
      </c>
      <c r="AA4" s="1" t="s">
        <v>1893</v>
      </c>
      <c r="AB4" s="1" t="s">
        <v>1755</v>
      </c>
      <c r="AC4" s="1" t="s">
        <v>1894</v>
      </c>
      <c r="AD4" s="1" t="s">
        <v>424</v>
      </c>
      <c r="AE4" s="1" t="s">
        <v>1760</v>
      </c>
      <c r="AF4" s="1" t="s">
        <v>1761</v>
      </c>
      <c r="AG4" s="1" t="s">
        <v>1762</v>
      </c>
      <c r="AH4" s="1" t="s">
        <v>1893</v>
      </c>
      <c r="AI4" s="1" t="s">
        <v>1893</v>
      </c>
      <c r="AJ4" s="1" t="s">
        <v>1763</v>
      </c>
      <c r="AK4" s="1" t="s">
        <v>1763</v>
      </c>
      <c r="AL4" s="1" t="s">
        <v>1763</v>
      </c>
      <c r="AM4" s="1" t="s">
        <v>1894</v>
      </c>
      <c r="AN4" s="1" t="s">
        <v>424</v>
      </c>
      <c r="AO4" s="1" t="s">
        <v>1895</v>
      </c>
      <c r="AP4" s="1" t="s">
        <v>1765</v>
      </c>
      <c r="AQ4" s="1" t="s">
        <v>1766</v>
      </c>
      <c r="AR4" s="1" t="s">
        <v>1767</v>
      </c>
      <c r="AS4" s="1" t="s">
        <v>1768</v>
      </c>
      <c r="AT4">
        <v>2010150922131390</v>
      </c>
      <c r="AU4" s="1" t="s">
        <v>1769</v>
      </c>
      <c r="AV4">
        <v>33567194149166</v>
      </c>
      <c r="AW4" s="1" t="s">
        <v>1770</v>
      </c>
      <c r="AX4" s="1" t="s">
        <v>1765</v>
      </c>
      <c r="AY4" s="1" t="s">
        <v>1896</v>
      </c>
      <c r="AZ4" s="1" t="s">
        <v>1897</v>
      </c>
      <c r="BA4" s="1" t="s">
        <v>1898</v>
      </c>
      <c r="BB4">
        <v>411</v>
      </c>
      <c r="BC4" s="1" t="s">
        <v>1774</v>
      </c>
      <c r="BD4" s="1" t="s">
        <v>1775</v>
      </c>
      <c r="BE4" s="1" t="s">
        <v>1776</v>
      </c>
      <c r="BF4" s="1" t="s">
        <v>1777</v>
      </c>
      <c r="BG4" s="1" t="s">
        <v>1778</v>
      </c>
      <c r="BH4" s="1" t="s">
        <v>1779</v>
      </c>
      <c r="BI4" s="1" t="s">
        <v>1779</v>
      </c>
      <c r="BJ4" s="1" t="s">
        <v>1780</v>
      </c>
      <c r="BK4" s="1" t="s">
        <v>1781</v>
      </c>
      <c r="BL4" s="1" t="s">
        <v>1754</v>
      </c>
      <c r="BM4" s="1" t="s">
        <v>1782</v>
      </c>
      <c r="BN4" s="1" t="s">
        <v>1783</v>
      </c>
      <c r="BO4" s="1" t="s">
        <v>1784</v>
      </c>
      <c r="BP4" s="1" t="s">
        <v>1785</v>
      </c>
      <c r="BQ4" s="1" t="s">
        <v>1786</v>
      </c>
      <c r="BR4" s="1" t="s">
        <v>1899</v>
      </c>
      <c r="BS4" s="1" t="s">
        <v>1788</v>
      </c>
      <c r="BT4" s="1" t="s">
        <v>1900</v>
      </c>
      <c r="BU4" s="1" t="s">
        <v>1790</v>
      </c>
      <c r="BV4" s="1" t="s">
        <v>1901</v>
      </c>
      <c r="BW4" s="1" t="s">
        <v>1790</v>
      </c>
      <c r="BX4" s="1" t="s">
        <v>1901</v>
      </c>
      <c r="BY4" s="1" t="s">
        <v>1792</v>
      </c>
      <c r="BZ4" s="1" t="s">
        <v>1902</v>
      </c>
      <c r="CA4" s="1" t="s">
        <v>1794</v>
      </c>
      <c r="CB4" s="1" t="s">
        <v>1795</v>
      </c>
      <c r="CC4" s="1" t="s">
        <v>1796</v>
      </c>
      <c r="CD4" s="1" t="s">
        <v>1797</v>
      </c>
      <c r="CE4" s="1" t="s">
        <v>1798</v>
      </c>
      <c r="CF4" s="1" t="s">
        <v>1799</v>
      </c>
      <c r="CG4" s="1" t="s">
        <v>1800</v>
      </c>
      <c r="CH4" s="1" t="s">
        <v>1794</v>
      </c>
      <c r="CI4" s="1" t="s">
        <v>1801</v>
      </c>
      <c r="CJ4" s="1" t="s">
        <v>1794</v>
      </c>
      <c r="CK4" s="1" t="s">
        <v>1802</v>
      </c>
      <c r="CL4" s="1" t="s">
        <v>1803</v>
      </c>
      <c r="CM4" s="1" t="s">
        <v>1804</v>
      </c>
      <c r="CN4" s="1" t="s">
        <v>1805</v>
      </c>
      <c r="CO4" s="1" t="s">
        <v>1794</v>
      </c>
      <c r="CP4" s="1" t="s">
        <v>1806</v>
      </c>
      <c r="CQ4" s="1" t="s">
        <v>1807</v>
      </c>
      <c r="CR4" s="1" t="s">
        <v>1808</v>
      </c>
      <c r="CS4" s="1" t="s">
        <v>1809</v>
      </c>
      <c r="CT4" s="1" t="s">
        <v>1810</v>
      </c>
      <c r="CU4" s="1" t="s">
        <v>1811</v>
      </c>
      <c r="CV4" s="1" t="s">
        <v>1812</v>
      </c>
      <c r="CW4" s="1" t="s">
        <v>1813</v>
      </c>
      <c r="CX4" s="1" t="s">
        <v>1814</v>
      </c>
      <c r="CY4" s="1" t="s">
        <v>1813</v>
      </c>
      <c r="CZ4" s="1" t="s">
        <v>1813</v>
      </c>
      <c r="DA4" s="1" t="s">
        <v>1775</v>
      </c>
      <c r="DB4" s="1" t="s">
        <v>1776</v>
      </c>
      <c r="DC4" s="1" t="s">
        <v>1752</v>
      </c>
      <c r="DD4" s="1" t="s">
        <v>1765</v>
      </c>
      <c r="DE4" s="1" t="s">
        <v>1815</v>
      </c>
      <c r="DF4" s="1" t="s">
        <v>1816</v>
      </c>
      <c r="DG4" s="1" t="s">
        <v>1817</v>
      </c>
      <c r="DH4" s="1" t="s">
        <v>1818</v>
      </c>
      <c r="DI4" s="1" t="s">
        <v>1819</v>
      </c>
      <c r="DJ4" s="1" t="s">
        <v>1820</v>
      </c>
      <c r="DK4" s="1" t="s">
        <v>1821</v>
      </c>
      <c r="DL4" s="1" t="s">
        <v>1822</v>
      </c>
      <c r="DM4" s="1" t="s">
        <v>1765</v>
      </c>
      <c r="DN4" s="1" t="s">
        <v>1765</v>
      </c>
      <c r="DO4" s="1" t="s">
        <v>1823</v>
      </c>
      <c r="DP4" s="1" t="s">
        <v>1824</v>
      </c>
      <c r="DQ4" s="1" t="s">
        <v>1824</v>
      </c>
      <c r="DR4" s="1" t="s">
        <v>1765</v>
      </c>
      <c r="DS4" s="1" t="s">
        <v>1825</v>
      </c>
      <c r="DT4" s="1" t="s">
        <v>1816</v>
      </c>
      <c r="DU4" s="1" t="s">
        <v>1826</v>
      </c>
      <c r="DV4" s="1" t="s">
        <v>1903</v>
      </c>
      <c r="DW4" s="1" t="s">
        <v>1828</v>
      </c>
      <c r="DX4" s="1" t="s">
        <v>1904</v>
      </c>
      <c r="DY4" s="1" t="s">
        <v>424</v>
      </c>
      <c r="DZ4" s="1" t="s">
        <v>1752</v>
      </c>
      <c r="EA4" s="1" t="s">
        <v>218</v>
      </c>
      <c r="EB4" s="1" t="s">
        <v>892</v>
      </c>
      <c r="EC4" s="1" t="s">
        <v>1894</v>
      </c>
      <c r="ED4" s="1" t="s">
        <v>1905</v>
      </c>
      <c r="EE4" s="1" t="s">
        <v>1905</v>
      </c>
      <c r="EF4" s="1" t="s">
        <v>1906</v>
      </c>
      <c r="EG4" s="1" t="s">
        <v>1907</v>
      </c>
      <c r="EH4" s="1" t="s">
        <v>1908</v>
      </c>
      <c r="EI4" s="1" t="s">
        <v>1909</v>
      </c>
      <c r="EJ4" s="1" t="s">
        <v>1910</v>
      </c>
      <c r="EK4" s="1" t="s">
        <v>1836</v>
      </c>
      <c r="EL4" s="1" t="s">
        <v>1837</v>
      </c>
      <c r="EM4" s="1" t="s">
        <v>1838</v>
      </c>
      <c r="EN4" s="1" t="s">
        <v>1911</v>
      </c>
      <c r="EO4" s="1" t="s">
        <v>1840</v>
      </c>
      <c r="EP4" s="1" t="s">
        <v>203</v>
      </c>
      <c r="EQ4" s="1" t="s">
        <v>1782</v>
      </c>
      <c r="ER4" s="1" t="s">
        <v>1802</v>
      </c>
      <c r="ES4" s="1" t="s">
        <v>1802</v>
      </c>
      <c r="ET4" s="1" t="s">
        <v>1802</v>
      </c>
      <c r="EU4" s="1" t="s">
        <v>1802</v>
      </c>
      <c r="EV4" s="1" t="s">
        <v>1802</v>
      </c>
      <c r="EW4" s="1" t="s">
        <v>1802</v>
      </c>
      <c r="EX4" s="1" t="s">
        <v>1802</v>
      </c>
      <c r="EY4" s="1" t="s">
        <v>1802</v>
      </c>
      <c r="EZ4" s="1" t="s">
        <v>1802</v>
      </c>
      <c r="FA4" s="1" t="s">
        <v>1802</v>
      </c>
      <c r="FB4" s="1" t="s">
        <v>1802</v>
      </c>
      <c r="FC4" s="1" t="s">
        <v>1802</v>
      </c>
      <c r="FD4" s="1" t="s">
        <v>1802</v>
      </c>
      <c r="FE4" s="1" t="s">
        <v>1802</v>
      </c>
      <c r="FF4" s="1" t="s">
        <v>1802</v>
      </c>
      <c r="FG4" s="1" t="s">
        <v>1802</v>
      </c>
      <c r="FH4" s="1" t="s">
        <v>1802</v>
      </c>
      <c r="FI4" s="1" t="s">
        <v>1802</v>
      </c>
      <c r="FJ4" s="1" t="s">
        <v>1802</v>
      </c>
      <c r="FK4" s="1" t="s">
        <v>1802</v>
      </c>
      <c r="FL4" s="1" t="s">
        <v>1802</v>
      </c>
      <c r="FM4" s="1" t="s">
        <v>1802</v>
      </c>
      <c r="FN4" s="1" t="s">
        <v>1802</v>
      </c>
      <c r="FO4" s="1" t="s">
        <v>1802</v>
      </c>
      <c r="FP4" s="1" t="s">
        <v>1802</v>
      </c>
      <c r="FQ4" s="1" t="s">
        <v>1802</v>
      </c>
      <c r="FR4" s="2"/>
      <c r="FS4" s="1" t="s">
        <v>1802</v>
      </c>
    </row>
    <row r="5" spans="1:175" x14ac:dyDescent="0.3">
      <c r="A5" s="1" t="s">
        <v>1912</v>
      </c>
      <c r="B5" s="1" t="s">
        <v>1739</v>
      </c>
      <c r="C5" s="1" t="s">
        <v>116</v>
      </c>
      <c r="D5" s="1" t="s">
        <v>1740</v>
      </c>
      <c r="E5" s="1" t="s">
        <v>1913</v>
      </c>
      <c r="F5" s="1" t="s">
        <v>1914</v>
      </c>
      <c r="G5" s="1" t="s">
        <v>1914</v>
      </c>
      <c r="H5" s="1" t="s">
        <v>1915</v>
      </c>
      <c r="I5" s="1" t="s">
        <v>1744</v>
      </c>
      <c r="J5" s="1" t="s">
        <v>1745</v>
      </c>
      <c r="K5" s="1" t="s">
        <v>1746</v>
      </c>
      <c r="L5" s="1" t="s">
        <v>1747</v>
      </c>
      <c r="M5" s="1" t="s">
        <v>1748</v>
      </c>
      <c r="N5" s="1" t="s">
        <v>1749</v>
      </c>
      <c r="O5" s="1" t="s">
        <v>1750</v>
      </c>
      <c r="P5" s="1" t="s">
        <v>1751</v>
      </c>
      <c r="Q5">
        <v>49</v>
      </c>
      <c r="R5" s="1" t="s">
        <v>1752</v>
      </c>
      <c r="S5" s="1" t="s">
        <v>1753</v>
      </c>
      <c r="T5" s="1" t="s">
        <v>1754</v>
      </c>
      <c r="U5" s="1" t="s">
        <v>1755</v>
      </c>
      <c r="V5" s="1" t="s">
        <v>1756</v>
      </c>
      <c r="W5">
        <v>72</v>
      </c>
      <c r="X5">
        <v>72</v>
      </c>
      <c r="Y5" s="1" t="s">
        <v>1757</v>
      </c>
      <c r="Z5" s="2">
        <v>36999</v>
      </c>
      <c r="AA5" s="1" t="s">
        <v>1916</v>
      </c>
      <c r="AB5" s="1" t="s">
        <v>1755</v>
      </c>
      <c r="AC5" s="1" t="s">
        <v>1917</v>
      </c>
      <c r="AD5" s="1" t="s">
        <v>424</v>
      </c>
      <c r="AE5" s="1" t="s">
        <v>1760</v>
      </c>
      <c r="AF5" s="1" t="s">
        <v>1761</v>
      </c>
      <c r="AG5" s="1" t="s">
        <v>1762</v>
      </c>
      <c r="AH5" s="1" t="s">
        <v>1916</v>
      </c>
      <c r="AI5" s="1" t="s">
        <v>1916</v>
      </c>
      <c r="AJ5" s="1" t="s">
        <v>1763</v>
      </c>
      <c r="AK5" s="1" t="s">
        <v>1763</v>
      </c>
      <c r="AL5" s="1" t="s">
        <v>1763</v>
      </c>
      <c r="AM5" s="1" t="s">
        <v>1917</v>
      </c>
      <c r="AN5" s="1" t="s">
        <v>424</v>
      </c>
      <c r="AO5" s="1" t="s">
        <v>1918</v>
      </c>
      <c r="AP5" s="1" t="s">
        <v>1765</v>
      </c>
      <c r="AQ5" s="1" t="s">
        <v>1766</v>
      </c>
      <c r="AR5" s="1" t="s">
        <v>1767</v>
      </c>
      <c r="AS5" s="1" t="s">
        <v>1768</v>
      </c>
      <c r="AT5">
        <v>2010150922131390</v>
      </c>
      <c r="AU5" s="1" t="s">
        <v>1769</v>
      </c>
      <c r="AV5">
        <v>36934798653875</v>
      </c>
      <c r="AW5" s="1" t="s">
        <v>1770</v>
      </c>
      <c r="AX5" s="1" t="s">
        <v>1765</v>
      </c>
      <c r="AY5" s="1" t="s">
        <v>1919</v>
      </c>
      <c r="AZ5" s="1" t="s">
        <v>1897</v>
      </c>
      <c r="BA5" s="1" t="s">
        <v>1920</v>
      </c>
      <c r="BB5">
        <v>267</v>
      </c>
      <c r="BC5" s="1" t="s">
        <v>1774</v>
      </c>
      <c r="BD5" s="1" t="s">
        <v>1775</v>
      </c>
      <c r="BE5" s="1" t="s">
        <v>1776</v>
      </c>
      <c r="BF5" s="1" t="s">
        <v>1777</v>
      </c>
      <c r="BG5" s="1" t="s">
        <v>1778</v>
      </c>
      <c r="BH5" s="1" t="s">
        <v>1779</v>
      </c>
      <c r="BI5" s="1" t="s">
        <v>1779</v>
      </c>
      <c r="BJ5" s="1" t="s">
        <v>1780</v>
      </c>
      <c r="BK5" s="1" t="s">
        <v>1781</v>
      </c>
      <c r="BL5" s="1" t="s">
        <v>1754</v>
      </c>
      <c r="BM5" s="1" t="s">
        <v>1782</v>
      </c>
      <c r="BN5" s="1" t="s">
        <v>1783</v>
      </c>
      <c r="BO5" s="1" t="s">
        <v>1784</v>
      </c>
      <c r="BP5" s="1" t="s">
        <v>1785</v>
      </c>
      <c r="BQ5" s="1" t="s">
        <v>1786</v>
      </c>
      <c r="BR5" s="1" t="s">
        <v>1921</v>
      </c>
      <c r="BS5" s="1" t="s">
        <v>1788</v>
      </c>
      <c r="BT5" s="1" t="s">
        <v>1922</v>
      </c>
      <c r="BU5" s="1" t="s">
        <v>1790</v>
      </c>
      <c r="BV5" s="1" t="s">
        <v>1923</v>
      </c>
      <c r="BW5" s="1" t="s">
        <v>1790</v>
      </c>
      <c r="BX5" s="1" t="s">
        <v>1923</v>
      </c>
      <c r="BY5" s="1" t="s">
        <v>1792</v>
      </c>
      <c r="BZ5" s="1" t="s">
        <v>1924</v>
      </c>
      <c r="CA5" s="1" t="s">
        <v>1794</v>
      </c>
      <c r="CB5" s="1" t="s">
        <v>1795</v>
      </c>
      <c r="CC5" s="1" t="s">
        <v>1796</v>
      </c>
      <c r="CD5" s="1" t="s">
        <v>1797</v>
      </c>
      <c r="CE5" s="1" t="s">
        <v>1798</v>
      </c>
      <c r="CF5" s="1" t="s">
        <v>1799</v>
      </c>
      <c r="CG5" s="1" t="s">
        <v>1800</v>
      </c>
      <c r="CH5" s="1" t="s">
        <v>1794</v>
      </c>
      <c r="CI5" s="1" t="s">
        <v>1801</v>
      </c>
      <c r="CJ5" s="1" t="s">
        <v>1794</v>
      </c>
      <c r="CK5" s="1" t="s">
        <v>1802</v>
      </c>
      <c r="CL5" s="1" t="s">
        <v>1803</v>
      </c>
      <c r="CM5" s="1" t="s">
        <v>1804</v>
      </c>
      <c r="CN5" s="1" t="s">
        <v>1805</v>
      </c>
      <c r="CO5" s="1" t="s">
        <v>1794</v>
      </c>
      <c r="CP5" s="1" t="s">
        <v>1806</v>
      </c>
      <c r="CQ5" s="1" t="s">
        <v>1807</v>
      </c>
      <c r="CR5" s="1" t="s">
        <v>1808</v>
      </c>
      <c r="CS5" s="1" t="s">
        <v>1809</v>
      </c>
      <c r="CT5" s="1" t="s">
        <v>1810</v>
      </c>
      <c r="CU5" s="1" t="s">
        <v>1811</v>
      </c>
      <c r="CV5" s="1" t="s">
        <v>1812</v>
      </c>
      <c r="CW5" s="1" t="s">
        <v>1813</v>
      </c>
      <c r="CX5" s="1" t="s">
        <v>1814</v>
      </c>
      <c r="CY5" s="1" t="s">
        <v>1813</v>
      </c>
      <c r="CZ5" s="1" t="s">
        <v>1813</v>
      </c>
      <c r="DA5" s="1" t="s">
        <v>1775</v>
      </c>
      <c r="DB5" s="1" t="s">
        <v>1776</v>
      </c>
      <c r="DC5" s="1" t="s">
        <v>1752</v>
      </c>
      <c r="DD5" s="1" t="s">
        <v>1765</v>
      </c>
      <c r="DE5" s="1" t="s">
        <v>1815</v>
      </c>
      <c r="DF5" s="1" t="s">
        <v>1816</v>
      </c>
      <c r="DG5" s="1" t="s">
        <v>1817</v>
      </c>
      <c r="DH5" s="1" t="s">
        <v>1818</v>
      </c>
      <c r="DI5" s="1" t="s">
        <v>1819</v>
      </c>
      <c r="DJ5" s="1" t="s">
        <v>1820</v>
      </c>
      <c r="DK5" s="1" t="s">
        <v>1821</v>
      </c>
      <c r="DL5" s="1" t="s">
        <v>1822</v>
      </c>
      <c r="DM5" s="1" t="s">
        <v>1765</v>
      </c>
      <c r="DN5" s="1" t="s">
        <v>1765</v>
      </c>
      <c r="DO5" s="1" t="s">
        <v>1823</v>
      </c>
      <c r="DP5" s="1" t="s">
        <v>1824</v>
      </c>
      <c r="DQ5" s="1" t="s">
        <v>1824</v>
      </c>
      <c r="DR5" s="1" t="s">
        <v>1765</v>
      </c>
      <c r="DS5" s="1" t="s">
        <v>1825</v>
      </c>
      <c r="DT5" s="1" t="s">
        <v>1816</v>
      </c>
      <c r="DU5" s="1" t="s">
        <v>1826</v>
      </c>
      <c r="DV5" s="1" t="s">
        <v>1925</v>
      </c>
      <c r="DW5" s="1" t="s">
        <v>1828</v>
      </c>
      <c r="DX5" s="1" t="s">
        <v>1926</v>
      </c>
      <c r="DY5" s="1" t="s">
        <v>424</v>
      </c>
      <c r="DZ5" s="1" t="s">
        <v>1752</v>
      </c>
      <c r="EA5" s="1" t="s">
        <v>218</v>
      </c>
      <c r="EB5" s="1" t="s">
        <v>892</v>
      </c>
      <c r="EC5" s="1" t="s">
        <v>1917</v>
      </c>
      <c r="ED5" s="1" t="s">
        <v>1927</v>
      </c>
      <c r="EE5" s="1" t="s">
        <v>1927</v>
      </c>
      <c r="EF5" s="1" t="s">
        <v>1928</v>
      </c>
      <c r="EG5" s="1" t="s">
        <v>1929</v>
      </c>
      <c r="EH5" s="1" t="s">
        <v>1930</v>
      </c>
      <c r="EI5" s="1" t="s">
        <v>1931</v>
      </c>
      <c r="EJ5" s="1" t="s">
        <v>1932</v>
      </c>
      <c r="EK5" s="1" t="s">
        <v>1836</v>
      </c>
      <c r="EL5" s="1" t="s">
        <v>1837</v>
      </c>
      <c r="EM5" s="1" t="s">
        <v>1838</v>
      </c>
      <c r="EN5" s="1" t="s">
        <v>1933</v>
      </c>
      <c r="EO5" s="1" t="s">
        <v>1840</v>
      </c>
      <c r="EP5" s="1" t="s">
        <v>252</v>
      </c>
      <c r="EQ5" s="1" t="s">
        <v>1782</v>
      </c>
      <c r="ER5" s="1" t="s">
        <v>1802</v>
      </c>
      <c r="ES5" s="1" t="s">
        <v>1802</v>
      </c>
      <c r="ET5" s="1" t="s">
        <v>1802</v>
      </c>
      <c r="EU5" s="1" t="s">
        <v>1802</v>
      </c>
      <c r="EV5" s="1" t="s">
        <v>1802</v>
      </c>
      <c r="EW5" s="1" t="s">
        <v>1802</v>
      </c>
      <c r="EX5" s="1" t="s">
        <v>1802</v>
      </c>
      <c r="EY5" s="1" t="s">
        <v>1802</v>
      </c>
      <c r="EZ5" s="1" t="s">
        <v>1802</v>
      </c>
      <c r="FA5" s="1" t="s">
        <v>1802</v>
      </c>
      <c r="FB5" s="1" t="s">
        <v>1802</v>
      </c>
      <c r="FC5" s="1" t="s">
        <v>1802</v>
      </c>
      <c r="FD5" s="1" t="s">
        <v>1802</v>
      </c>
      <c r="FE5" s="1" t="s">
        <v>1802</v>
      </c>
      <c r="FF5" s="1" t="s">
        <v>1802</v>
      </c>
      <c r="FG5" s="1" t="s">
        <v>1802</v>
      </c>
      <c r="FH5" s="1" t="s">
        <v>1802</v>
      </c>
      <c r="FI5" s="1" t="s">
        <v>1802</v>
      </c>
      <c r="FJ5" s="1" t="s">
        <v>1802</v>
      </c>
      <c r="FK5" s="1" t="s">
        <v>1802</v>
      </c>
      <c r="FL5" s="1" t="s">
        <v>1802</v>
      </c>
      <c r="FM5" s="1" t="s">
        <v>1802</v>
      </c>
      <c r="FN5" s="1" t="s">
        <v>1802</v>
      </c>
      <c r="FO5" s="1" t="s">
        <v>1802</v>
      </c>
      <c r="FP5" s="1" t="s">
        <v>1802</v>
      </c>
      <c r="FQ5" s="1" t="s">
        <v>1802</v>
      </c>
      <c r="FR5" s="2"/>
      <c r="FS5" s="1" t="s">
        <v>1802</v>
      </c>
    </row>
    <row r="6" spans="1:175" x14ac:dyDescent="0.3">
      <c r="A6" s="1" t="s">
        <v>1934</v>
      </c>
      <c r="B6" s="1" t="s">
        <v>1739</v>
      </c>
      <c r="C6" s="1" t="s">
        <v>135</v>
      </c>
      <c r="D6" s="1" t="s">
        <v>1740</v>
      </c>
      <c r="E6" s="1" t="s">
        <v>1935</v>
      </c>
      <c r="F6" s="1" t="s">
        <v>1936</v>
      </c>
      <c r="G6" s="1" t="s">
        <v>1936</v>
      </c>
      <c r="H6" s="1" t="s">
        <v>1937</v>
      </c>
      <c r="I6" s="1" t="s">
        <v>1744</v>
      </c>
      <c r="J6" s="1" t="s">
        <v>1745</v>
      </c>
      <c r="K6" s="1" t="s">
        <v>1746</v>
      </c>
      <c r="L6" s="1" t="s">
        <v>1747</v>
      </c>
      <c r="M6" s="1" t="s">
        <v>1748</v>
      </c>
      <c r="N6" s="1" t="s">
        <v>1749</v>
      </c>
      <c r="O6" s="1" t="s">
        <v>1750</v>
      </c>
      <c r="P6" s="1" t="s">
        <v>1751</v>
      </c>
      <c r="Q6">
        <v>49</v>
      </c>
      <c r="R6" s="1" t="s">
        <v>1752</v>
      </c>
      <c r="S6" s="1" t="s">
        <v>1753</v>
      </c>
      <c r="T6" s="1" t="s">
        <v>1754</v>
      </c>
      <c r="U6" s="1" t="s">
        <v>1755</v>
      </c>
      <c r="V6" s="1" t="s">
        <v>1756</v>
      </c>
      <c r="W6">
        <v>72</v>
      </c>
      <c r="X6">
        <v>72</v>
      </c>
      <c r="Y6" s="1" t="s">
        <v>1757</v>
      </c>
      <c r="Z6" s="2">
        <v>36999</v>
      </c>
      <c r="AA6" s="1" t="s">
        <v>1938</v>
      </c>
      <c r="AB6" s="1" t="s">
        <v>1755</v>
      </c>
      <c r="AC6" s="1" t="s">
        <v>1939</v>
      </c>
      <c r="AD6" s="1" t="s">
        <v>424</v>
      </c>
      <c r="AE6" s="1" t="s">
        <v>1760</v>
      </c>
      <c r="AF6" s="1" t="s">
        <v>1761</v>
      </c>
      <c r="AG6" s="1" t="s">
        <v>1762</v>
      </c>
      <c r="AH6" s="1" t="s">
        <v>1938</v>
      </c>
      <c r="AI6" s="1" t="s">
        <v>1938</v>
      </c>
      <c r="AJ6" s="1" t="s">
        <v>1763</v>
      </c>
      <c r="AK6" s="1" t="s">
        <v>1763</v>
      </c>
      <c r="AL6" s="1" t="s">
        <v>1763</v>
      </c>
      <c r="AM6" s="1" t="s">
        <v>1939</v>
      </c>
      <c r="AN6" s="1" t="s">
        <v>424</v>
      </c>
      <c r="AO6" s="1" t="s">
        <v>1940</v>
      </c>
      <c r="AP6" s="1" t="s">
        <v>1765</v>
      </c>
      <c r="AQ6" s="1" t="s">
        <v>1766</v>
      </c>
      <c r="AR6" s="1" t="s">
        <v>1767</v>
      </c>
      <c r="AS6" s="1" t="s">
        <v>1768</v>
      </c>
      <c r="AT6">
        <v>2009150923181390</v>
      </c>
      <c r="AU6" s="1" t="s">
        <v>1769</v>
      </c>
      <c r="AV6">
        <v>40053200303041</v>
      </c>
      <c r="AW6" s="1" t="s">
        <v>1770</v>
      </c>
      <c r="AX6" s="1" t="s">
        <v>1765</v>
      </c>
      <c r="AY6" s="1" t="s">
        <v>1941</v>
      </c>
      <c r="AZ6" s="1" t="s">
        <v>1897</v>
      </c>
      <c r="BA6" s="1" t="s">
        <v>1942</v>
      </c>
      <c r="BB6">
        <v>18</v>
      </c>
      <c r="BC6" s="1" t="s">
        <v>1774</v>
      </c>
      <c r="BD6" s="1" t="s">
        <v>1775</v>
      </c>
      <c r="BE6" s="1" t="s">
        <v>1776</v>
      </c>
      <c r="BF6" s="1" t="s">
        <v>1777</v>
      </c>
      <c r="BG6" s="1" t="s">
        <v>1778</v>
      </c>
      <c r="BH6" s="1" t="s">
        <v>1779</v>
      </c>
      <c r="BI6" s="1" t="s">
        <v>1779</v>
      </c>
      <c r="BJ6" s="1" t="s">
        <v>1780</v>
      </c>
      <c r="BK6" s="1" t="s">
        <v>1781</v>
      </c>
      <c r="BL6" s="1" t="s">
        <v>1754</v>
      </c>
      <c r="BM6" s="1" t="s">
        <v>1782</v>
      </c>
      <c r="BN6" s="1" t="s">
        <v>1783</v>
      </c>
      <c r="BO6" s="1" t="s">
        <v>1784</v>
      </c>
      <c r="BP6" s="1" t="s">
        <v>1785</v>
      </c>
      <c r="BQ6" s="1" t="s">
        <v>1786</v>
      </c>
      <c r="BR6" s="1" t="s">
        <v>1943</v>
      </c>
      <c r="BS6" s="1" t="s">
        <v>1788</v>
      </c>
      <c r="BT6" s="1" t="s">
        <v>1944</v>
      </c>
      <c r="BU6" s="1" t="s">
        <v>1790</v>
      </c>
      <c r="BV6" s="1" t="s">
        <v>1945</v>
      </c>
      <c r="BW6" s="1" t="s">
        <v>1790</v>
      </c>
      <c r="BX6" s="1" t="s">
        <v>1945</v>
      </c>
      <c r="BY6" s="1" t="s">
        <v>1792</v>
      </c>
      <c r="BZ6" s="1" t="s">
        <v>1946</v>
      </c>
      <c r="CA6" s="1" t="s">
        <v>1794</v>
      </c>
      <c r="CB6" s="1" t="s">
        <v>1795</v>
      </c>
      <c r="CC6" s="1" t="s">
        <v>1796</v>
      </c>
      <c r="CD6" s="1" t="s">
        <v>1797</v>
      </c>
      <c r="CE6" s="1" t="s">
        <v>1798</v>
      </c>
      <c r="CF6" s="1" t="s">
        <v>1799</v>
      </c>
      <c r="CG6" s="1" t="s">
        <v>1800</v>
      </c>
      <c r="CH6" s="1" t="s">
        <v>1794</v>
      </c>
      <c r="CI6" s="1" t="s">
        <v>1801</v>
      </c>
      <c r="CJ6" s="1" t="s">
        <v>1794</v>
      </c>
      <c r="CK6" s="1" t="s">
        <v>1802</v>
      </c>
      <c r="CL6" s="1" t="s">
        <v>1803</v>
      </c>
      <c r="CM6" s="1" t="s">
        <v>1804</v>
      </c>
      <c r="CN6" s="1" t="s">
        <v>1805</v>
      </c>
      <c r="CO6" s="1" t="s">
        <v>1794</v>
      </c>
      <c r="CP6" s="1" t="s">
        <v>1806</v>
      </c>
      <c r="CQ6" s="1" t="s">
        <v>1807</v>
      </c>
      <c r="CR6" s="1" t="s">
        <v>1808</v>
      </c>
      <c r="CS6" s="1" t="s">
        <v>1809</v>
      </c>
      <c r="CT6" s="1" t="s">
        <v>1810</v>
      </c>
      <c r="CU6" s="1" t="s">
        <v>1811</v>
      </c>
      <c r="CV6" s="1" t="s">
        <v>1812</v>
      </c>
      <c r="CW6" s="1" t="s">
        <v>1813</v>
      </c>
      <c r="CX6" s="1" t="s">
        <v>1814</v>
      </c>
      <c r="CY6" s="1" t="s">
        <v>1813</v>
      </c>
      <c r="CZ6" s="1" t="s">
        <v>1813</v>
      </c>
      <c r="DA6" s="1" t="s">
        <v>1775</v>
      </c>
      <c r="DB6" s="1" t="s">
        <v>1776</v>
      </c>
      <c r="DC6" s="1" t="s">
        <v>1752</v>
      </c>
      <c r="DD6" s="1" t="s">
        <v>1765</v>
      </c>
      <c r="DE6" s="1" t="s">
        <v>1815</v>
      </c>
      <c r="DF6" s="1" t="s">
        <v>1816</v>
      </c>
      <c r="DG6" s="1" t="s">
        <v>1817</v>
      </c>
      <c r="DH6" s="1" t="s">
        <v>1818</v>
      </c>
      <c r="DI6" s="1" t="s">
        <v>1819</v>
      </c>
      <c r="DJ6" s="1" t="s">
        <v>1820</v>
      </c>
      <c r="DK6" s="1" t="s">
        <v>1821</v>
      </c>
      <c r="DL6" s="1" t="s">
        <v>1822</v>
      </c>
      <c r="DM6" s="1" t="s">
        <v>1765</v>
      </c>
      <c r="DN6" s="1" t="s">
        <v>1765</v>
      </c>
      <c r="DO6" s="1" t="s">
        <v>1823</v>
      </c>
      <c r="DP6" s="1" t="s">
        <v>1824</v>
      </c>
      <c r="DQ6" s="1" t="s">
        <v>1824</v>
      </c>
      <c r="DR6" s="1" t="s">
        <v>1765</v>
      </c>
      <c r="DS6" s="1" t="s">
        <v>1825</v>
      </c>
      <c r="DT6" s="1" t="s">
        <v>1816</v>
      </c>
      <c r="DU6" s="1" t="s">
        <v>1826</v>
      </c>
      <c r="DV6" s="1" t="s">
        <v>1947</v>
      </c>
      <c r="DW6" s="1" t="s">
        <v>1828</v>
      </c>
      <c r="DX6" s="1" t="s">
        <v>1948</v>
      </c>
      <c r="DY6" s="1" t="s">
        <v>424</v>
      </c>
      <c r="DZ6" s="1" t="s">
        <v>1752</v>
      </c>
      <c r="EA6" s="1" t="s">
        <v>218</v>
      </c>
      <c r="EB6" s="1" t="s">
        <v>892</v>
      </c>
      <c r="EC6" s="1" t="s">
        <v>1939</v>
      </c>
      <c r="ED6" s="1" t="s">
        <v>1949</v>
      </c>
      <c r="EE6" s="1" t="s">
        <v>1949</v>
      </c>
      <c r="EF6" s="1" t="s">
        <v>1950</v>
      </c>
      <c r="EG6" s="1" t="s">
        <v>1929</v>
      </c>
      <c r="EH6" s="1" t="s">
        <v>1951</v>
      </c>
      <c r="EI6" s="1" t="s">
        <v>1952</v>
      </c>
      <c r="EJ6" s="1" t="s">
        <v>1953</v>
      </c>
      <c r="EK6" s="1" t="s">
        <v>1836</v>
      </c>
      <c r="EL6" s="1" t="s">
        <v>1837</v>
      </c>
      <c r="EM6" s="1" t="s">
        <v>1838</v>
      </c>
      <c r="EN6" s="1" t="s">
        <v>1954</v>
      </c>
      <c r="EO6" s="1" t="s">
        <v>1840</v>
      </c>
      <c r="EP6" s="1" t="s">
        <v>1955</v>
      </c>
      <c r="EQ6" s="1" t="s">
        <v>1782</v>
      </c>
      <c r="ER6" s="1" t="s">
        <v>1802</v>
      </c>
      <c r="ES6" s="1" t="s">
        <v>1802</v>
      </c>
      <c r="ET6" s="1" t="s">
        <v>1802</v>
      </c>
      <c r="EU6" s="1" t="s">
        <v>1802</v>
      </c>
      <c r="EV6" s="1" t="s">
        <v>1802</v>
      </c>
      <c r="EW6" s="1" t="s">
        <v>1802</v>
      </c>
      <c r="EX6" s="1" t="s">
        <v>1802</v>
      </c>
      <c r="EY6" s="1" t="s">
        <v>1802</v>
      </c>
      <c r="EZ6" s="1" t="s">
        <v>1802</v>
      </c>
      <c r="FA6" s="1" t="s">
        <v>1802</v>
      </c>
      <c r="FB6" s="1" t="s">
        <v>1802</v>
      </c>
      <c r="FC6" s="1" t="s">
        <v>1802</v>
      </c>
      <c r="FD6" s="1" t="s">
        <v>1802</v>
      </c>
      <c r="FE6" s="1" t="s">
        <v>1802</v>
      </c>
      <c r="FF6" s="1" t="s">
        <v>1802</v>
      </c>
      <c r="FG6" s="1" t="s">
        <v>1802</v>
      </c>
      <c r="FH6" s="1" t="s">
        <v>1802</v>
      </c>
      <c r="FI6" s="1" t="s">
        <v>1802</v>
      </c>
      <c r="FJ6" s="1" t="s">
        <v>1802</v>
      </c>
      <c r="FK6" s="1" t="s">
        <v>1802</v>
      </c>
      <c r="FL6" s="1" t="s">
        <v>1802</v>
      </c>
      <c r="FM6" s="1" t="s">
        <v>1802</v>
      </c>
      <c r="FN6" s="1" t="s">
        <v>1802</v>
      </c>
      <c r="FO6" s="1" t="s">
        <v>1802</v>
      </c>
      <c r="FP6" s="1" t="s">
        <v>1802</v>
      </c>
      <c r="FQ6" s="1" t="s">
        <v>1802</v>
      </c>
      <c r="FR6" s="2"/>
      <c r="FS6" s="1" t="s">
        <v>1802</v>
      </c>
    </row>
    <row r="7" spans="1:175" x14ac:dyDescent="0.3">
      <c r="A7" s="1" t="s">
        <v>1956</v>
      </c>
      <c r="B7" s="1" t="s">
        <v>1739</v>
      </c>
      <c r="C7" s="1" t="s">
        <v>151</v>
      </c>
      <c r="D7" s="1" t="s">
        <v>1740</v>
      </c>
      <c r="E7" s="1" t="s">
        <v>1957</v>
      </c>
      <c r="F7" s="1" t="s">
        <v>1958</v>
      </c>
      <c r="G7" s="1" t="s">
        <v>1958</v>
      </c>
      <c r="H7" s="1" t="s">
        <v>1959</v>
      </c>
      <c r="I7" s="1" t="s">
        <v>1744</v>
      </c>
      <c r="J7" s="1" t="s">
        <v>1745</v>
      </c>
      <c r="K7" s="1" t="s">
        <v>1746</v>
      </c>
      <c r="L7" s="1" t="s">
        <v>1747</v>
      </c>
      <c r="M7" s="1" t="s">
        <v>1748</v>
      </c>
      <c r="N7" s="1" t="s">
        <v>1749</v>
      </c>
      <c r="O7" s="1" t="s">
        <v>1750</v>
      </c>
      <c r="P7" s="1" t="s">
        <v>1751</v>
      </c>
      <c r="Q7">
        <v>49</v>
      </c>
      <c r="R7" s="1" t="s">
        <v>1752</v>
      </c>
      <c r="S7" s="1" t="s">
        <v>1753</v>
      </c>
      <c r="T7" s="1" t="s">
        <v>1754</v>
      </c>
      <c r="U7" s="1" t="s">
        <v>1755</v>
      </c>
      <c r="V7" s="1" t="s">
        <v>1756</v>
      </c>
      <c r="W7">
        <v>72</v>
      </c>
      <c r="X7">
        <v>72</v>
      </c>
      <c r="Y7" s="1" t="s">
        <v>1757</v>
      </c>
      <c r="Z7" s="2">
        <v>36999</v>
      </c>
      <c r="AA7" s="1" t="s">
        <v>1960</v>
      </c>
      <c r="AB7" s="1" t="s">
        <v>1755</v>
      </c>
      <c r="AC7" s="1" t="s">
        <v>1961</v>
      </c>
      <c r="AD7" s="1" t="s">
        <v>424</v>
      </c>
      <c r="AE7" s="1" t="s">
        <v>1760</v>
      </c>
      <c r="AF7" s="1" t="s">
        <v>1761</v>
      </c>
      <c r="AG7" s="1" t="s">
        <v>1762</v>
      </c>
      <c r="AH7" s="1" t="s">
        <v>1960</v>
      </c>
      <c r="AI7" s="1" t="s">
        <v>1960</v>
      </c>
      <c r="AJ7" s="1" t="s">
        <v>1763</v>
      </c>
      <c r="AK7" s="1" t="s">
        <v>1763</v>
      </c>
      <c r="AL7" s="1" t="s">
        <v>1763</v>
      </c>
      <c r="AM7" s="1" t="s">
        <v>1961</v>
      </c>
      <c r="AN7" s="1" t="s">
        <v>424</v>
      </c>
      <c r="AO7" s="1" t="s">
        <v>1962</v>
      </c>
      <c r="AP7" s="1" t="s">
        <v>1765</v>
      </c>
      <c r="AQ7" s="1" t="s">
        <v>1766</v>
      </c>
      <c r="AR7" s="1" t="s">
        <v>1767</v>
      </c>
      <c r="AS7" s="1" t="s">
        <v>1768</v>
      </c>
      <c r="AT7">
        <v>2010150922131390</v>
      </c>
      <c r="AU7" s="1" t="s">
        <v>1769</v>
      </c>
      <c r="AV7">
        <v>41436558459291</v>
      </c>
      <c r="AW7" s="1" t="s">
        <v>1770</v>
      </c>
      <c r="AX7" s="1" t="s">
        <v>1765</v>
      </c>
      <c r="AY7" s="1" t="s">
        <v>1963</v>
      </c>
      <c r="AZ7" s="1" t="s">
        <v>1897</v>
      </c>
      <c r="BA7" s="1" t="s">
        <v>1964</v>
      </c>
      <c r="BB7">
        <v>911</v>
      </c>
      <c r="BC7" s="1" t="s">
        <v>1774</v>
      </c>
      <c r="BD7" s="1" t="s">
        <v>1775</v>
      </c>
      <c r="BE7" s="1" t="s">
        <v>1776</v>
      </c>
      <c r="BF7" s="1" t="s">
        <v>1777</v>
      </c>
      <c r="BG7" s="1" t="s">
        <v>1778</v>
      </c>
      <c r="BH7" s="1" t="s">
        <v>1779</v>
      </c>
      <c r="BI7" s="1" t="s">
        <v>1779</v>
      </c>
      <c r="BJ7" s="1" t="s">
        <v>1780</v>
      </c>
      <c r="BK7" s="1" t="s">
        <v>1781</v>
      </c>
      <c r="BL7" s="1" t="s">
        <v>1754</v>
      </c>
      <c r="BM7" s="1" t="s">
        <v>1782</v>
      </c>
      <c r="BN7" s="1" t="s">
        <v>1783</v>
      </c>
      <c r="BO7" s="1" t="s">
        <v>1784</v>
      </c>
      <c r="BP7" s="1" t="s">
        <v>1785</v>
      </c>
      <c r="BQ7" s="1" t="s">
        <v>1786</v>
      </c>
      <c r="BR7" s="1" t="s">
        <v>1965</v>
      </c>
      <c r="BS7" s="1" t="s">
        <v>1788</v>
      </c>
      <c r="BT7" s="1" t="s">
        <v>1966</v>
      </c>
      <c r="BU7" s="1" t="s">
        <v>1790</v>
      </c>
      <c r="BV7" s="1" t="s">
        <v>1967</v>
      </c>
      <c r="BW7" s="1" t="s">
        <v>1790</v>
      </c>
      <c r="BX7" s="1" t="s">
        <v>1967</v>
      </c>
      <c r="BY7" s="1" t="s">
        <v>1792</v>
      </c>
      <c r="BZ7" s="1" t="s">
        <v>1968</v>
      </c>
      <c r="CA7" s="1" t="s">
        <v>1794</v>
      </c>
      <c r="CB7" s="1" t="s">
        <v>1795</v>
      </c>
      <c r="CC7" s="1" t="s">
        <v>1796</v>
      </c>
      <c r="CD7" s="1" t="s">
        <v>1797</v>
      </c>
      <c r="CE7" s="1" t="s">
        <v>1798</v>
      </c>
      <c r="CF7" s="1" t="s">
        <v>1799</v>
      </c>
      <c r="CG7" s="1" t="s">
        <v>1800</v>
      </c>
      <c r="CH7" s="1" t="s">
        <v>1794</v>
      </c>
      <c r="CI7" s="1" t="s">
        <v>1801</v>
      </c>
      <c r="CJ7" s="1" t="s">
        <v>1794</v>
      </c>
      <c r="CK7" s="1" t="s">
        <v>1802</v>
      </c>
      <c r="CL7" s="1" t="s">
        <v>1803</v>
      </c>
      <c r="CM7" s="1" t="s">
        <v>1804</v>
      </c>
      <c r="CN7" s="1" t="s">
        <v>1805</v>
      </c>
      <c r="CO7" s="1" t="s">
        <v>1794</v>
      </c>
      <c r="CP7" s="1" t="s">
        <v>1806</v>
      </c>
      <c r="CQ7" s="1" t="s">
        <v>1807</v>
      </c>
      <c r="CR7" s="1" t="s">
        <v>1808</v>
      </c>
      <c r="CS7" s="1" t="s">
        <v>1809</v>
      </c>
      <c r="CT7" s="1" t="s">
        <v>1810</v>
      </c>
      <c r="CU7" s="1" t="s">
        <v>1811</v>
      </c>
      <c r="CV7" s="1" t="s">
        <v>1812</v>
      </c>
      <c r="CW7" s="1" t="s">
        <v>1813</v>
      </c>
      <c r="CX7" s="1" t="s">
        <v>1814</v>
      </c>
      <c r="CY7" s="1" t="s">
        <v>1813</v>
      </c>
      <c r="CZ7" s="1" t="s">
        <v>1813</v>
      </c>
      <c r="DA7" s="1" t="s">
        <v>1775</v>
      </c>
      <c r="DB7" s="1" t="s">
        <v>1776</v>
      </c>
      <c r="DC7" s="1" t="s">
        <v>1752</v>
      </c>
      <c r="DD7" s="1" t="s">
        <v>1765</v>
      </c>
      <c r="DE7" s="1" t="s">
        <v>1815</v>
      </c>
      <c r="DF7" s="1" t="s">
        <v>1816</v>
      </c>
      <c r="DG7" s="1" t="s">
        <v>1817</v>
      </c>
      <c r="DH7" s="1" t="s">
        <v>1818</v>
      </c>
      <c r="DI7" s="1" t="s">
        <v>1819</v>
      </c>
      <c r="DJ7" s="1" t="s">
        <v>1820</v>
      </c>
      <c r="DK7" s="1" t="s">
        <v>1821</v>
      </c>
      <c r="DL7" s="1" t="s">
        <v>1822</v>
      </c>
      <c r="DM7" s="1" t="s">
        <v>1765</v>
      </c>
      <c r="DN7" s="1" t="s">
        <v>1765</v>
      </c>
      <c r="DO7" s="1" t="s">
        <v>1823</v>
      </c>
      <c r="DP7" s="1" t="s">
        <v>1824</v>
      </c>
      <c r="DQ7" s="1" t="s">
        <v>1824</v>
      </c>
      <c r="DR7" s="1" t="s">
        <v>1765</v>
      </c>
      <c r="DS7" s="1" t="s">
        <v>1825</v>
      </c>
      <c r="DT7" s="1" t="s">
        <v>1816</v>
      </c>
      <c r="DU7" s="1" t="s">
        <v>1826</v>
      </c>
      <c r="DV7" s="1" t="s">
        <v>1969</v>
      </c>
      <c r="DW7" s="1" t="s">
        <v>1828</v>
      </c>
      <c r="DX7" s="1" t="s">
        <v>1970</v>
      </c>
      <c r="DY7" s="1" t="s">
        <v>424</v>
      </c>
      <c r="DZ7" s="1" t="s">
        <v>1752</v>
      </c>
      <c r="EA7" s="1" t="s">
        <v>218</v>
      </c>
      <c r="EB7" s="1" t="s">
        <v>892</v>
      </c>
      <c r="EC7" s="1" t="s">
        <v>1961</v>
      </c>
      <c r="ED7" s="1" t="s">
        <v>1971</v>
      </c>
      <c r="EE7" s="1" t="s">
        <v>1971</v>
      </c>
      <c r="EF7" s="1" t="s">
        <v>1972</v>
      </c>
      <c r="EG7" s="1" t="s">
        <v>1973</v>
      </c>
      <c r="EH7" s="1" t="s">
        <v>1974</v>
      </c>
      <c r="EI7" s="1" t="s">
        <v>1975</v>
      </c>
      <c r="EJ7" s="1" t="s">
        <v>1976</v>
      </c>
      <c r="EK7" s="1" t="s">
        <v>1836</v>
      </c>
      <c r="EL7" s="1" t="s">
        <v>1837</v>
      </c>
      <c r="EM7" s="1" t="s">
        <v>1838</v>
      </c>
      <c r="EN7" s="1" t="s">
        <v>1977</v>
      </c>
      <c r="EO7" s="1" t="s">
        <v>1840</v>
      </c>
      <c r="EP7" s="1" t="s">
        <v>1978</v>
      </c>
      <c r="EQ7" s="1" t="s">
        <v>1782</v>
      </c>
      <c r="ER7" s="1" t="s">
        <v>1802</v>
      </c>
      <c r="ES7" s="1" t="s">
        <v>1802</v>
      </c>
      <c r="ET7" s="1" t="s">
        <v>1802</v>
      </c>
      <c r="EU7" s="1" t="s">
        <v>1802</v>
      </c>
      <c r="EV7" s="1" t="s">
        <v>1802</v>
      </c>
      <c r="EW7" s="1" t="s">
        <v>1802</v>
      </c>
      <c r="EX7" s="1" t="s">
        <v>1802</v>
      </c>
      <c r="EY7" s="1" t="s">
        <v>1802</v>
      </c>
      <c r="EZ7" s="1" t="s">
        <v>1802</v>
      </c>
      <c r="FA7" s="1" t="s">
        <v>1802</v>
      </c>
      <c r="FB7" s="1" t="s">
        <v>1802</v>
      </c>
      <c r="FC7" s="1" t="s">
        <v>1802</v>
      </c>
      <c r="FD7" s="1" t="s">
        <v>1802</v>
      </c>
      <c r="FE7" s="1" t="s">
        <v>1802</v>
      </c>
      <c r="FF7" s="1" t="s">
        <v>1802</v>
      </c>
      <c r="FG7" s="1" t="s">
        <v>1802</v>
      </c>
      <c r="FH7" s="1" t="s">
        <v>1802</v>
      </c>
      <c r="FI7" s="1" t="s">
        <v>1802</v>
      </c>
      <c r="FJ7" s="1" t="s">
        <v>1802</v>
      </c>
      <c r="FK7" s="1" t="s">
        <v>1802</v>
      </c>
      <c r="FL7" s="1" t="s">
        <v>1802</v>
      </c>
      <c r="FM7" s="1" t="s">
        <v>1802</v>
      </c>
      <c r="FN7" s="1" t="s">
        <v>1802</v>
      </c>
      <c r="FO7" s="1" t="s">
        <v>1802</v>
      </c>
      <c r="FP7" s="1" t="s">
        <v>1802</v>
      </c>
      <c r="FQ7" s="1" t="s">
        <v>1802</v>
      </c>
      <c r="FR7" s="2"/>
      <c r="FS7" s="1" t="s">
        <v>1802</v>
      </c>
    </row>
    <row r="8" spans="1:175" x14ac:dyDescent="0.3">
      <c r="A8" s="1" t="s">
        <v>1979</v>
      </c>
      <c r="B8" s="1" t="s">
        <v>1739</v>
      </c>
      <c r="C8" s="1" t="s">
        <v>174</v>
      </c>
      <c r="D8" s="1" t="s">
        <v>1740</v>
      </c>
      <c r="E8" s="1" t="s">
        <v>1980</v>
      </c>
      <c r="F8" s="1" t="s">
        <v>1981</v>
      </c>
      <c r="G8" s="1" t="s">
        <v>1981</v>
      </c>
      <c r="H8" s="1" t="s">
        <v>1982</v>
      </c>
      <c r="I8" s="1" t="s">
        <v>1744</v>
      </c>
      <c r="J8" s="1" t="s">
        <v>1745</v>
      </c>
      <c r="K8" s="1" t="s">
        <v>1746</v>
      </c>
      <c r="L8" s="1" t="s">
        <v>1747</v>
      </c>
      <c r="M8" s="1" t="s">
        <v>1748</v>
      </c>
      <c r="N8" s="1" t="s">
        <v>1749</v>
      </c>
      <c r="O8" s="1" t="s">
        <v>1750</v>
      </c>
      <c r="P8" s="1" t="s">
        <v>1751</v>
      </c>
      <c r="Q8">
        <v>49</v>
      </c>
      <c r="R8" s="1" t="s">
        <v>1752</v>
      </c>
      <c r="S8" s="1" t="s">
        <v>1753</v>
      </c>
      <c r="T8" s="1" t="s">
        <v>1754</v>
      </c>
      <c r="U8" s="1" t="s">
        <v>1755</v>
      </c>
      <c r="V8" s="1" t="s">
        <v>1756</v>
      </c>
      <c r="W8">
        <v>72</v>
      </c>
      <c r="X8">
        <v>72</v>
      </c>
      <c r="Y8" s="1" t="s">
        <v>1757</v>
      </c>
      <c r="Z8" s="2">
        <v>36999</v>
      </c>
      <c r="AA8" s="1" t="s">
        <v>1983</v>
      </c>
      <c r="AB8" s="1" t="s">
        <v>1755</v>
      </c>
      <c r="AC8" s="1" t="s">
        <v>1984</v>
      </c>
      <c r="AD8" s="1" t="s">
        <v>424</v>
      </c>
      <c r="AE8" s="1" t="s">
        <v>1760</v>
      </c>
      <c r="AF8" s="1" t="s">
        <v>1761</v>
      </c>
      <c r="AG8" s="1" t="s">
        <v>1762</v>
      </c>
      <c r="AH8" s="1" t="s">
        <v>1983</v>
      </c>
      <c r="AI8" s="1" t="s">
        <v>1983</v>
      </c>
      <c r="AJ8" s="1" t="s">
        <v>1763</v>
      </c>
      <c r="AK8" s="1" t="s">
        <v>1763</v>
      </c>
      <c r="AL8" s="1" t="s">
        <v>1763</v>
      </c>
      <c r="AM8" s="1" t="s">
        <v>1984</v>
      </c>
      <c r="AN8" s="1" t="s">
        <v>424</v>
      </c>
      <c r="AO8" s="1" t="s">
        <v>1985</v>
      </c>
      <c r="AP8" s="1" t="s">
        <v>1765</v>
      </c>
      <c r="AQ8" s="1" t="s">
        <v>1766</v>
      </c>
      <c r="AR8" s="1" t="s">
        <v>1767</v>
      </c>
      <c r="AS8" s="1" t="s">
        <v>1768</v>
      </c>
      <c r="AT8">
        <v>2010150922131390</v>
      </c>
      <c r="AU8" s="1" t="s">
        <v>1769</v>
      </c>
      <c r="AV8">
        <v>44702302671750</v>
      </c>
      <c r="AW8" s="1" t="s">
        <v>1770</v>
      </c>
      <c r="AX8" s="1" t="s">
        <v>1765</v>
      </c>
      <c r="AY8" s="1" t="s">
        <v>1986</v>
      </c>
      <c r="AZ8" s="1" t="s">
        <v>1897</v>
      </c>
      <c r="BA8" s="1" t="s">
        <v>1987</v>
      </c>
      <c r="BB8">
        <v>401</v>
      </c>
      <c r="BC8" s="1" t="s">
        <v>1774</v>
      </c>
      <c r="BD8" s="1" t="s">
        <v>1775</v>
      </c>
      <c r="BE8" s="1" t="s">
        <v>1776</v>
      </c>
      <c r="BF8" s="1" t="s">
        <v>1777</v>
      </c>
      <c r="BG8" s="1" t="s">
        <v>1778</v>
      </c>
      <c r="BH8" s="1" t="s">
        <v>1779</v>
      </c>
      <c r="BI8" s="1" t="s">
        <v>1779</v>
      </c>
      <c r="BJ8" s="1" t="s">
        <v>1780</v>
      </c>
      <c r="BK8" s="1" t="s">
        <v>1781</v>
      </c>
      <c r="BL8" s="1" t="s">
        <v>1754</v>
      </c>
      <c r="BM8" s="1" t="s">
        <v>1782</v>
      </c>
      <c r="BN8" s="1" t="s">
        <v>1783</v>
      </c>
      <c r="BO8" s="1" t="s">
        <v>1784</v>
      </c>
      <c r="BP8" s="1" t="s">
        <v>1785</v>
      </c>
      <c r="BQ8" s="1" t="s">
        <v>1786</v>
      </c>
      <c r="BR8" s="1" t="s">
        <v>1988</v>
      </c>
      <c r="BS8" s="1" t="s">
        <v>1788</v>
      </c>
      <c r="BT8" s="1" t="s">
        <v>1989</v>
      </c>
      <c r="BU8" s="1" t="s">
        <v>1790</v>
      </c>
      <c r="BV8" s="1" t="s">
        <v>1990</v>
      </c>
      <c r="BW8" s="1" t="s">
        <v>1790</v>
      </c>
      <c r="BX8" s="1" t="s">
        <v>1990</v>
      </c>
      <c r="BY8" s="1" t="s">
        <v>1792</v>
      </c>
      <c r="BZ8" s="1" t="s">
        <v>1991</v>
      </c>
      <c r="CA8" s="1" t="s">
        <v>1794</v>
      </c>
      <c r="CB8" s="1" t="s">
        <v>1795</v>
      </c>
      <c r="CC8" s="1" t="s">
        <v>1796</v>
      </c>
      <c r="CD8" s="1" t="s">
        <v>1797</v>
      </c>
      <c r="CE8" s="1" t="s">
        <v>1798</v>
      </c>
      <c r="CF8" s="1" t="s">
        <v>1799</v>
      </c>
      <c r="CG8" s="1" t="s">
        <v>1800</v>
      </c>
      <c r="CH8" s="1" t="s">
        <v>1794</v>
      </c>
      <c r="CI8" s="1" t="s">
        <v>1801</v>
      </c>
      <c r="CJ8" s="1" t="s">
        <v>1794</v>
      </c>
      <c r="CK8" s="1" t="s">
        <v>1802</v>
      </c>
      <c r="CL8" s="1" t="s">
        <v>1803</v>
      </c>
      <c r="CM8" s="1" t="s">
        <v>1804</v>
      </c>
      <c r="CN8" s="1" t="s">
        <v>1805</v>
      </c>
      <c r="CO8" s="1" t="s">
        <v>1794</v>
      </c>
      <c r="CP8" s="1" t="s">
        <v>1806</v>
      </c>
      <c r="CQ8" s="1" t="s">
        <v>1807</v>
      </c>
      <c r="CR8" s="1" t="s">
        <v>1808</v>
      </c>
      <c r="CS8" s="1" t="s">
        <v>1809</v>
      </c>
      <c r="CT8" s="1" t="s">
        <v>1810</v>
      </c>
      <c r="CU8" s="1" t="s">
        <v>1811</v>
      </c>
      <c r="CV8" s="1" t="s">
        <v>1812</v>
      </c>
      <c r="CW8" s="1" t="s">
        <v>1813</v>
      </c>
      <c r="CX8" s="1" t="s">
        <v>1814</v>
      </c>
      <c r="CY8" s="1" t="s">
        <v>1813</v>
      </c>
      <c r="CZ8" s="1" t="s">
        <v>1813</v>
      </c>
      <c r="DA8" s="1" t="s">
        <v>1775</v>
      </c>
      <c r="DB8" s="1" t="s">
        <v>1776</v>
      </c>
      <c r="DC8" s="1" t="s">
        <v>1752</v>
      </c>
      <c r="DD8" s="1" t="s">
        <v>1765</v>
      </c>
      <c r="DE8" s="1" t="s">
        <v>1815</v>
      </c>
      <c r="DF8" s="1" t="s">
        <v>1816</v>
      </c>
      <c r="DG8" s="1" t="s">
        <v>1817</v>
      </c>
      <c r="DH8" s="1" t="s">
        <v>1818</v>
      </c>
      <c r="DI8" s="1" t="s">
        <v>1819</v>
      </c>
      <c r="DJ8" s="1" t="s">
        <v>1820</v>
      </c>
      <c r="DK8" s="1" t="s">
        <v>1821</v>
      </c>
      <c r="DL8" s="1" t="s">
        <v>1822</v>
      </c>
      <c r="DM8" s="1" t="s">
        <v>1765</v>
      </c>
      <c r="DN8" s="1" t="s">
        <v>1765</v>
      </c>
      <c r="DO8" s="1" t="s">
        <v>1823</v>
      </c>
      <c r="DP8" s="1" t="s">
        <v>1824</v>
      </c>
      <c r="DQ8" s="1" t="s">
        <v>1824</v>
      </c>
      <c r="DR8" s="1" t="s">
        <v>1765</v>
      </c>
      <c r="DS8" s="1" t="s">
        <v>1825</v>
      </c>
      <c r="DT8" s="1" t="s">
        <v>1816</v>
      </c>
      <c r="DU8" s="1" t="s">
        <v>1826</v>
      </c>
      <c r="DV8" s="1" t="s">
        <v>1992</v>
      </c>
      <c r="DW8" s="1" t="s">
        <v>1828</v>
      </c>
      <c r="DX8" s="1" t="s">
        <v>1993</v>
      </c>
      <c r="DY8" s="1" t="s">
        <v>424</v>
      </c>
      <c r="DZ8" s="1" t="s">
        <v>1752</v>
      </c>
      <c r="EA8" s="1" t="s">
        <v>218</v>
      </c>
      <c r="EB8" s="1" t="s">
        <v>892</v>
      </c>
      <c r="EC8" s="1" t="s">
        <v>1984</v>
      </c>
      <c r="ED8" s="1" t="s">
        <v>1994</v>
      </c>
      <c r="EE8" s="1" t="s">
        <v>1994</v>
      </c>
      <c r="EF8" s="1" t="s">
        <v>1995</v>
      </c>
      <c r="EG8" s="1" t="s">
        <v>1884</v>
      </c>
      <c r="EH8" s="1" t="s">
        <v>1996</v>
      </c>
      <c r="EI8" s="1" t="s">
        <v>1997</v>
      </c>
      <c r="EJ8" s="1" t="s">
        <v>1998</v>
      </c>
      <c r="EK8" s="1" t="s">
        <v>1836</v>
      </c>
      <c r="EL8" s="1" t="s">
        <v>1837</v>
      </c>
      <c r="EM8" s="1" t="s">
        <v>1838</v>
      </c>
      <c r="EN8" s="1" t="s">
        <v>1999</v>
      </c>
      <c r="EO8" s="1" t="s">
        <v>1840</v>
      </c>
      <c r="EP8" s="1" t="s">
        <v>2000</v>
      </c>
      <c r="EQ8" s="1" t="s">
        <v>1782</v>
      </c>
      <c r="ER8" s="1" t="s">
        <v>1802</v>
      </c>
      <c r="ES8" s="1" t="s">
        <v>1802</v>
      </c>
      <c r="ET8" s="1" t="s">
        <v>1802</v>
      </c>
      <c r="EU8" s="1" t="s">
        <v>1802</v>
      </c>
      <c r="EV8" s="1" t="s">
        <v>1802</v>
      </c>
      <c r="EW8" s="1" t="s">
        <v>1802</v>
      </c>
      <c r="EX8" s="1" t="s">
        <v>1802</v>
      </c>
      <c r="EY8" s="1" t="s">
        <v>1802</v>
      </c>
      <c r="EZ8" s="1" t="s">
        <v>1802</v>
      </c>
      <c r="FA8" s="1" t="s">
        <v>1802</v>
      </c>
      <c r="FB8" s="1" t="s">
        <v>1802</v>
      </c>
      <c r="FC8" s="1" t="s">
        <v>1802</v>
      </c>
      <c r="FD8" s="1" t="s">
        <v>1802</v>
      </c>
      <c r="FE8" s="1" t="s">
        <v>1802</v>
      </c>
      <c r="FF8" s="1" t="s">
        <v>1802</v>
      </c>
      <c r="FG8" s="1" t="s">
        <v>1802</v>
      </c>
      <c r="FH8" s="1" t="s">
        <v>1802</v>
      </c>
      <c r="FI8" s="1" t="s">
        <v>1802</v>
      </c>
      <c r="FJ8" s="1" t="s">
        <v>1802</v>
      </c>
      <c r="FK8" s="1" t="s">
        <v>1802</v>
      </c>
      <c r="FL8" s="1" t="s">
        <v>1802</v>
      </c>
      <c r="FM8" s="1" t="s">
        <v>1802</v>
      </c>
      <c r="FN8" s="1" t="s">
        <v>1802</v>
      </c>
      <c r="FO8" s="1" t="s">
        <v>1802</v>
      </c>
      <c r="FP8" s="1" t="s">
        <v>1802</v>
      </c>
      <c r="FQ8" s="1" t="s">
        <v>1802</v>
      </c>
      <c r="FR8" s="2"/>
      <c r="FS8" s="1" t="s">
        <v>1802</v>
      </c>
    </row>
    <row r="9" spans="1:175" x14ac:dyDescent="0.3">
      <c r="A9" s="1" t="s">
        <v>2001</v>
      </c>
      <c r="B9" s="1" t="s">
        <v>1739</v>
      </c>
      <c r="C9" s="1" t="s">
        <v>187</v>
      </c>
      <c r="D9" s="1" t="s">
        <v>1740</v>
      </c>
      <c r="E9" s="1" t="s">
        <v>2002</v>
      </c>
      <c r="F9" s="1" t="s">
        <v>2003</v>
      </c>
      <c r="G9" s="1" t="s">
        <v>2003</v>
      </c>
      <c r="H9" s="1" t="s">
        <v>1915</v>
      </c>
      <c r="I9" s="1" t="s">
        <v>1744</v>
      </c>
      <c r="J9" s="1" t="s">
        <v>1745</v>
      </c>
      <c r="K9" s="1" t="s">
        <v>1746</v>
      </c>
      <c r="L9" s="1" t="s">
        <v>1747</v>
      </c>
      <c r="M9" s="1" t="s">
        <v>1748</v>
      </c>
      <c r="N9" s="1" t="s">
        <v>1749</v>
      </c>
      <c r="O9" s="1" t="s">
        <v>1750</v>
      </c>
      <c r="P9" s="1" t="s">
        <v>1751</v>
      </c>
      <c r="Q9">
        <v>49</v>
      </c>
      <c r="R9" s="1" t="s">
        <v>1752</v>
      </c>
      <c r="S9" s="1" t="s">
        <v>1753</v>
      </c>
      <c r="T9" s="1" t="s">
        <v>1754</v>
      </c>
      <c r="U9" s="1" t="s">
        <v>1755</v>
      </c>
      <c r="V9" s="1" t="s">
        <v>1756</v>
      </c>
      <c r="W9">
        <v>72</v>
      </c>
      <c r="X9">
        <v>72</v>
      </c>
      <c r="Y9" s="1" t="s">
        <v>1757</v>
      </c>
      <c r="Z9" s="2">
        <v>36999</v>
      </c>
      <c r="AA9" s="1" t="s">
        <v>2004</v>
      </c>
      <c r="AB9" s="1" t="s">
        <v>1755</v>
      </c>
      <c r="AC9" s="1" t="s">
        <v>1984</v>
      </c>
      <c r="AD9" s="1" t="s">
        <v>424</v>
      </c>
      <c r="AE9" s="1" t="s">
        <v>1760</v>
      </c>
      <c r="AF9" s="1" t="s">
        <v>1761</v>
      </c>
      <c r="AG9" s="1" t="s">
        <v>1762</v>
      </c>
      <c r="AH9" s="1" t="s">
        <v>2004</v>
      </c>
      <c r="AI9" s="1" t="s">
        <v>2004</v>
      </c>
      <c r="AJ9" s="1" t="s">
        <v>1763</v>
      </c>
      <c r="AK9" s="1" t="s">
        <v>1763</v>
      </c>
      <c r="AL9" s="1" t="s">
        <v>1763</v>
      </c>
      <c r="AM9" s="1" t="s">
        <v>1984</v>
      </c>
      <c r="AN9" s="1" t="s">
        <v>424</v>
      </c>
      <c r="AO9" s="1" t="s">
        <v>2005</v>
      </c>
      <c r="AP9" s="1" t="s">
        <v>1765</v>
      </c>
      <c r="AQ9" s="1" t="s">
        <v>1766</v>
      </c>
      <c r="AR9" s="1" t="s">
        <v>1767</v>
      </c>
      <c r="AS9" s="1" t="s">
        <v>1768</v>
      </c>
      <c r="AT9">
        <v>2010150922131390</v>
      </c>
      <c r="AU9" s="1" t="s">
        <v>1769</v>
      </c>
      <c r="AV9">
        <v>45308722580250</v>
      </c>
      <c r="AW9" s="1" t="s">
        <v>1770</v>
      </c>
      <c r="AX9" s="1" t="s">
        <v>1765</v>
      </c>
      <c r="AY9" s="1" t="s">
        <v>2006</v>
      </c>
      <c r="AZ9" s="1" t="s">
        <v>1897</v>
      </c>
      <c r="BA9" s="1" t="s">
        <v>2007</v>
      </c>
      <c r="BB9">
        <v>294</v>
      </c>
      <c r="BC9" s="1" t="s">
        <v>1774</v>
      </c>
      <c r="BD9" s="1" t="s">
        <v>1775</v>
      </c>
      <c r="BE9" s="1" t="s">
        <v>1776</v>
      </c>
      <c r="BF9" s="1" t="s">
        <v>1777</v>
      </c>
      <c r="BG9" s="1" t="s">
        <v>1778</v>
      </c>
      <c r="BH9" s="1" t="s">
        <v>1779</v>
      </c>
      <c r="BI9" s="1" t="s">
        <v>1779</v>
      </c>
      <c r="BJ9" s="1" t="s">
        <v>1780</v>
      </c>
      <c r="BK9" s="1" t="s">
        <v>1781</v>
      </c>
      <c r="BL9" s="1" t="s">
        <v>1754</v>
      </c>
      <c r="BM9" s="1" t="s">
        <v>1782</v>
      </c>
      <c r="BN9" s="1" t="s">
        <v>1783</v>
      </c>
      <c r="BO9" s="1" t="s">
        <v>1784</v>
      </c>
      <c r="BP9" s="1" t="s">
        <v>1785</v>
      </c>
      <c r="BQ9" s="1" t="s">
        <v>1786</v>
      </c>
      <c r="BR9" s="1" t="s">
        <v>2008</v>
      </c>
      <c r="BS9" s="1" t="s">
        <v>1788</v>
      </c>
      <c r="BT9" s="1" t="s">
        <v>2009</v>
      </c>
      <c r="BU9" s="1" t="s">
        <v>1790</v>
      </c>
      <c r="BV9" s="1" t="s">
        <v>2010</v>
      </c>
      <c r="BW9" s="1" t="s">
        <v>1790</v>
      </c>
      <c r="BX9" s="1" t="s">
        <v>2010</v>
      </c>
      <c r="BY9" s="1" t="s">
        <v>1792</v>
      </c>
      <c r="BZ9" s="1" t="s">
        <v>2011</v>
      </c>
      <c r="CA9" s="1" t="s">
        <v>1794</v>
      </c>
      <c r="CB9" s="1" t="s">
        <v>1795</v>
      </c>
      <c r="CC9" s="1" t="s">
        <v>1796</v>
      </c>
      <c r="CD9" s="1" t="s">
        <v>1797</v>
      </c>
      <c r="CE9" s="1" t="s">
        <v>1798</v>
      </c>
      <c r="CF9" s="1" t="s">
        <v>1799</v>
      </c>
      <c r="CG9" s="1" t="s">
        <v>1800</v>
      </c>
      <c r="CH9" s="1" t="s">
        <v>1794</v>
      </c>
      <c r="CI9" s="1" t="s">
        <v>1801</v>
      </c>
      <c r="CJ9" s="1" t="s">
        <v>1794</v>
      </c>
      <c r="CK9" s="1" t="s">
        <v>1802</v>
      </c>
      <c r="CL9" s="1" t="s">
        <v>1803</v>
      </c>
      <c r="CM9" s="1" t="s">
        <v>1804</v>
      </c>
      <c r="CN9" s="1" t="s">
        <v>1805</v>
      </c>
      <c r="CO9" s="1" t="s">
        <v>1794</v>
      </c>
      <c r="CP9" s="1" t="s">
        <v>1806</v>
      </c>
      <c r="CQ9" s="1" t="s">
        <v>1807</v>
      </c>
      <c r="CR9" s="1" t="s">
        <v>1808</v>
      </c>
      <c r="CS9" s="1" t="s">
        <v>1809</v>
      </c>
      <c r="CT9" s="1" t="s">
        <v>1810</v>
      </c>
      <c r="CU9" s="1" t="s">
        <v>1811</v>
      </c>
      <c r="CV9" s="1" t="s">
        <v>1812</v>
      </c>
      <c r="CW9" s="1" t="s">
        <v>1813</v>
      </c>
      <c r="CX9" s="1" t="s">
        <v>1814</v>
      </c>
      <c r="CY9" s="1" t="s">
        <v>1813</v>
      </c>
      <c r="CZ9" s="1" t="s">
        <v>1813</v>
      </c>
      <c r="DA9" s="1" t="s">
        <v>1775</v>
      </c>
      <c r="DB9" s="1" t="s">
        <v>1776</v>
      </c>
      <c r="DC9" s="1" t="s">
        <v>1752</v>
      </c>
      <c r="DD9" s="1" t="s">
        <v>1765</v>
      </c>
      <c r="DE9" s="1" t="s">
        <v>1815</v>
      </c>
      <c r="DF9" s="1" t="s">
        <v>1816</v>
      </c>
      <c r="DG9" s="1" t="s">
        <v>1817</v>
      </c>
      <c r="DH9" s="1" t="s">
        <v>1818</v>
      </c>
      <c r="DI9" s="1" t="s">
        <v>1819</v>
      </c>
      <c r="DJ9" s="1" t="s">
        <v>1820</v>
      </c>
      <c r="DK9" s="1" t="s">
        <v>1821</v>
      </c>
      <c r="DL9" s="1" t="s">
        <v>1822</v>
      </c>
      <c r="DM9" s="1" t="s">
        <v>1765</v>
      </c>
      <c r="DN9" s="1" t="s">
        <v>1765</v>
      </c>
      <c r="DO9" s="1" t="s">
        <v>1823</v>
      </c>
      <c r="DP9" s="1" t="s">
        <v>1824</v>
      </c>
      <c r="DQ9" s="1" t="s">
        <v>1824</v>
      </c>
      <c r="DR9" s="1" t="s">
        <v>1765</v>
      </c>
      <c r="DS9" s="1" t="s">
        <v>1825</v>
      </c>
      <c r="DT9" s="1" t="s">
        <v>1816</v>
      </c>
      <c r="DU9" s="1" t="s">
        <v>1826</v>
      </c>
      <c r="DV9" s="1" t="s">
        <v>2012</v>
      </c>
      <c r="DW9" s="1" t="s">
        <v>1828</v>
      </c>
      <c r="DX9" s="1" t="s">
        <v>2013</v>
      </c>
      <c r="DY9" s="1" t="s">
        <v>424</v>
      </c>
      <c r="DZ9" s="1" t="s">
        <v>1752</v>
      </c>
      <c r="EA9" s="1" t="s">
        <v>218</v>
      </c>
      <c r="EB9" s="1" t="s">
        <v>892</v>
      </c>
      <c r="EC9" s="1" t="s">
        <v>1984</v>
      </c>
      <c r="ED9" s="1" t="s">
        <v>2014</v>
      </c>
      <c r="EE9" s="1" t="s">
        <v>2014</v>
      </c>
      <c r="EF9" s="1" t="s">
        <v>2015</v>
      </c>
      <c r="EG9" s="1" t="s">
        <v>1973</v>
      </c>
      <c r="EH9" s="1" t="s">
        <v>2016</v>
      </c>
      <c r="EI9" s="1" t="s">
        <v>1975</v>
      </c>
      <c r="EJ9" s="1" t="s">
        <v>2017</v>
      </c>
      <c r="EK9" s="1" t="s">
        <v>1836</v>
      </c>
      <c r="EL9" s="1" t="s">
        <v>1837</v>
      </c>
      <c r="EM9" s="1" t="s">
        <v>1838</v>
      </c>
      <c r="EN9" s="1" t="s">
        <v>2018</v>
      </c>
      <c r="EO9" s="1" t="s">
        <v>1840</v>
      </c>
      <c r="EP9" s="1" t="s">
        <v>2000</v>
      </c>
      <c r="EQ9" s="1" t="s">
        <v>1782</v>
      </c>
      <c r="ER9" s="1" t="s">
        <v>1802</v>
      </c>
      <c r="ES9" s="1" t="s">
        <v>1802</v>
      </c>
      <c r="ET9" s="1" t="s">
        <v>1802</v>
      </c>
      <c r="EU9" s="1" t="s">
        <v>1802</v>
      </c>
      <c r="EV9" s="1" t="s">
        <v>1802</v>
      </c>
      <c r="EW9" s="1" t="s">
        <v>1802</v>
      </c>
      <c r="EX9" s="1" t="s">
        <v>1802</v>
      </c>
      <c r="EY9" s="1" t="s">
        <v>1802</v>
      </c>
      <c r="EZ9" s="1" t="s">
        <v>1802</v>
      </c>
      <c r="FA9" s="1" t="s">
        <v>1802</v>
      </c>
      <c r="FB9" s="1" t="s">
        <v>1802</v>
      </c>
      <c r="FC9" s="1" t="s">
        <v>1802</v>
      </c>
      <c r="FD9" s="1" t="s">
        <v>1802</v>
      </c>
      <c r="FE9" s="1" t="s">
        <v>1802</v>
      </c>
      <c r="FF9" s="1" t="s">
        <v>1802</v>
      </c>
      <c r="FG9" s="1" t="s">
        <v>1802</v>
      </c>
      <c r="FH9" s="1" t="s">
        <v>1802</v>
      </c>
      <c r="FI9" s="1" t="s">
        <v>1802</v>
      </c>
      <c r="FJ9" s="1" t="s">
        <v>1802</v>
      </c>
      <c r="FK9" s="1" t="s">
        <v>1802</v>
      </c>
      <c r="FL9" s="1" t="s">
        <v>1802</v>
      </c>
      <c r="FM9" s="1" t="s">
        <v>1802</v>
      </c>
      <c r="FN9" s="1" t="s">
        <v>1802</v>
      </c>
      <c r="FO9" s="1" t="s">
        <v>1802</v>
      </c>
      <c r="FP9" s="1" t="s">
        <v>1802</v>
      </c>
      <c r="FQ9" s="1" t="s">
        <v>1802</v>
      </c>
      <c r="FR9" s="2"/>
      <c r="FS9" s="1" t="s">
        <v>1802</v>
      </c>
    </row>
    <row r="10" spans="1:175" x14ac:dyDescent="0.3">
      <c r="A10" s="1" t="s">
        <v>2019</v>
      </c>
      <c r="B10" s="1" t="s">
        <v>1739</v>
      </c>
      <c r="C10" s="1" t="s">
        <v>200</v>
      </c>
      <c r="D10" s="1" t="s">
        <v>1740</v>
      </c>
      <c r="E10" s="1" t="s">
        <v>1935</v>
      </c>
      <c r="F10" s="1" t="s">
        <v>2020</v>
      </c>
      <c r="G10" s="1" t="s">
        <v>2020</v>
      </c>
      <c r="H10" s="1" t="s">
        <v>2021</v>
      </c>
      <c r="I10" s="1" t="s">
        <v>1744</v>
      </c>
      <c r="J10" s="1" t="s">
        <v>1745</v>
      </c>
      <c r="K10" s="1" t="s">
        <v>1746</v>
      </c>
      <c r="L10" s="1" t="s">
        <v>1747</v>
      </c>
      <c r="M10" s="1" t="s">
        <v>1748</v>
      </c>
      <c r="N10" s="1" t="s">
        <v>1749</v>
      </c>
      <c r="O10" s="1" t="s">
        <v>1750</v>
      </c>
      <c r="P10" s="1" t="s">
        <v>1751</v>
      </c>
      <c r="Q10">
        <v>49</v>
      </c>
      <c r="R10" s="1" t="s">
        <v>1752</v>
      </c>
      <c r="S10" s="1" t="s">
        <v>1753</v>
      </c>
      <c r="T10" s="1" t="s">
        <v>1754</v>
      </c>
      <c r="U10" s="1" t="s">
        <v>1755</v>
      </c>
      <c r="V10" s="1" t="s">
        <v>1756</v>
      </c>
      <c r="W10">
        <v>72</v>
      </c>
      <c r="X10">
        <v>72</v>
      </c>
      <c r="Y10" s="1" t="s">
        <v>1757</v>
      </c>
      <c r="Z10" s="2">
        <v>36999</v>
      </c>
      <c r="AA10" s="1" t="s">
        <v>2022</v>
      </c>
      <c r="AB10" s="1" t="s">
        <v>1755</v>
      </c>
      <c r="AC10" s="1" t="s">
        <v>1984</v>
      </c>
      <c r="AD10" s="1" t="s">
        <v>424</v>
      </c>
      <c r="AE10" s="1" t="s">
        <v>1760</v>
      </c>
      <c r="AF10" s="1" t="s">
        <v>1761</v>
      </c>
      <c r="AG10" s="1" t="s">
        <v>1762</v>
      </c>
      <c r="AH10" s="1" t="s">
        <v>2022</v>
      </c>
      <c r="AI10" s="1" t="s">
        <v>2022</v>
      </c>
      <c r="AJ10" s="1" t="s">
        <v>1763</v>
      </c>
      <c r="AK10" s="1" t="s">
        <v>1763</v>
      </c>
      <c r="AL10" s="1" t="s">
        <v>1763</v>
      </c>
      <c r="AM10" s="1" t="s">
        <v>1984</v>
      </c>
      <c r="AN10" s="1" t="s">
        <v>424</v>
      </c>
      <c r="AO10" s="1" t="s">
        <v>2023</v>
      </c>
      <c r="AP10" s="1" t="s">
        <v>1765</v>
      </c>
      <c r="AQ10" s="1" t="s">
        <v>1766</v>
      </c>
      <c r="AR10" s="1" t="s">
        <v>1767</v>
      </c>
      <c r="AS10" s="1" t="s">
        <v>1768</v>
      </c>
      <c r="AT10">
        <v>2010150922131390</v>
      </c>
      <c r="AU10" s="1" t="s">
        <v>1769</v>
      </c>
      <c r="AV10">
        <v>48616116658000</v>
      </c>
      <c r="AW10" s="1" t="s">
        <v>1770</v>
      </c>
      <c r="AX10" s="1" t="s">
        <v>1765</v>
      </c>
      <c r="AY10" s="1" t="s">
        <v>2024</v>
      </c>
      <c r="AZ10" s="1" t="s">
        <v>1897</v>
      </c>
      <c r="BA10" s="1" t="s">
        <v>2025</v>
      </c>
      <c r="BB10">
        <v>994</v>
      </c>
      <c r="BC10" s="1" t="s">
        <v>1774</v>
      </c>
      <c r="BD10" s="1" t="s">
        <v>1775</v>
      </c>
      <c r="BE10" s="1" t="s">
        <v>1776</v>
      </c>
      <c r="BF10" s="1" t="s">
        <v>1777</v>
      </c>
      <c r="BG10" s="1" t="s">
        <v>1778</v>
      </c>
      <c r="BH10" s="1" t="s">
        <v>1779</v>
      </c>
      <c r="BI10" s="1" t="s">
        <v>1779</v>
      </c>
      <c r="BJ10" s="1" t="s">
        <v>1780</v>
      </c>
      <c r="BK10" s="1" t="s">
        <v>1781</v>
      </c>
      <c r="BL10" s="1" t="s">
        <v>1754</v>
      </c>
      <c r="BM10" s="1" t="s">
        <v>1782</v>
      </c>
      <c r="BN10" s="1" t="s">
        <v>1783</v>
      </c>
      <c r="BO10" s="1" t="s">
        <v>1784</v>
      </c>
      <c r="BP10" s="1" t="s">
        <v>1785</v>
      </c>
      <c r="BQ10" s="1" t="s">
        <v>1786</v>
      </c>
      <c r="BR10" s="1" t="s">
        <v>2026</v>
      </c>
      <c r="BS10" s="1" t="s">
        <v>1788</v>
      </c>
      <c r="BT10" s="1" t="s">
        <v>2027</v>
      </c>
      <c r="BU10" s="1" t="s">
        <v>1790</v>
      </c>
      <c r="BV10" s="1" t="s">
        <v>2028</v>
      </c>
      <c r="BW10" s="1" t="s">
        <v>1790</v>
      </c>
      <c r="BX10" s="1" t="s">
        <v>2028</v>
      </c>
      <c r="BY10" s="1" t="s">
        <v>1792</v>
      </c>
      <c r="BZ10" s="1" t="s">
        <v>2029</v>
      </c>
      <c r="CA10" s="1" t="s">
        <v>1794</v>
      </c>
      <c r="CB10" s="1" t="s">
        <v>1795</v>
      </c>
      <c r="CC10" s="1" t="s">
        <v>1796</v>
      </c>
      <c r="CD10" s="1" t="s">
        <v>1797</v>
      </c>
      <c r="CE10" s="1" t="s">
        <v>1798</v>
      </c>
      <c r="CF10" s="1" t="s">
        <v>1799</v>
      </c>
      <c r="CG10" s="1" t="s">
        <v>1800</v>
      </c>
      <c r="CH10" s="1" t="s">
        <v>1794</v>
      </c>
      <c r="CI10" s="1" t="s">
        <v>1801</v>
      </c>
      <c r="CJ10" s="1" t="s">
        <v>1794</v>
      </c>
      <c r="CK10" s="1" t="s">
        <v>1802</v>
      </c>
      <c r="CL10" s="1" t="s">
        <v>1803</v>
      </c>
      <c r="CM10" s="1" t="s">
        <v>1804</v>
      </c>
      <c r="CN10" s="1" t="s">
        <v>1805</v>
      </c>
      <c r="CO10" s="1" t="s">
        <v>1794</v>
      </c>
      <c r="CP10" s="1" t="s">
        <v>1806</v>
      </c>
      <c r="CQ10" s="1" t="s">
        <v>1807</v>
      </c>
      <c r="CR10" s="1" t="s">
        <v>1808</v>
      </c>
      <c r="CS10" s="1" t="s">
        <v>1809</v>
      </c>
      <c r="CT10" s="1" t="s">
        <v>1810</v>
      </c>
      <c r="CU10" s="1" t="s">
        <v>1811</v>
      </c>
      <c r="CV10" s="1" t="s">
        <v>1812</v>
      </c>
      <c r="CW10" s="1" t="s">
        <v>1813</v>
      </c>
      <c r="CX10" s="1" t="s">
        <v>1814</v>
      </c>
      <c r="CY10" s="1" t="s">
        <v>1813</v>
      </c>
      <c r="CZ10" s="1" t="s">
        <v>1813</v>
      </c>
      <c r="DA10" s="1" t="s">
        <v>1775</v>
      </c>
      <c r="DB10" s="1" t="s">
        <v>1776</v>
      </c>
      <c r="DC10" s="1" t="s">
        <v>1752</v>
      </c>
      <c r="DD10" s="1" t="s">
        <v>1765</v>
      </c>
      <c r="DE10" s="1" t="s">
        <v>1815</v>
      </c>
      <c r="DF10" s="1" t="s">
        <v>1816</v>
      </c>
      <c r="DG10" s="1" t="s">
        <v>1817</v>
      </c>
      <c r="DH10" s="1" t="s">
        <v>1818</v>
      </c>
      <c r="DI10" s="1" t="s">
        <v>1819</v>
      </c>
      <c r="DJ10" s="1" t="s">
        <v>1820</v>
      </c>
      <c r="DK10" s="1" t="s">
        <v>1821</v>
      </c>
      <c r="DL10" s="1" t="s">
        <v>1822</v>
      </c>
      <c r="DM10" s="1" t="s">
        <v>1765</v>
      </c>
      <c r="DN10" s="1" t="s">
        <v>1765</v>
      </c>
      <c r="DO10" s="1" t="s">
        <v>1823</v>
      </c>
      <c r="DP10" s="1" t="s">
        <v>1824</v>
      </c>
      <c r="DQ10" s="1" t="s">
        <v>1824</v>
      </c>
      <c r="DR10" s="1" t="s">
        <v>1765</v>
      </c>
      <c r="DS10" s="1" t="s">
        <v>1825</v>
      </c>
      <c r="DT10" s="1" t="s">
        <v>1816</v>
      </c>
      <c r="DU10" s="1" t="s">
        <v>1826</v>
      </c>
      <c r="DV10" s="1" t="s">
        <v>2030</v>
      </c>
      <c r="DW10" s="1" t="s">
        <v>1828</v>
      </c>
      <c r="DX10" s="1" t="s">
        <v>2031</v>
      </c>
      <c r="DY10" s="1" t="s">
        <v>424</v>
      </c>
      <c r="DZ10" s="1" t="s">
        <v>1752</v>
      </c>
      <c r="EA10" s="1" t="s">
        <v>218</v>
      </c>
      <c r="EB10" s="1" t="s">
        <v>892</v>
      </c>
      <c r="EC10" s="1" t="s">
        <v>1984</v>
      </c>
      <c r="ED10" s="1" t="s">
        <v>2032</v>
      </c>
      <c r="EE10" s="1" t="s">
        <v>2032</v>
      </c>
      <c r="EF10" s="1" t="s">
        <v>2033</v>
      </c>
      <c r="EG10" s="1" t="s">
        <v>2034</v>
      </c>
      <c r="EH10" s="1" t="s">
        <v>2035</v>
      </c>
      <c r="EI10" s="1" t="s">
        <v>2036</v>
      </c>
      <c r="EJ10" s="1" t="s">
        <v>1887</v>
      </c>
      <c r="EK10" s="1" t="s">
        <v>1836</v>
      </c>
      <c r="EL10" s="1" t="s">
        <v>1837</v>
      </c>
      <c r="EM10" s="1" t="s">
        <v>1838</v>
      </c>
      <c r="EN10" s="1" t="s">
        <v>2037</v>
      </c>
      <c r="EO10" s="1" t="s">
        <v>1840</v>
      </c>
      <c r="EP10" s="1" t="s">
        <v>2000</v>
      </c>
      <c r="EQ10" s="1" t="s">
        <v>1782</v>
      </c>
      <c r="ER10" s="1" t="s">
        <v>1802</v>
      </c>
      <c r="ES10" s="1" t="s">
        <v>1802</v>
      </c>
      <c r="ET10" s="1" t="s">
        <v>1802</v>
      </c>
      <c r="EU10" s="1" t="s">
        <v>1802</v>
      </c>
      <c r="EV10" s="1" t="s">
        <v>1802</v>
      </c>
      <c r="EW10" s="1" t="s">
        <v>1802</v>
      </c>
      <c r="EX10" s="1" t="s">
        <v>1802</v>
      </c>
      <c r="EY10" s="1" t="s">
        <v>1802</v>
      </c>
      <c r="EZ10" s="1" t="s">
        <v>1802</v>
      </c>
      <c r="FA10" s="1" t="s">
        <v>1802</v>
      </c>
      <c r="FB10" s="1" t="s">
        <v>1802</v>
      </c>
      <c r="FC10" s="1" t="s">
        <v>1802</v>
      </c>
      <c r="FD10" s="1" t="s">
        <v>1802</v>
      </c>
      <c r="FE10" s="1" t="s">
        <v>1802</v>
      </c>
      <c r="FF10" s="1" t="s">
        <v>1802</v>
      </c>
      <c r="FG10" s="1" t="s">
        <v>1802</v>
      </c>
      <c r="FH10" s="1" t="s">
        <v>1802</v>
      </c>
      <c r="FI10" s="1" t="s">
        <v>1802</v>
      </c>
      <c r="FJ10" s="1" t="s">
        <v>1802</v>
      </c>
      <c r="FK10" s="1" t="s">
        <v>1802</v>
      </c>
      <c r="FL10" s="1" t="s">
        <v>1802</v>
      </c>
      <c r="FM10" s="1" t="s">
        <v>1802</v>
      </c>
      <c r="FN10" s="1" t="s">
        <v>1802</v>
      </c>
      <c r="FO10" s="1" t="s">
        <v>1802</v>
      </c>
      <c r="FP10" s="1" t="s">
        <v>1802</v>
      </c>
      <c r="FQ10" s="1" t="s">
        <v>1802</v>
      </c>
      <c r="FR10" s="2"/>
      <c r="FS10" s="1" t="s">
        <v>1802</v>
      </c>
    </row>
    <row r="11" spans="1:175" x14ac:dyDescent="0.3">
      <c r="A11" s="1" t="s">
        <v>2038</v>
      </c>
      <c r="B11" s="1" t="s">
        <v>1739</v>
      </c>
      <c r="C11" s="1" t="s">
        <v>216</v>
      </c>
      <c r="D11" s="1" t="s">
        <v>1740</v>
      </c>
      <c r="E11" s="1" t="s">
        <v>1980</v>
      </c>
      <c r="F11" s="1" t="s">
        <v>2039</v>
      </c>
      <c r="G11" s="1" t="s">
        <v>2039</v>
      </c>
      <c r="H11" s="1" t="s">
        <v>1915</v>
      </c>
      <c r="I11" s="1" t="s">
        <v>1744</v>
      </c>
      <c r="J11" s="1" t="s">
        <v>1745</v>
      </c>
      <c r="K11" s="1" t="s">
        <v>1746</v>
      </c>
      <c r="L11" s="1" t="s">
        <v>1747</v>
      </c>
      <c r="M11" s="1" t="s">
        <v>1748</v>
      </c>
      <c r="N11" s="1" t="s">
        <v>1749</v>
      </c>
      <c r="O11" s="1" t="s">
        <v>1750</v>
      </c>
      <c r="P11" s="1" t="s">
        <v>1751</v>
      </c>
      <c r="Q11">
        <v>49</v>
      </c>
      <c r="R11" s="1" t="s">
        <v>1752</v>
      </c>
      <c r="S11" s="1" t="s">
        <v>1753</v>
      </c>
      <c r="T11" s="1" t="s">
        <v>1754</v>
      </c>
      <c r="U11" s="1" t="s">
        <v>1755</v>
      </c>
      <c r="V11" s="1" t="s">
        <v>1756</v>
      </c>
      <c r="W11">
        <v>72</v>
      </c>
      <c r="X11">
        <v>72</v>
      </c>
      <c r="Y11" s="1" t="s">
        <v>1757</v>
      </c>
      <c r="Z11" s="2">
        <v>36999</v>
      </c>
      <c r="AA11" s="1" t="s">
        <v>2040</v>
      </c>
      <c r="AB11" s="1" t="s">
        <v>1755</v>
      </c>
      <c r="AC11" s="1" t="s">
        <v>1984</v>
      </c>
      <c r="AD11" s="1" t="s">
        <v>424</v>
      </c>
      <c r="AE11" s="1" t="s">
        <v>1760</v>
      </c>
      <c r="AF11" s="1" t="s">
        <v>1761</v>
      </c>
      <c r="AG11" s="1" t="s">
        <v>1762</v>
      </c>
      <c r="AH11" s="1" t="s">
        <v>2040</v>
      </c>
      <c r="AI11" s="1" t="s">
        <v>2040</v>
      </c>
      <c r="AJ11" s="1" t="s">
        <v>1763</v>
      </c>
      <c r="AK11" s="1" t="s">
        <v>1763</v>
      </c>
      <c r="AL11" s="1" t="s">
        <v>1763</v>
      </c>
      <c r="AM11" s="1" t="s">
        <v>1984</v>
      </c>
      <c r="AN11" s="1" t="s">
        <v>424</v>
      </c>
      <c r="AO11" s="1" t="s">
        <v>2041</v>
      </c>
      <c r="AP11" s="1" t="s">
        <v>1765</v>
      </c>
      <c r="AQ11" s="1" t="s">
        <v>1766</v>
      </c>
      <c r="AR11" s="1" t="s">
        <v>1767</v>
      </c>
      <c r="AS11" s="1" t="s">
        <v>1768</v>
      </c>
      <c r="AT11">
        <v>2010150922131390</v>
      </c>
      <c r="AU11" s="1" t="s">
        <v>1769</v>
      </c>
      <c r="AV11">
        <v>48863046950166</v>
      </c>
      <c r="AW11" s="1" t="s">
        <v>1770</v>
      </c>
      <c r="AX11" s="1" t="s">
        <v>1765</v>
      </c>
      <c r="AY11" s="1" t="s">
        <v>2042</v>
      </c>
      <c r="AZ11" s="1" t="s">
        <v>1897</v>
      </c>
      <c r="BA11" s="1" t="s">
        <v>2043</v>
      </c>
      <c r="BB11">
        <v>967</v>
      </c>
      <c r="BC11" s="1" t="s">
        <v>1774</v>
      </c>
      <c r="BD11" s="1" t="s">
        <v>1775</v>
      </c>
      <c r="BE11" s="1" t="s">
        <v>1776</v>
      </c>
      <c r="BF11" s="1" t="s">
        <v>1777</v>
      </c>
      <c r="BG11" s="1" t="s">
        <v>1778</v>
      </c>
      <c r="BH11" s="1" t="s">
        <v>1779</v>
      </c>
      <c r="BI11" s="1" t="s">
        <v>1779</v>
      </c>
      <c r="BJ11" s="1" t="s">
        <v>1780</v>
      </c>
      <c r="BK11" s="1" t="s">
        <v>1781</v>
      </c>
      <c r="BL11" s="1" t="s">
        <v>1754</v>
      </c>
      <c r="BM11" s="1" t="s">
        <v>1782</v>
      </c>
      <c r="BN11" s="1" t="s">
        <v>1783</v>
      </c>
      <c r="BO11" s="1" t="s">
        <v>1784</v>
      </c>
      <c r="BP11" s="1" t="s">
        <v>1785</v>
      </c>
      <c r="BQ11" s="1" t="s">
        <v>1786</v>
      </c>
      <c r="BR11" s="1" t="s">
        <v>2044</v>
      </c>
      <c r="BS11" s="1" t="s">
        <v>1788</v>
      </c>
      <c r="BT11" s="1" t="s">
        <v>2045</v>
      </c>
      <c r="BU11" s="1" t="s">
        <v>1790</v>
      </c>
      <c r="BV11" s="1" t="s">
        <v>2046</v>
      </c>
      <c r="BW11" s="1" t="s">
        <v>1790</v>
      </c>
      <c r="BX11" s="1" t="s">
        <v>2046</v>
      </c>
      <c r="BY11" s="1" t="s">
        <v>1792</v>
      </c>
      <c r="BZ11" s="1" t="s">
        <v>2047</v>
      </c>
      <c r="CA11" s="1" t="s">
        <v>1794</v>
      </c>
      <c r="CB11" s="1" t="s">
        <v>1795</v>
      </c>
      <c r="CC11" s="1" t="s">
        <v>1796</v>
      </c>
      <c r="CD11" s="1" t="s">
        <v>1797</v>
      </c>
      <c r="CE11" s="1" t="s">
        <v>1798</v>
      </c>
      <c r="CF11" s="1" t="s">
        <v>1799</v>
      </c>
      <c r="CG11" s="1" t="s">
        <v>1800</v>
      </c>
      <c r="CH11" s="1" t="s">
        <v>1794</v>
      </c>
      <c r="CI11" s="1" t="s">
        <v>1801</v>
      </c>
      <c r="CJ11" s="1" t="s">
        <v>1794</v>
      </c>
      <c r="CK11" s="1" t="s">
        <v>1802</v>
      </c>
      <c r="CL11" s="1" t="s">
        <v>1803</v>
      </c>
      <c r="CM11" s="1" t="s">
        <v>1804</v>
      </c>
      <c r="CN11" s="1" t="s">
        <v>1805</v>
      </c>
      <c r="CO11" s="1" t="s">
        <v>1794</v>
      </c>
      <c r="CP11" s="1" t="s">
        <v>1806</v>
      </c>
      <c r="CQ11" s="1" t="s">
        <v>1807</v>
      </c>
      <c r="CR11" s="1" t="s">
        <v>1808</v>
      </c>
      <c r="CS11" s="1" t="s">
        <v>1809</v>
      </c>
      <c r="CT11" s="1" t="s">
        <v>1810</v>
      </c>
      <c r="CU11" s="1" t="s">
        <v>1811</v>
      </c>
      <c r="CV11" s="1" t="s">
        <v>1812</v>
      </c>
      <c r="CW11" s="1" t="s">
        <v>1813</v>
      </c>
      <c r="CX11" s="1" t="s">
        <v>1814</v>
      </c>
      <c r="CY11" s="1" t="s">
        <v>1813</v>
      </c>
      <c r="CZ11" s="1" t="s">
        <v>1813</v>
      </c>
      <c r="DA11" s="1" t="s">
        <v>1775</v>
      </c>
      <c r="DB11" s="1" t="s">
        <v>1776</v>
      </c>
      <c r="DC11" s="1" t="s">
        <v>1752</v>
      </c>
      <c r="DD11" s="1" t="s">
        <v>1765</v>
      </c>
      <c r="DE11" s="1" t="s">
        <v>1815</v>
      </c>
      <c r="DF11" s="1" t="s">
        <v>1816</v>
      </c>
      <c r="DG11" s="1" t="s">
        <v>1817</v>
      </c>
      <c r="DH11" s="1" t="s">
        <v>1818</v>
      </c>
      <c r="DI11" s="1" t="s">
        <v>1819</v>
      </c>
      <c r="DJ11" s="1" t="s">
        <v>1820</v>
      </c>
      <c r="DK11" s="1" t="s">
        <v>1821</v>
      </c>
      <c r="DL11" s="1" t="s">
        <v>1822</v>
      </c>
      <c r="DM11" s="1" t="s">
        <v>1765</v>
      </c>
      <c r="DN11" s="1" t="s">
        <v>1765</v>
      </c>
      <c r="DO11" s="1" t="s">
        <v>1823</v>
      </c>
      <c r="DP11" s="1" t="s">
        <v>1824</v>
      </c>
      <c r="DQ11" s="1" t="s">
        <v>1824</v>
      </c>
      <c r="DR11" s="1" t="s">
        <v>1765</v>
      </c>
      <c r="DS11" s="1" t="s">
        <v>1825</v>
      </c>
      <c r="DT11" s="1" t="s">
        <v>1816</v>
      </c>
      <c r="DU11" s="1" t="s">
        <v>1826</v>
      </c>
      <c r="DV11" s="1" t="s">
        <v>2048</v>
      </c>
      <c r="DW11" s="1" t="s">
        <v>1828</v>
      </c>
      <c r="DX11" s="1" t="s">
        <v>2049</v>
      </c>
      <c r="DY11" s="1" t="s">
        <v>424</v>
      </c>
      <c r="DZ11" s="1" t="s">
        <v>1752</v>
      </c>
      <c r="EA11" s="1" t="s">
        <v>218</v>
      </c>
      <c r="EB11" s="1" t="s">
        <v>892</v>
      </c>
      <c r="EC11" s="1" t="s">
        <v>1984</v>
      </c>
      <c r="ED11" s="1" t="s">
        <v>2050</v>
      </c>
      <c r="EE11" s="1" t="s">
        <v>2050</v>
      </c>
      <c r="EF11" s="1" t="s">
        <v>2051</v>
      </c>
      <c r="EG11" s="1" t="s">
        <v>1884</v>
      </c>
      <c r="EH11" s="1" t="s">
        <v>2052</v>
      </c>
      <c r="EI11" s="1" t="s">
        <v>2053</v>
      </c>
      <c r="EJ11" s="1" t="s">
        <v>2054</v>
      </c>
      <c r="EK11" s="1" t="s">
        <v>1836</v>
      </c>
      <c r="EL11" s="1" t="s">
        <v>1837</v>
      </c>
      <c r="EM11" s="1" t="s">
        <v>1838</v>
      </c>
      <c r="EN11" s="1" t="s">
        <v>2055</v>
      </c>
      <c r="EO11" s="1" t="s">
        <v>1840</v>
      </c>
      <c r="EP11" s="1" t="s">
        <v>2000</v>
      </c>
      <c r="EQ11" s="1" t="s">
        <v>1782</v>
      </c>
      <c r="ER11" s="1" t="s">
        <v>1802</v>
      </c>
      <c r="ES11" s="1" t="s">
        <v>1802</v>
      </c>
      <c r="ET11" s="1" t="s">
        <v>1802</v>
      </c>
      <c r="EU11" s="1" t="s">
        <v>1802</v>
      </c>
      <c r="EV11" s="1" t="s">
        <v>1802</v>
      </c>
      <c r="EW11" s="1" t="s">
        <v>1802</v>
      </c>
      <c r="EX11" s="1" t="s">
        <v>1802</v>
      </c>
      <c r="EY11" s="1" t="s">
        <v>1802</v>
      </c>
      <c r="EZ11" s="1" t="s">
        <v>1802</v>
      </c>
      <c r="FA11" s="1" t="s">
        <v>1802</v>
      </c>
      <c r="FB11" s="1" t="s">
        <v>1802</v>
      </c>
      <c r="FC11" s="1" t="s">
        <v>1802</v>
      </c>
      <c r="FD11" s="1" t="s">
        <v>1802</v>
      </c>
      <c r="FE11" s="1" t="s">
        <v>1802</v>
      </c>
      <c r="FF11" s="1" t="s">
        <v>1802</v>
      </c>
      <c r="FG11" s="1" t="s">
        <v>1802</v>
      </c>
      <c r="FH11" s="1" t="s">
        <v>1802</v>
      </c>
      <c r="FI11" s="1" t="s">
        <v>1802</v>
      </c>
      <c r="FJ11" s="1" t="s">
        <v>1802</v>
      </c>
      <c r="FK11" s="1" t="s">
        <v>1802</v>
      </c>
      <c r="FL11" s="1" t="s">
        <v>1802</v>
      </c>
      <c r="FM11" s="1" t="s">
        <v>1802</v>
      </c>
      <c r="FN11" s="1" t="s">
        <v>1802</v>
      </c>
      <c r="FO11" s="1" t="s">
        <v>1802</v>
      </c>
      <c r="FP11" s="1" t="s">
        <v>1802</v>
      </c>
      <c r="FQ11" s="1" t="s">
        <v>1802</v>
      </c>
      <c r="FR11" s="2"/>
      <c r="FS11" s="1" t="s">
        <v>1802</v>
      </c>
    </row>
    <row r="12" spans="1:175" x14ac:dyDescent="0.3">
      <c r="A12" s="1" t="s">
        <v>2056</v>
      </c>
      <c r="B12" s="1" t="s">
        <v>1739</v>
      </c>
      <c r="C12" s="1" t="s">
        <v>228</v>
      </c>
      <c r="D12" s="1" t="s">
        <v>1740</v>
      </c>
      <c r="E12" s="1" t="s">
        <v>2057</v>
      </c>
      <c r="F12" s="1" t="s">
        <v>2058</v>
      </c>
      <c r="G12" s="1" t="s">
        <v>2058</v>
      </c>
      <c r="H12" s="1" t="s">
        <v>2059</v>
      </c>
      <c r="I12" s="1" t="s">
        <v>1744</v>
      </c>
      <c r="J12" s="1" t="s">
        <v>1745</v>
      </c>
      <c r="K12" s="1" t="s">
        <v>1746</v>
      </c>
      <c r="L12" s="1" t="s">
        <v>1747</v>
      </c>
      <c r="M12" s="1" t="s">
        <v>1748</v>
      </c>
      <c r="N12" s="1" t="s">
        <v>1749</v>
      </c>
      <c r="O12" s="1" t="s">
        <v>1750</v>
      </c>
      <c r="P12" s="1" t="s">
        <v>1751</v>
      </c>
      <c r="Q12">
        <v>49</v>
      </c>
      <c r="R12" s="1" t="s">
        <v>1752</v>
      </c>
      <c r="S12" s="1" t="s">
        <v>1753</v>
      </c>
      <c r="T12" s="1" t="s">
        <v>1754</v>
      </c>
      <c r="U12" s="1" t="s">
        <v>1755</v>
      </c>
      <c r="V12" s="1" t="s">
        <v>1756</v>
      </c>
      <c r="W12">
        <v>72</v>
      </c>
      <c r="X12">
        <v>72</v>
      </c>
      <c r="Y12" s="1" t="s">
        <v>1757</v>
      </c>
      <c r="Z12" s="2">
        <v>36999</v>
      </c>
      <c r="AA12" s="1" t="s">
        <v>2060</v>
      </c>
      <c r="AB12" s="1" t="s">
        <v>1755</v>
      </c>
      <c r="AC12" s="1" t="s">
        <v>2061</v>
      </c>
      <c r="AD12" s="1" t="s">
        <v>424</v>
      </c>
      <c r="AE12" s="1" t="s">
        <v>1760</v>
      </c>
      <c r="AF12" s="1" t="s">
        <v>1761</v>
      </c>
      <c r="AG12" s="1" t="s">
        <v>1762</v>
      </c>
      <c r="AH12" s="1" t="s">
        <v>2060</v>
      </c>
      <c r="AI12" s="1" t="s">
        <v>2060</v>
      </c>
      <c r="AJ12" s="1" t="s">
        <v>1763</v>
      </c>
      <c r="AK12" s="1" t="s">
        <v>1763</v>
      </c>
      <c r="AL12" s="1" t="s">
        <v>1763</v>
      </c>
      <c r="AM12" s="1" t="s">
        <v>2061</v>
      </c>
      <c r="AN12" s="1" t="s">
        <v>424</v>
      </c>
      <c r="AO12" s="1" t="s">
        <v>2062</v>
      </c>
      <c r="AP12" s="1" t="s">
        <v>1765</v>
      </c>
      <c r="AQ12" s="1" t="s">
        <v>1766</v>
      </c>
      <c r="AR12" s="1" t="s">
        <v>1767</v>
      </c>
      <c r="AS12" s="1" t="s">
        <v>1768</v>
      </c>
      <c r="AT12">
        <v>2010150922131390</v>
      </c>
      <c r="AU12" s="1" t="s">
        <v>1769</v>
      </c>
      <c r="AV12">
        <v>272100846291</v>
      </c>
      <c r="AW12" s="1" t="s">
        <v>1770</v>
      </c>
      <c r="AX12" s="1" t="s">
        <v>1765</v>
      </c>
      <c r="AY12" s="1" t="s">
        <v>2063</v>
      </c>
      <c r="AZ12" s="1" t="s">
        <v>1897</v>
      </c>
      <c r="BA12" s="1" t="s">
        <v>2064</v>
      </c>
      <c r="BB12">
        <v>97</v>
      </c>
      <c r="BC12" s="1" t="s">
        <v>1774</v>
      </c>
      <c r="BD12" s="1" t="s">
        <v>1775</v>
      </c>
      <c r="BE12" s="1" t="s">
        <v>1776</v>
      </c>
      <c r="BF12" s="1" t="s">
        <v>1777</v>
      </c>
      <c r="BG12" s="1" t="s">
        <v>1778</v>
      </c>
      <c r="BH12" s="1" t="s">
        <v>1779</v>
      </c>
      <c r="BI12" s="1" t="s">
        <v>1779</v>
      </c>
      <c r="BJ12" s="1" t="s">
        <v>1780</v>
      </c>
      <c r="BK12" s="1" t="s">
        <v>1781</v>
      </c>
      <c r="BL12" s="1" t="s">
        <v>1754</v>
      </c>
      <c r="BM12" s="1" t="s">
        <v>1782</v>
      </c>
      <c r="BN12" s="1" t="s">
        <v>1783</v>
      </c>
      <c r="BO12" s="1" t="s">
        <v>1794</v>
      </c>
      <c r="BP12" s="1" t="s">
        <v>1795</v>
      </c>
      <c r="BQ12" s="1" t="s">
        <v>1796</v>
      </c>
      <c r="BR12" s="1" t="s">
        <v>1797</v>
      </c>
      <c r="BS12" s="1" t="s">
        <v>1798</v>
      </c>
      <c r="BT12" s="1" t="s">
        <v>1799</v>
      </c>
      <c r="BU12" s="1" t="s">
        <v>1800</v>
      </c>
      <c r="BV12" s="1" t="s">
        <v>1794</v>
      </c>
      <c r="BW12" s="1" t="s">
        <v>1801</v>
      </c>
      <c r="BX12" s="1" t="s">
        <v>1794</v>
      </c>
      <c r="BY12" s="1" t="s">
        <v>1802</v>
      </c>
      <c r="BZ12" s="1" t="s">
        <v>1803</v>
      </c>
      <c r="CA12" s="1" t="s">
        <v>1804</v>
      </c>
      <c r="CB12" s="1" t="s">
        <v>1805</v>
      </c>
      <c r="CC12" s="1" t="s">
        <v>1794</v>
      </c>
      <c r="CD12" s="1" t="s">
        <v>1806</v>
      </c>
      <c r="CE12" s="1" t="s">
        <v>1807</v>
      </c>
      <c r="CF12" s="1" t="s">
        <v>1808</v>
      </c>
      <c r="CG12" s="1" t="s">
        <v>1809</v>
      </c>
      <c r="CH12" s="1" t="s">
        <v>1810</v>
      </c>
      <c r="CI12" s="1" t="s">
        <v>1811</v>
      </c>
      <c r="CJ12" s="1" t="s">
        <v>1812</v>
      </c>
      <c r="CK12" s="1" t="s">
        <v>1813</v>
      </c>
      <c r="CL12" s="1" t="s">
        <v>1814</v>
      </c>
      <c r="CM12" s="1" t="s">
        <v>1813</v>
      </c>
      <c r="CN12" s="1" t="s">
        <v>1813</v>
      </c>
      <c r="CO12" s="1" t="s">
        <v>1775</v>
      </c>
      <c r="CP12" s="1" t="s">
        <v>1776</v>
      </c>
      <c r="CQ12" s="1" t="s">
        <v>1752</v>
      </c>
      <c r="CR12" s="1" t="s">
        <v>1765</v>
      </c>
      <c r="CS12" s="1" t="s">
        <v>1815</v>
      </c>
      <c r="CT12" s="1" t="s">
        <v>1816</v>
      </c>
      <c r="CU12" s="1" t="s">
        <v>1817</v>
      </c>
      <c r="CV12" s="1" t="s">
        <v>1818</v>
      </c>
      <c r="CW12" s="1" t="s">
        <v>1819</v>
      </c>
      <c r="CX12" s="1" t="s">
        <v>1820</v>
      </c>
      <c r="CY12" s="1" t="s">
        <v>1821</v>
      </c>
      <c r="CZ12" s="1" t="s">
        <v>1822</v>
      </c>
      <c r="DA12" s="1" t="s">
        <v>1765</v>
      </c>
      <c r="DB12" s="1" t="s">
        <v>1765</v>
      </c>
      <c r="DC12" s="1" t="s">
        <v>1823</v>
      </c>
      <c r="DD12" s="1" t="s">
        <v>1824</v>
      </c>
      <c r="DE12" s="1" t="s">
        <v>1824</v>
      </c>
      <c r="DF12" s="1" t="s">
        <v>1765</v>
      </c>
      <c r="DG12" s="1" t="s">
        <v>1825</v>
      </c>
      <c r="DH12" s="1" t="s">
        <v>1816</v>
      </c>
      <c r="DI12" s="1" t="s">
        <v>1826</v>
      </c>
      <c r="DJ12" s="1" t="s">
        <v>2065</v>
      </c>
      <c r="DK12" s="1" t="s">
        <v>1828</v>
      </c>
      <c r="DL12" s="1" t="s">
        <v>2066</v>
      </c>
      <c r="DM12" s="1" t="s">
        <v>424</v>
      </c>
      <c r="DN12" s="1" t="s">
        <v>1752</v>
      </c>
      <c r="DO12" s="1" t="s">
        <v>218</v>
      </c>
      <c r="DP12" s="1" t="s">
        <v>892</v>
      </c>
      <c r="DQ12" s="1" t="s">
        <v>2061</v>
      </c>
      <c r="DR12" s="1" t="s">
        <v>2067</v>
      </c>
      <c r="DS12" s="1" t="s">
        <v>2067</v>
      </c>
      <c r="DT12" s="1" t="s">
        <v>2068</v>
      </c>
      <c r="DU12" s="1" t="s">
        <v>1836</v>
      </c>
      <c r="DV12" s="1" t="s">
        <v>1837</v>
      </c>
      <c r="DW12" s="1" t="s">
        <v>1838</v>
      </c>
      <c r="DX12" s="1" t="s">
        <v>1840</v>
      </c>
      <c r="DY12" s="1" t="s">
        <v>2069</v>
      </c>
      <c r="DZ12" s="1" t="s">
        <v>1782</v>
      </c>
      <c r="EA12" s="1" t="s">
        <v>1802</v>
      </c>
      <c r="EB12" s="1" t="s">
        <v>1802</v>
      </c>
      <c r="EC12" s="1" t="s">
        <v>1802</v>
      </c>
      <c r="ED12" s="1" t="s">
        <v>1802</v>
      </c>
      <c r="EE12" s="1" t="s">
        <v>1802</v>
      </c>
      <c r="EF12" s="1" t="s">
        <v>1802</v>
      </c>
      <c r="EG12" s="1" t="s">
        <v>1802</v>
      </c>
      <c r="EH12" s="1" t="s">
        <v>1802</v>
      </c>
      <c r="EI12" s="1" t="s">
        <v>1802</v>
      </c>
      <c r="EJ12" s="1" t="s">
        <v>1802</v>
      </c>
      <c r="EK12" s="1" t="s">
        <v>1802</v>
      </c>
      <c r="EL12" s="1" t="s">
        <v>1802</v>
      </c>
      <c r="EM12" s="1" t="s">
        <v>1802</v>
      </c>
      <c r="EN12" s="1" t="s">
        <v>1802</v>
      </c>
      <c r="EO12" s="1" t="s">
        <v>1802</v>
      </c>
      <c r="EP12" s="1" t="s">
        <v>1802</v>
      </c>
      <c r="EQ12" s="1" t="s">
        <v>1802</v>
      </c>
      <c r="ER12" s="1" t="s">
        <v>1802</v>
      </c>
      <c r="ES12" s="1" t="s">
        <v>1802</v>
      </c>
      <c r="ET12" s="1" t="s">
        <v>1802</v>
      </c>
      <c r="EU12" s="1" t="s">
        <v>1802</v>
      </c>
      <c r="EV12" s="1" t="s">
        <v>1802</v>
      </c>
      <c r="EW12" s="1" t="s">
        <v>1802</v>
      </c>
      <c r="EX12" s="1" t="s">
        <v>1802</v>
      </c>
      <c r="EY12" s="1" t="s">
        <v>1802</v>
      </c>
      <c r="EZ12" s="1" t="s">
        <v>1802</v>
      </c>
      <c r="FA12" s="1" t="s">
        <v>1802</v>
      </c>
      <c r="FB12" s="1" t="s">
        <v>1802</v>
      </c>
      <c r="FC12" s="1" t="s">
        <v>1802</v>
      </c>
      <c r="FD12" s="1" t="s">
        <v>1802</v>
      </c>
      <c r="FE12" s="1" t="s">
        <v>1802</v>
      </c>
      <c r="FF12" s="1" t="s">
        <v>1802</v>
      </c>
      <c r="FG12" s="1" t="s">
        <v>1802</v>
      </c>
      <c r="FH12" s="1" t="s">
        <v>1802</v>
      </c>
      <c r="FI12" s="1" t="s">
        <v>1802</v>
      </c>
      <c r="FJ12" s="1" t="s">
        <v>1802</v>
      </c>
      <c r="FK12" s="1" t="s">
        <v>1802</v>
      </c>
      <c r="FL12" s="1" t="s">
        <v>1802</v>
      </c>
      <c r="FM12" s="1" t="s">
        <v>1802</v>
      </c>
      <c r="FN12" s="1" t="s">
        <v>1802</v>
      </c>
      <c r="FO12" s="1" t="s">
        <v>1802</v>
      </c>
      <c r="FP12" s="1" t="s">
        <v>1802</v>
      </c>
      <c r="FQ12" s="1" t="s">
        <v>1802</v>
      </c>
      <c r="FR12" s="2"/>
      <c r="FS12" s="1" t="s">
        <v>1802</v>
      </c>
    </row>
    <row r="13" spans="1:175" x14ac:dyDescent="0.3">
      <c r="A13" s="1" t="s">
        <v>2070</v>
      </c>
      <c r="B13" s="1" t="s">
        <v>1739</v>
      </c>
      <c r="C13" s="1" t="s">
        <v>241</v>
      </c>
      <c r="D13" s="1" t="s">
        <v>1740</v>
      </c>
      <c r="E13" s="1" t="s">
        <v>1890</v>
      </c>
      <c r="F13" s="1" t="s">
        <v>2071</v>
      </c>
      <c r="G13" s="1" t="s">
        <v>2071</v>
      </c>
      <c r="H13" s="1" t="s">
        <v>1915</v>
      </c>
      <c r="I13" s="1" t="s">
        <v>1744</v>
      </c>
      <c r="J13" s="1" t="s">
        <v>1745</v>
      </c>
      <c r="K13" s="1" t="s">
        <v>1746</v>
      </c>
      <c r="L13" s="1" t="s">
        <v>1747</v>
      </c>
      <c r="M13" s="1" t="s">
        <v>1748</v>
      </c>
      <c r="N13" s="1" t="s">
        <v>1749</v>
      </c>
      <c r="O13" s="1" t="s">
        <v>1750</v>
      </c>
      <c r="P13" s="1" t="s">
        <v>1751</v>
      </c>
      <c r="Q13">
        <v>49</v>
      </c>
      <c r="R13" s="1" t="s">
        <v>1752</v>
      </c>
      <c r="S13" s="1" t="s">
        <v>1753</v>
      </c>
      <c r="T13" s="1" t="s">
        <v>1754</v>
      </c>
      <c r="U13" s="1" t="s">
        <v>1755</v>
      </c>
      <c r="V13" s="1" t="s">
        <v>1756</v>
      </c>
      <c r="W13">
        <v>72</v>
      </c>
      <c r="X13">
        <v>72</v>
      </c>
      <c r="Y13" s="1" t="s">
        <v>1757</v>
      </c>
      <c r="Z13" s="2">
        <v>36999</v>
      </c>
      <c r="AA13" s="1" t="s">
        <v>2072</v>
      </c>
      <c r="AB13" s="1" t="s">
        <v>1755</v>
      </c>
      <c r="AC13" s="1" t="s">
        <v>2073</v>
      </c>
      <c r="AD13" s="1" t="s">
        <v>424</v>
      </c>
      <c r="AE13" s="1" t="s">
        <v>1760</v>
      </c>
      <c r="AF13" s="1" t="s">
        <v>1761</v>
      </c>
      <c r="AG13" s="1" t="s">
        <v>1762</v>
      </c>
      <c r="AH13" s="1" t="s">
        <v>2072</v>
      </c>
      <c r="AI13" s="1" t="s">
        <v>2072</v>
      </c>
      <c r="AJ13" s="1" t="s">
        <v>1763</v>
      </c>
      <c r="AK13" s="1" t="s">
        <v>1763</v>
      </c>
      <c r="AL13" s="1" t="s">
        <v>1763</v>
      </c>
      <c r="AM13" s="1" t="s">
        <v>2073</v>
      </c>
      <c r="AN13" s="1" t="s">
        <v>424</v>
      </c>
      <c r="AO13" s="1" t="s">
        <v>2074</v>
      </c>
      <c r="AP13" s="1" t="s">
        <v>1765</v>
      </c>
      <c r="AQ13" s="1" t="s">
        <v>1766</v>
      </c>
      <c r="AR13" s="1" t="s">
        <v>1767</v>
      </c>
      <c r="AS13" s="1" t="s">
        <v>1768</v>
      </c>
      <c r="AT13">
        <v>2010150922131390</v>
      </c>
      <c r="AU13" s="1" t="s">
        <v>1769</v>
      </c>
      <c r="AV13">
        <v>2189103082000</v>
      </c>
      <c r="AW13" s="1" t="s">
        <v>1770</v>
      </c>
      <c r="AX13" s="1" t="s">
        <v>1765</v>
      </c>
      <c r="AY13" s="1" t="s">
        <v>2075</v>
      </c>
      <c r="AZ13" s="1" t="s">
        <v>1897</v>
      </c>
      <c r="BA13" s="1" t="s">
        <v>2076</v>
      </c>
      <c r="BB13">
        <v>2</v>
      </c>
      <c r="BC13" s="1" t="s">
        <v>1774</v>
      </c>
      <c r="BD13" s="1" t="s">
        <v>1775</v>
      </c>
      <c r="BE13" s="1" t="s">
        <v>1776</v>
      </c>
      <c r="BF13" s="1" t="s">
        <v>1777</v>
      </c>
      <c r="BG13" s="1" t="s">
        <v>1778</v>
      </c>
      <c r="BH13" s="1" t="s">
        <v>1779</v>
      </c>
      <c r="BI13" s="1" t="s">
        <v>1779</v>
      </c>
      <c r="BJ13" s="1" t="s">
        <v>1780</v>
      </c>
      <c r="BK13" s="1" t="s">
        <v>1781</v>
      </c>
      <c r="BL13" s="1" t="s">
        <v>1754</v>
      </c>
      <c r="BM13" s="1" t="s">
        <v>1782</v>
      </c>
      <c r="BN13" s="1" t="s">
        <v>1783</v>
      </c>
      <c r="BO13" s="1" t="s">
        <v>1784</v>
      </c>
      <c r="BP13" s="1" t="s">
        <v>1785</v>
      </c>
      <c r="BQ13" s="1" t="s">
        <v>1786</v>
      </c>
      <c r="BR13" s="1" t="s">
        <v>2077</v>
      </c>
      <c r="BS13" s="1" t="s">
        <v>1788</v>
      </c>
      <c r="BT13" s="1" t="s">
        <v>2078</v>
      </c>
      <c r="BU13" s="1" t="s">
        <v>1790</v>
      </c>
      <c r="BV13" s="1" t="s">
        <v>2079</v>
      </c>
      <c r="BW13" s="1" t="s">
        <v>1790</v>
      </c>
      <c r="BX13" s="1" t="s">
        <v>2079</v>
      </c>
      <c r="BY13" s="1" t="s">
        <v>1792</v>
      </c>
      <c r="BZ13" s="1" t="s">
        <v>2080</v>
      </c>
      <c r="CA13" s="1" t="s">
        <v>1794</v>
      </c>
      <c r="CB13" s="1" t="s">
        <v>1795</v>
      </c>
      <c r="CC13" s="1" t="s">
        <v>1796</v>
      </c>
      <c r="CD13" s="1" t="s">
        <v>1797</v>
      </c>
      <c r="CE13" s="1" t="s">
        <v>1798</v>
      </c>
      <c r="CF13" s="1" t="s">
        <v>1799</v>
      </c>
      <c r="CG13" s="1" t="s">
        <v>1800</v>
      </c>
      <c r="CH13" s="1" t="s">
        <v>1794</v>
      </c>
      <c r="CI13" s="1" t="s">
        <v>1801</v>
      </c>
      <c r="CJ13" s="1" t="s">
        <v>1794</v>
      </c>
      <c r="CK13" s="1" t="s">
        <v>1802</v>
      </c>
      <c r="CL13" s="1" t="s">
        <v>1803</v>
      </c>
      <c r="CM13" s="1" t="s">
        <v>1804</v>
      </c>
      <c r="CN13" s="1" t="s">
        <v>1805</v>
      </c>
      <c r="CO13" s="1" t="s">
        <v>1794</v>
      </c>
      <c r="CP13" s="1" t="s">
        <v>1806</v>
      </c>
      <c r="CQ13" s="1" t="s">
        <v>1807</v>
      </c>
      <c r="CR13" s="1" t="s">
        <v>1808</v>
      </c>
      <c r="CS13" s="1" t="s">
        <v>1809</v>
      </c>
      <c r="CT13" s="1" t="s">
        <v>1810</v>
      </c>
      <c r="CU13" s="1" t="s">
        <v>1811</v>
      </c>
      <c r="CV13" s="1" t="s">
        <v>1812</v>
      </c>
      <c r="CW13" s="1" t="s">
        <v>1813</v>
      </c>
      <c r="CX13" s="1" t="s">
        <v>1814</v>
      </c>
      <c r="CY13" s="1" t="s">
        <v>1813</v>
      </c>
      <c r="CZ13" s="1" t="s">
        <v>1813</v>
      </c>
      <c r="DA13" s="1" t="s">
        <v>1775</v>
      </c>
      <c r="DB13" s="1" t="s">
        <v>1776</v>
      </c>
      <c r="DC13" s="1" t="s">
        <v>1752</v>
      </c>
      <c r="DD13" s="1" t="s">
        <v>1765</v>
      </c>
      <c r="DE13" s="1" t="s">
        <v>1815</v>
      </c>
      <c r="DF13" s="1" t="s">
        <v>1816</v>
      </c>
      <c r="DG13" s="1" t="s">
        <v>1817</v>
      </c>
      <c r="DH13" s="1" t="s">
        <v>1818</v>
      </c>
      <c r="DI13" s="1" t="s">
        <v>1819</v>
      </c>
      <c r="DJ13" s="1" t="s">
        <v>1820</v>
      </c>
      <c r="DK13" s="1" t="s">
        <v>1821</v>
      </c>
      <c r="DL13" s="1" t="s">
        <v>1822</v>
      </c>
      <c r="DM13" s="1" t="s">
        <v>1765</v>
      </c>
      <c r="DN13" s="1" t="s">
        <v>1765</v>
      </c>
      <c r="DO13" s="1" t="s">
        <v>1823</v>
      </c>
      <c r="DP13" s="1" t="s">
        <v>1824</v>
      </c>
      <c r="DQ13" s="1" t="s">
        <v>1824</v>
      </c>
      <c r="DR13" s="1" t="s">
        <v>1765</v>
      </c>
      <c r="DS13" s="1" t="s">
        <v>1825</v>
      </c>
      <c r="DT13" s="1" t="s">
        <v>1816</v>
      </c>
      <c r="DU13" s="1" t="s">
        <v>1826</v>
      </c>
      <c r="DV13" s="1" t="s">
        <v>2081</v>
      </c>
      <c r="DW13" s="1" t="s">
        <v>1828</v>
      </c>
      <c r="DX13" s="1" t="s">
        <v>2082</v>
      </c>
      <c r="DY13" s="1" t="s">
        <v>424</v>
      </c>
      <c r="DZ13" s="1" t="s">
        <v>1752</v>
      </c>
      <c r="EA13" s="1" t="s">
        <v>218</v>
      </c>
      <c r="EB13" s="1" t="s">
        <v>892</v>
      </c>
      <c r="EC13" s="1" t="s">
        <v>2073</v>
      </c>
      <c r="ED13" s="1" t="s">
        <v>2083</v>
      </c>
      <c r="EE13" s="1" t="s">
        <v>2083</v>
      </c>
      <c r="EF13" s="1" t="s">
        <v>2084</v>
      </c>
      <c r="EG13" s="1" t="s">
        <v>2085</v>
      </c>
      <c r="EH13" s="1" t="s">
        <v>2086</v>
      </c>
      <c r="EI13" s="1" t="s">
        <v>2087</v>
      </c>
      <c r="EJ13" s="1" t="s">
        <v>2088</v>
      </c>
      <c r="EK13" s="1" t="s">
        <v>1836</v>
      </c>
      <c r="EL13" s="1" t="s">
        <v>1837</v>
      </c>
      <c r="EM13" s="1" t="s">
        <v>1838</v>
      </c>
      <c r="EN13" s="1" t="s">
        <v>2089</v>
      </c>
      <c r="EO13" s="1" t="s">
        <v>1840</v>
      </c>
      <c r="EP13" s="1" t="s">
        <v>289</v>
      </c>
      <c r="EQ13" s="1" t="s">
        <v>1782</v>
      </c>
      <c r="ER13" s="1" t="s">
        <v>1802</v>
      </c>
      <c r="ES13" s="1" t="s">
        <v>1802</v>
      </c>
      <c r="ET13" s="1" t="s">
        <v>1802</v>
      </c>
      <c r="EU13" s="1" t="s">
        <v>1802</v>
      </c>
      <c r="EV13" s="1" t="s">
        <v>1802</v>
      </c>
      <c r="EW13" s="1" t="s">
        <v>1802</v>
      </c>
      <c r="EX13" s="1" t="s">
        <v>1802</v>
      </c>
      <c r="EY13" s="1" t="s">
        <v>1802</v>
      </c>
      <c r="EZ13" s="1" t="s">
        <v>1802</v>
      </c>
      <c r="FA13" s="1" t="s">
        <v>1802</v>
      </c>
      <c r="FB13" s="1" t="s">
        <v>1802</v>
      </c>
      <c r="FC13" s="1" t="s">
        <v>1802</v>
      </c>
      <c r="FD13" s="1" t="s">
        <v>1802</v>
      </c>
      <c r="FE13" s="1" t="s">
        <v>1802</v>
      </c>
      <c r="FF13" s="1" t="s">
        <v>1802</v>
      </c>
      <c r="FG13" s="1" t="s">
        <v>1802</v>
      </c>
      <c r="FH13" s="1" t="s">
        <v>1802</v>
      </c>
      <c r="FI13" s="1" t="s">
        <v>1802</v>
      </c>
      <c r="FJ13" s="1" t="s">
        <v>1802</v>
      </c>
      <c r="FK13" s="1" t="s">
        <v>1802</v>
      </c>
      <c r="FL13" s="1" t="s">
        <v>1802</v>
      </c>
      <c r="FM13" s="1" t="s">
        <v>1802</v>
      </c>
      <c r="FN13" s="1" t="s">
        <v>1802</v>
      </c>
      <c r="FO13" s="1" t="s">
        <v>1802</v>
      </c>
      <c r="FP13" s="1" t="s">
        <v>1802</v>
      </c>
      <c r="FQ13" s="1" t="s">
        <v>1802</v>
      </c>
      <c r="FR13" s="2"/>
      <c r="FS13" s="1" t="s">
        <v>1802</v>
      </c>
    </row>
    <row r="14" spans="1:175" x14ac:dyDescent="0.3">
      <c r="A14" s="1" t="s">
        <v>2090</v>
      </c>
      <c r="B14" s="1" t="s">
        <v>1739</v>
      </c>
      <c r="C14" s="1" t="s">
        <v>264</v>
      </c>
      <c r="D14" s="1" t="s">
        <v>1740</v>
      </c>
      <c r="E14" s="1" t="s">
        <v>2091</v>
      </c>
      <c r="F14" s="1" t="s">
        <v>2092</v>
      </c>
      <c r="G14" s="1" t="s">
        <v>2092</v>
      </c>
      <c r="H14" s="1" t="s">
        <v>2093</v>
      </c>
      <c r="I14" s="1" t="s">
        <v>1744</v>
      </c>
      <c r="J14" s="1" t="s">
        <v>1745</v>
      </c>
      <c r="K14" s="1" t="s">
        <v>1746</v>
      </c>
      <c r="L14" s="1" t="s">
        <v>1747</v>
      </c>
      <c r="M14" s="1" t="s">
        <v>1748</v>
      </c>
      <c r="N14" s="1" t="s">
        <v>1749</v>
      </c>
      <c r="O14" s="1" t="s">
        <v>1750</v>
      </c>
      <c r="P14" s="1" t="s">
        <v>1751</v>
      </c>
      <c r="Q14">
        <v>49</v>
      </c>
      <c r="R14" s="1" t="s">
        <v>1752</v>
      </c>
      <c r="S14" s="1" t="s">
        <v>1753</v>
      </c>
      <c r="T14" s="1" t="s">
        <v>1754</v>
      </c>
      <c r="U14" s="1" t="s">
        <v>1755</v>
      </c>
      <c r="V14" s="1" t="s">
        <v>1756</v>
      </c>
      <c r="W14">
        <v>72</v>
      </c>
      <c r="X14">
        <v>72</v>
      </c>
      <c r="Y14" s="1" t="s">
        <v>1757</v>
      </c>
      <c r="Z14" s="2">
        <v>36999</v>
      </c>
      <c r="AA14" s="1" t="s">
        <v>2094</v>
      </c>
      <c r="AB14" s="1" t="s">
        <v>1755</v>
      </c>
      <c r="AC14" s="1" t="s">
        <v>2095</v>
      </c>
      <c r="AD14" s="1" t="s">
        <v>424</v>
      </c>
      <c r="AE14" s="1" t="s">
        <v>1760</v>
      </c>
      <c r="AF14" s="1" t="s">
        <v>1761</v>
      </c>
      <c r="AG14" s="1" t="s">
        <v>1762</v>
      </c>
      <c r="AH14" s="1" t="s">
        <v>2094</v>
      </c>
      <c r="AI14" s="1" t="s">
        <v>2094</v>
      </c>
      <c r="AJ14" s="1" t="s">
        <v>1763</v>
      </c>
      <c r="AK14" s="1" t="s">
        <v>1763</v>
      </c>
      <c r="AL14" s="1" t="s">
        <v>1763</v>
      </c>
      <c r="AM14" s="1" t="s">
        <v>2095</v>
      </c>
      <c r="AN14" s="1" t="s">
        <v>424</v>
      </c>
      <c r="AO14" s="1" t="s">
        <v>2096</v>
      </c>
      <c r="AP14" s="1" t="s">
        <v>1765</v>
      </c>
      <c r="AQ14" s="1" t="s">
        <v>1766</v>
      </c>
      <c r="AR14" s="1" t="s">
        <v>1767</v>
      </c>
      <c r="AS14" s="1" t="s">
        <v>1768</v>
      </c>
      <c r="AT14">
        <v>2009150923181390</v>
      </c>
      <c r="AU14" s="1" t="s">
        <v>1769</v>
      </c>
      <c r="AV14">
        <v>4278358803750</v>
      </c>
      <c r="AW14" s="1" t="s">
        <v>1770</v>
      </c>
      <c r="AX14" s="1" t="s">
        <v>1765</v>
      </c>
      <c r="AY14" s="1" t="s">
        <v>2097</v>
      </c>
      <c r="AZ14" s="1" t="s">
        <v>1897</v>
      </c>
      <c r="BA14" s="1" t="s">
        <v>2098</v>
      </c>
      <c r="BB14">
        <v>236</v>
      </c>
      <c r="BC14" s="1" t="s">
        <v>1774</v>
      </c>
      <c r="BD14" s="1" t="s">
        <v>1775</v>
      </c>
      <c r="BE14" s="1" t="s">
        <v>1776</v>
      </c>
      <c r="BF14" s="1" t="s">
        <v>1777</v>
      </c>
      <c r="BG14" s="1" t="s">
        <v>1778</v>
      </c>
      <c r="BH14" s="1" t="s">
        <v>1779</v>
      </c>
      <c r="BI14" s="1" t="s">
        <v>1779</v>
      </c>
      <c r="BJ14" s="1" t="s">
        <v>1780</v>
      </c>
      <c r="BK14" s="1" t="s">
        <v>1781</v>
      </c>
      <c r="BL14" s="1" t="s">
        <v>1754</v>
      </c>
      <c r="BM14" s="1" t="s">
        <v>1782</v>
      </c>
      <c r="BN14" s="1" t="s">
        <v>1783</v>
      </c>
      <c r="BO14" s="1" t="s">
        <v>1784</v>
      </c>
      <c r="BP14" s="1" t="s">
        <v>1785</v>
      </c>
      <c r="BQ14" s="1" t="s">
        <v>1786</v>
      </c>
      <c r="BR14" s="1" t="s">
        <v>2099</v>
      </c>
      <c r="BS14" s="1" t="s">
        <v>1788</v>
      </c>
      <c r="BT14" s="1" t="s">
        <v>2100</v>
      </c>
      <c r="BU14" s="1" t="s">
        <v>1790</v>
      </c>
      <c r="BV14" s="1" t="s">
        <v>2101</v>
      </c>
      <c r="BW14" s="1" t="s">
        <v>1790</v>
      </c>
      <c r="BX14" s="1" t="s">
        <v>2101</v>
      </c>
      <c r="BY14" s="1" t="s">
        <v>1792</v>
      </c>
      <c r="BZ14" s="1" t="s">
        <v>2102</v>
      </c>
      <c r="CA14" s="1" t="s">
        <v>1794</v>
      </c>
      <c r="CB14" s="1" t="s">
        <v>1795</v>
      </c>
      <c r="CC14" s="1" t="s">
        <v>1796</v>
      </c>
      <c r="CD14" s="1" t="s">
        <v>1797</v>
      </c>
      <c r="CE14" s="1" t="s">
        <v>1798</v>
      </c>
      <c r="CF14" s="1" t="s">
        <v>1799</v>
      </c>
      <c r="CG14" s="1" t="s">
        <v>1800</v>
      </c>
      <c r="CH14" s="1" t="s">
        <v>1794</v>
      </c>
      <c r="CI14" s="1" t="s">
        <v>1801</v>
      </c>
      <c r="CJ14" s="1" t="s">
        <v>1794</v>
      </c>
      <c r="CK14" s="1" t="s">
        <v>1802</v>
      </c>
      <c r="CL14" s="1" t="s">
        <v>1803</v>
      </c>
      <c r="CM14" s="1" t="s">
        <v>1804</v>
      </c>
      <c r="CN14" s="1" t="s">
        <v>1805</v>
      </c>
      <c r="CO14" s="1" t="s">
        <v>1794</v>
      </c>
      <c r="CP14" s="1" t="s">
        <v>1806</v>
      </c>
      <c r="CQ14" s="1" t="s">
        <v>1807</v>
      </c>
      <c r="CR14" s="1" t="s">
        <v>1808</v>
      </c>
      <c r="CS14" s="1" t="s">
        <v>1809</v>
      </c>
      <c r="CT14" s="1" t="s">
        <v>1810</v>
      </c>
      <c r="CU14" s="1" t="s">
        <v>1811</v>
      </c>
      <c r="CV14" s="1" t="s">
        <v>1812</v>
      </c>
      <c r="CW14" s="1" t="s">
        <v>1813</v>
      </c>
      <c r="CX14" s="1" t="s">
        <v>1814</v>
      </c>
      <c r="CY14" s="1" t="s">
        <v>1813</v>
      </c>
      <c r="CZ14" s="1" t="s">
        <v>1813</v>
      </c>
      <c r="DA14" s="1" t="s">
        <v>1775</v>
      </c>
      <c r="DB14" s="1" t="s">
        <v>1776</v>
      </c>
      <c r="DC14" s="1" t="s">
        <v>1752</v>
      </c>
      <c r="DD14" s="1" t="s">
        <v>1765</v>
      </c>
      <c r="DE14" s="1" t="s">
        <v>1815</v>
      </c>
      <c r="DF14" s="1" t="s">
        <v>1816</v>
      </c>
      <c r="DG14" s="1" t="s">
        <v>1817</v>
      </c>
      <c r="DH14" s="1" t="s">
        <v>1818</v>
      </c>
      <c r="DI14" s="1" t="s">
        <v>1819</v>
      </c>
      <c r="DJ14" s="1" t="s">
        <v>1820</v>
      </c>
      <c r="DK14" s="1" t="s">
        <v>1821</v>
      </c>
      <c r="DL14" s="1" t="s">
        <v>1822</v>
      </c>
      <c r="DM14" s="1" t="s">
        <v>1765</v>
      </c>
      <c r="DN14" s="1" t="s">
        <v>1765</v>
      </c>
      <c r="DO14" s="1" t="s">
        <v>1823</v>
      </c>
      <c r="DP14" s="1" t="s">
        <v>1824</v>
      </c>
      <c r="DQ14" s="1" t="s">
        <v>1824</v>
      </c>
      <c r="DR14" s="1" t="s">
        <v>1765</v>
      </c>
      <c r="DS14" s="1" t="s">
        <v>1825</v>
      </c>
      <c r="DT14" s="1" t="s">
        <v>1816</v>
      </c>
      <c r="DU14" s="1" t="s">
        <v>1826</v>
      </c>
      <c r="DV14" s="1" t="s">
        <v>2103</v>
      </c>
      <c r="DW14" s="1" t="s">
        <v>1828</v>
      </c>
      <c r="DX14" s="1" t="s">
        <v>2104</v>
      </c>
      <c r="DY14" s="1" t="s">
        <v>424</v>
      </c>
      <c r="DZ14" s="1" t="s">
        <v>1752</v>
      </c>
      <c r="EA14" s="1" t="s">
        <v>218</v>
      </c>
      <c r="EB14" s="1" t="s">
        <v>892</v>
      </c>
      <c r="EC14" s="1" t="s">
        <v>2095</v>
      </c>
      <c r="ED14" s="1" t="s">
        <v>2105</v>
      </c>
      <c r="EE14" s="1" t="s">
        <v>2105</v>
      </c>
      <c r="EF14" s="1" t="s">
        <v>2106</v>
      </c>
      <c r="EG14" s="1" t="s">
        <v>1973</v>
      </c>
      <c r="EH14" s="1" t="s">
        <v>2107</v>
      </c>
      <c r="EI14" s="1" t="s">
        <v>2108</v>
      </c>
      <c r="EJ14" s="1" t="s">
        <v>2109</v>
      </c>
      <c r="EK14" s="1" t="s">
        <v>1836</v>
      </c>
      <c r="EL14" s="1" t="s">
        <v>1837</v>
      </c>
      <c r="EM14" s="1" t="s">
        <v>1838</v>
      </c>
      <c r="EN14" s="1" t="s">
        <v>2110</v>
      </c>
      <c r="EO14" s="1" t="s">
        <v>1840</v>
      </c>
      <c r="EP14" s="1" t="s">
        <v>965</v>
      </c>
      <c r="EQ14" s="1" t="s">
        <v>1782</v>
      </c>
      <c r="ER14" s="1" t="s">
        <v>1802</v>
      </c>
      <c r="ES14" s="1" t="s">
        <v>1802</v>
      </c>
      <c r="ET14" s="1" t="s">
        <v>1802</v>
      </c>
      <c r="EU14" s="1" t="s">
        <v>1802</v>
      </c>
      <c r="EV14" s="1" t="s">
        <v>1802</v>
      </c>
      <c r="EW14" s="1" t="s">
        <v>1802</v>
      </c>
      <c r="EX14" s="1" t="s">
        <v>1802</v>
      </c>
      <c r="EY14" s="1" t="s">
        <v>1802</v>
      </c>
      <c r="EZ14" s="1" t="s">
        <v>1802</v>
      </c>
      <c r="FA14" s="1" t="s">
        <v>1802</v>
      </c>
      <c r="FB14" s="1" t="s">
        <v>1802</v>
      </c>
      <c r="FC14" s="1" t="s">
        <v>1802</v>
      </c>
      <c r="FD14" s="1" t="s">
        <v>1802</v>
      </c>
      <c r="FE14" s="1" t="s">
        <v>1802</v>
      </c>
      <c r="FF14" s="1" t="s">
        <v>1802</v>
      </c>
      <c r="FG14" s="1" t="s">
        <v>1802</v>
      </c>
      <c r="FH14" s="1" t="s">
        <v>1802</v>
      </c>
      <c r="FI14" s="1" t="s">
        <v>1802</v>
      </c>
      <c r="FJ14" s="1" t="s">
        <v>1802</v>
      </c>
      <c r="FK14" s="1" t="s">
        <v>1802</v>
      </c>
      <c r="FL14" s="1" t="s">
        <v>1802</v>
      </c>
      <c r="FM14" s="1" t="s">
        <v>1802</v>
      </c>
      <c r="FN14" s="1" t="s">
        <v>1802</v>
      </c>
      <c r="FO14" s="1" t="s">
        <v>1802</v>
      </c>
      <c r="FP14" s="1" t="s">
        <v>1802</v>
      </c>
      <c r="FQ14" s="1" t="s">
        <v>1802</v>
      </c>
      <c r="FR14" s="2"/>
      <c r="FS14" s="1" t="s">
        <v>1802</v>
      </c>
    </row>
    <row r="15" spans="1:175" x14ac:dyDescent="0.3">
      <c r="A15" s="1" t="s">
        <v>2111</v>
      </c>
      <c r="B15" s="1" t="s">
        <v>1739</v>
      </c>
      <c r="C15" s="1" t="s">
        <v>288</v>
      </c>
      <c r="D15" s="1" t="s">
        <v>1740</v>
      </c>
      <c r="E15" s="1" t="s">
        <v>1890</v>
      </c>
      <c r="F15" s="1" t="s">
        <v>2112</v>
      </c>
      <c r="G15" s="1" t="s">
        <v>2112</v>
      </c>
      <c r="H15" s="1" t="s">
        <v>2113</v>
      </c>
      <c r="I15" s="1" t="s">
        <v>1744</v>
      </c>
      <c r="J15" s="1" t="s">
        <v>1745</v>
      </c>
      <c r="K15" s="1" t="s">
        <v>1746</v>
      </c>
      <c r="L15" s="1" t="s">
        <v>1747</v>
      </c>
      <c r="M15" s="1" t="s">
        <v>1748</v>
      </c>
      <c r="N15" s="1" t="s">
        <v>1749</v>
      </c>
      <c r="O15" s="1" t="s">
        <v>1750</v>
      </c>
      <c r="P15" s="1" t="s">
        <v>1751</v>
      </c>
      <c r="Q15">
        <v>49</v>
      </c>
      <c r="R15" s="1" t="s">
        <v>1752</v>
      </c>
      <c r="S15" s="1" t="s">
        <v>1753</v>
      </c>
      <c r="T15" s="1" t="s">
        <v>1754</v>
      </c>
      <c r="U15" s="1" t="s">
        <v>1755</v>
      </c>
      <c r="V15" s="1" t="s">
        <v>1756</v>
      </c>
      <c r="W15">
        <v>72</v>
      </c>
      <c r="X15">
        <v>72</v>
      </c>
      <c r="Y15" s="1" t="s">
        <v>1757</v>
      </c>
      <c r="Z15" s="2">
        <v>36999</v>
      </c>
      <c r="AA15" s="1" t="s">
        <v>2114</v>
      </c>
      <c r="AB15" s="1" t="s">
        <v>1755</v>
      </c>
      <c r="AC15" s="1" t="s">
        <v>2115</v>
      </c>
      <c r="AD15" s="1" t="s">
        <v>424</v>
      </c>
      <c r="AE15" s="1" t="s">
        <v>1760</v>
      </c>
      <c r="AF15" s="1" t="s">
        <v>2116</v>
      </c>
      <c r="AG15" s="1" t="s">
        <v>1762</v>
      </c>
      <c r="AH15" s="1" t="s">
        <v>2114</v>
      </c>
      <c r="AI15" s="1" t="s">
        <v>2114</v>
      </c>
      <c r="AJ15" s="1" t="s">
        <v>1763</v>
      </c>
      <c r="AK15" s="1" t="s">
        <v>1763</v>
      </c>
      <c r="AL15" s="1" t="s">
        <v>1763</v>
      </c>
      <c r="AM15" s="1" t="s">
        <v>2115</v>
      </c>
      <c r="AN15" s="1" t="s">
        <v>424</v>
      </c>
      <c r="AO15" s="1" t="s">
        <v>2117</v>
      </c>
      <c r="AP15" s="1" t="s">
        <v>1765</v>
      </c>
      <c r="AQ15" s="1" t="s">
        <v>1766</v>
      </c>
      <c r="AR15" s="1" t="s">
        <v>1767</v>
      </c>
      <c r="AS15" s="1" t="s">
        <v>1768</v>
      </c>
      <c r="AT15">
        <v>2010150922131390</v>
      </c>
      <c r="AU15" s="1" t="s">
        <v>1769</v>
      </c>
      <c r="AV15">
        <v>4558544640583</v>
      </c>
      <c r="AW15" s="1" t="s">
        <v>1770</v>
      </c>
      <c r="AX15" s="1" t="s">
        <v>1765</v>
      </c>
      <c r="AY15" s="1" t="s">
        <v>2118</v>
      </c>
      <c r="AZ15" s="1" t="s">
        <v>1897</v>
      </c>
      <c r="BA15" s="1" t="s">
        <v>2119</v>
      </c>
      <c r="BB15">
        <v>627</v>
      </c>
      <c r="BC15" s="1" t="s">
        <v>1774</v>
      </c>
      <c r="BD15" s="1" t="s">
        <v>1775</v>
      </c>
      <c r="BE15" s="1" t="s">
        <v>1776</v>
      </c>
      <c r="BF15" s="1" t="s">
        <v>1777</v>
      </c>
      <c r="BG15" s="1" t="s">
        <v>1778</v>
      </c>
      <c r="BH15" s="1" t="s">
        <v>1779</v>
      </c>
      <c r="BI15" s="1" t="s">
        <v>1779</v>
      </c>
      <c r="BJ15" s="1" t="s">
        <v>1780</v>
      </c>
      <c r="BK15" s="1" t="s">
        <v>1781</v>
      </c>
      <c r="BL15" s="1" t="s">
        <v>1754</v>
      </c>
      <c r="BM15" s="1" t="s">
        <v>1782</v>
      </c>
      <c r="BN15" s="1" t="s">
        <v>1783</v>
      </c>
      <c r="BO15" s="1" t="s">
        <v>1784</v>
      </c>
      <c r="BP15" s="1" t="s">
        <v>1785</v>
      </c>
      <c r="BQ15" s="1" t="s">
        <v>1786</v>
      </c>
      <c r="BR15" s="1" t="s">
        <v>2120</v>
      </c>
      <c r="BS15" s="1" t="s">
        <v>1788</v>
      </c>
      <c r="BT15" s="1" t="s">
        <v>2121</v>
      </c>
      <c r="BU15" s="1" t="s">
        <v>1790</v>
      </c>
      <c r="BV15" s="1" t="s">
        <v>2122</v>
      </c>
      <c r="BW15" s="1" t="s">
        <v>1790</v>
      </c>
      <c r="BX15" s="1" t="s">
        <v>2122</v>
      </c>
      <c r="BY15" s="1" t="s">
        <v>1792</v>
      </c>
      <c r="BZ15" s="1" t="s">
        <v>2123</v>
      </c>
      <c r="CA15" s="1" t="s">
        <v>1794</v>
      </c>
      <c r="CB15" s="1" t="s">
        <v>1795</v>
      </c>
      <c r="CC15" s="1" t="s">
        <v>1796</v>
      </c>
      <c r="CD15" s="1" t="s">
        <v>1797</v>
      </c>
      <c r="CE15" s="1" t="s">
        <v>1798</v>
      </c>
      <c r="CF15" s="1" t="s">
        <v>1799</v>
      </c>
      <c r="CG15" s="1" t="s">
        <v>1800</v>
      </c>
      <c r="CH15" s="1" t="s">
        <v>1794</v>
      </c>
      <c r="CI15" s="1" t="s">
        <v>1801</v>
      </c>
      <c r="CJ15" s="1" t="s">
        <v>1794</v>
      </c>
      <c r="CK15" s="1" t="s">
        <v>1802</v>
      </c>
      <c r="CL15" s="1" t="s">
        <v>1803</v>
      </c>
      <c r="CM15" s="1" t="s">
        <v>1804</v>
      </c>
      <c r="CN15" s="1" t="s">
        <v>1805</v>
      </c>
      <c r="CO15" s="1" t="s">
        <v>1794</v>
      </c>
      <c r="CP15" s="1" t="s">
        <v>1806</v>
      </c>
      <c r="CQ15" s="1" t="s">
        <v>1807</v>
      </c>
      <c r="CR15" s="1" t="s">
        <v>1808</v>
      </c>
      <c r="CS15" s="1" t="s">
        <v>1809</v>
      </c>
      <c r="CT15" s="1" t="s">
        <v>1810</v>
      </c>
      <c r="CU15" s="1" t="s">
        <v>1811</v>
      </c>
      <c r="CV15" s="1" t="s">
        <v>1812</v>
      </c>
      <c r="CW15" s="1" t="s">
        <v>1813</v>
      </c>
      <c r="CX15" s="1" t="s">
        <v>1814</v>
      </c>
      <c r="CY15" s="1" t="s">
        <v>1813</v>
      </c>
      <c r="CZ15" s="1" t="s">
        <v>1813</v>
      </c>
      <c r="DA15" s="1" t="s">
        <v>1775</v>
      </c>
      <c r="DB15" s="1" t="s">
        <v>1776</v>
      </c>
      <c r="DC15" s="1" t="s">
        <v>1752</v>
      </c>
      <c r="DD15" s="1" t="s">
        <v>1765</v>
      </c>
      <c r="DE15" s="1" t="s">
        <v>1815</v>
      </c>
      <c r="DF15" s="1" t="s">
        <v>1816</v>
      </c>
      <c r="DG15" s="1" t="s">
        <v>1817</v>
      </c>
      <c r="DH15" s="1" t="s">
        <v>1818</v>
      </c>
      <c r="DI15" s="1" t="s">
        <v>1819</v>
      </c>
      <c r="DJ15" s="1" t="s">
        <v>1820</v>
      </c>
      <c r="DK15" s="1" t="s">
        <v>1821</v>
      </c>
      <c r="DL15" s="1" t="s">
        <v>1822</v>
      </c>
      <c r="DM15" s="1" t="s">
        <v>1765</v>
      </c>
      <c r="DN15" s="1" t="s">
        <v>1765</v>
      </c>
      <c r="DO15" s="1" t="s">
        <v>1823</v>
      </c>
      <c r="DP15" s="1" t="s">
        <v>1824</v>
      </c>
      <c r="DQ15" s="1" t="s">
        <v>1824</v>
      </c>
      <c r="DR15" s="1" t="s">
        <v>1765</v>
      </c>
      <c r="DS15" s="1" t="s">
        <v>1825</v>
      </c>
      <c r="DT15" s="1" t="s">
        <v>1816</v>
      </c>
      <c r="DU15" s="1" t="s">
        <v>1826</v>
      </c>
      <c r="DV15" s="1" t="s">
        <v>2124</v>
      </c>
      <c r="DW15" s="1" t="s">
        <v>1828</v>
      </c>
      <c r="DX15" s="1" t="s">
        <v>2125</v>
      </c>
      <c r="DY15" s="1" t="s">
        <v>424</v>
      </c>
      <c r="DZ15" s="1" t="s">
        <v>1752</v>
      </c>
      <c r="EA15" s="1" t="s">
        <v>218</v>
      </c>
      <c r="EB15" s="1" t="s">
        <v>892</v>
      </c>
      <c r="EC15" s="1" t="s">
        <v>2115</v>
      </c>
      <c r="ED15" s="1" t="s">
        <v>2126</v>
      </c>
      <c r="EE15" s="1" t="s">
        <v>2126</v>
      </c>
      <c r="EF15" s="1" t="s">
        <v>2127</v>
      </c>
      <c r="EG15" s="1" t="s">
        <v>2128</v>
      </c>
      <c r="EH15" s="1" t="s">
        <v>2129</v>
      </c>
      <c r="EI15" s="1" t="s">
        <v>2130</v>
      </c>
      <c r="EJ15" s="1" t="s">
        <v>2131</v>
      </c>
      <c r="EK15" s="1" t="s">
        <v>1836</v>
      </c>
      <c r="EL15" s="1" t="s">
        <v>1837</v>
      </c>
      <c r="EM15" s="1" t="s">
        <v>1838</v>
      </c>
      <c r="EN15" s="1" t="s">
        <v>2132</v>
      </c>
      <c r="EO15" s="1" t="s">
        <v>1840</v>
      </c>
      <c r="EP15" s="1" t="s">
        <v>1275</v>
      </c>
      <c r="EQ15" s="1" t="s">
        <v>1782</v>
      </c>
      <c r="ER15" s="1" t="s">
        <v>1802</v>
      </c>
      <c r="ES15" s="1" t="s">
        <v>1802</v>
      </c>
      <c r="ET15" s="1" t="s">
        <v>1802</v>
      </c>
      <c r="EU15" s="1" t="s">
        <v>1802</v>
      </c>
      <c r="EV15" s="1" t="s">
        <v>1802</v>
      </c>
      <c r="EW15" s="1" t="s">
        <v>1802</v>
      </c>
      <c r="EX15" s="1" t="s">
        <v>1802</v>
      </c>
      <c r="EY15" s="1" t="s">
        <v>1802</v>
      </c>
      <c r="EZ15" s="1" t="s">
        <v>1802</v>
      </c>
      <c r="FA15" s="1" t="s">
        <v>1802</v>
      </c>
      <c r="FB15" s="1" t="s">
        <v>1802</v>
      </c>
      <c r="FC15" s="1" t="s">
        <v>1802</v>
      </c>
      <c r="FD15" s="1" t="s">
        <v>1802</v>
      </c>
      <c r="FE15" s="1" t="s">
        <v>1802</v>
      </c>
      <c r="FF15" s="1" t="s">
        <v>1802</v>
      </c>
      <c r="FG15" s="1" t="s">
        <v>1802</v>
      </c>
      <c r="FH15" s="1" t="s">
        <v>1802</v>
      </c>
      <c r="FI15" s="1" t="s">
        <v>1802</v>
      </c>
      <c r="FJ15" s="1" t="s">
        <v>1802</v>
      </c>
      <c r="FK15" s="1" t="s">
        <v>1802</v>
      </c>
      <c r="FL15" s="1" t="s">
        <v>1802</v>
      </c>
      <c r="FM15" s="1" t="s">
        <v>1802</v>
      </c>
      <c r="FN15" s="1" t="s">
        <v>1802</v>
      </c>
      <c r="FO15" s="1" t="s">
        <v>1802</v>
      </c>
      <c r="FP15" s="1" t="s">
        <v>1802</v>
      </c>
      <c r="FQ15" s="1" t="s">
        <v>1802</v>
      </c>
      <c r="FR15" s="2"/>
      <c r="FS15" s="1" t="s">
        <v>1802</v>
      </c>
    </row>
    <row r="16" spans="1:175" x14ac:dyDescent="0.3">
      <c r="A16" s="1" t="s">
        <v>2133</v>
      </c>
      <c r="B16" s="1" t="s">
        <v>1739</v>
      </c>
      <c r="C16" s="1" t="s">
        <v>315</v>
      </c>
      <c r="D16" s="1" t="s">
        <v>1740</v>
      </c>
      <c r="E16" s="1" t="s">
        <v>1741</v>
      </c>
      <c r="F16" s="1" t="s">
        <v>2134</v>
      </c>
      <c r="G16" s="1" t="s">
        <v>2134</v>
      </c>
      <c r="H16" s="1" t="s">
        <v>1915</v>
      </c>
      <c r="I16" s="1" t="s">
        <v>1744</v>
      </c>
      <c r="J16" s="1" t="s">
        <v>1745</v>
      </c>
      <c r="K16" s="1" t="s">
        <v>1746</v>
      </c>
      <c r="L16" s="1" t="s">
        <v>1747</v>
      </c>
      <c r="M16" s="1" t="s">
        <v>1748</v>
      </c>
      <c r="N16" s="1" t="s">
        <v>1749</v>
      </c>
      <c r="O16" s="1" t="s">
        <v>1750</v>
      </c>
      <c r="P16" s="1" t="s">
        <v>1751</v>
      </c>
      <c r="Q16">
        <v>49</v>
      </c>
      <c r="R16" s="1" t="s">
        <v>1752</v>
      </c>
      <c r="S16" s="1" t="s">
        <v>1753</v>
      </c>
      <c r="T16" s="1" t="s">
        <v>1754</v>
      </c>
      <c r="U16" s="1" t="s">
        <v>1755</v>
      </c>
      <c r="V16" s="1" t="s">
        <v>1756</v>
      </c>
      <c r="W16">
        <v>72</v>
      </c>
      <c r="X16">
        <v>72</v>
      </c>
      <c r="Y16" s="1" t="s">
        <v>1757</v>
      </c>
      <c r="Z16" s="2">
        <v>36999</v>
      </c>
      <c r="AA16" s="1" t="s">
        <v>2135</v>
      </c>
      <c r="AB16" s="1" t="s">
        <v>1755</v>
      </c>
      <c r="AC16" s="1" t="s">
        <v>2136</v>
      </c>
      <c r="AD16" s="1" t="s">
        <v>424</v>
      </c>
      <c r="AE16" s="1" t="s">
        <v>1760</v>
      </c>
      <c r="AF16" s="1" t="s">
        <v>2137</v>
      </c>
      <c r="AG16" s="1" t="s">
        <v>1762</v>
      </c>
      <c r="AH16" s="1" t="s">
        <v>2135</v>
      </c>
      <c r="AI16" s="1" t="s">
        <v>2135</v>
      </c>
      <c r="AJ16" s="1" t="s">
        <v>1763</v>
      </c>
      <c r="AK16" s="1" t="s">
        <v>1763</v>
      </c>
      <c r="AL16" s="1" t="s">
        <v>1763</v>
      </c>
      <c r="AM16" s="1" t="s">
        <v>2136</v>
      </c>
      <c r="AN16" s="1" t="s">
        <v>424</v>
      </c>
      <c r="AO16" s="1" t="s">
        <v>2138</v>
      </c>
      <c r="AP16" s="1" t="s">
        <v>1765</v>
      </c>
      <c r="AQ16" s="1" t="s">
        <v>1766</v>
      </c>
      <c r="AR16" s="1" t="s">
        <v>1767</v>
      </c>
      <c r="AS16" s="1" t="s">
        <v>1768</v>
      </c>
      <c r="AT16">
        <v>2010150922131390</v>
      </c>
      <c r="AU16" s="1" t="s">
        <v>1769</v>
      </c>
      <c r="AV16">
        <v>7571793353458</v>
      </c>
      <c r="AW16" s="1" t="s">
        <v>1770</v>
      </c>
      <c r="AX16" s="1" t="s">
        <v>1765</v>
      </c>
      <c r="AY16" s="1" t="s">
        <v>2139</v>
      </c>
      <c r="AZ16" s="1" t="s">
        <v>1897</v>
      </c>
      <c r="BA16" s="1" t="s">
        <v>2140</v>
      </c>
      <c r="BB16">
        <v>73</v>
      </c>
      <c r="BC16" s="1" t="s">
        <v>1774</v>
      </c>
      <c r="BD16" s="1" t="s">
        <v>1775</v>
      </c>
      <c r="BE16" s="1" t="s">
        <v>1776</v>
      </c>
      <c r="BF16" s="1" t="s">
        <v>1777</v>
      </c>
      <c r="BG16" s="1" t="s">
        <v>1778</v>
      </c>
      <c r="BH16" s="1" t="s">
        <v>1779</v>
      </c>
      <c r="BI16" s="1" t="s">
        <v>1779</v>
      </c>
      <c r="BJ16" s="1" t="s">
        <v>1780</v>
      </c>
      <c r="BK16" s="1" t="s">
        <v>1781</v>
      </c>
      <c r="BL16" s="1" t="s">
        <v>1754</v>
      </c>
      <c r="BM16" s="1" t="s">
        <v>1782</v>
      </c>
      <c r="BN16" s="1" t="s">
        <v>1783</v>
      </c>
      <c r="BO16" s="1" t="s">
        <v>1784</v>
      </c>
      <c r="BP16" s="1" t="s">
        <v>1785</v>
      </c>
      <c r="BQ16" s="1" t="s">
        <v>1786</v>
      </c>
      <c r="BR16" s="1" t="s">
        <v>2141</v>
      </c>
      <c r="BS16" s="1" t="s">
        <v>1788</v>
      </c>
      <c r="BT16" s="1" t="s">
        <v>2142</v>
      </c>
      <c r="BU16" s="1" t="s">
        <v>1790</v>
      </c>
      <c r="BV16" s="1" t="s">
        <v>2143</v>
      </c>
      <c r="BW16" s="1" t="s">
        <v>1790</v>
      </c>
      <c r="BX16" s="1" t="s">
        <v>2143</v>
      </c>
      <c r="BY16" s="1" t="s">
        <v>1792</v>
      </c>
      <c r="BZ16" s="1" t="s">
        <v>2144</v>
      </c>
      <c r="CA16" s="1" t="s">
        <v>1794</v>
      </c>
      <c r="CB16" s="1" t="s">
        <v>1795</v>
      </c>
      <c r="CC16" s="1" t="s">
        <v>1796</v>
      </c>
      <c r="CD16" s="1" t="s">
        <v>1797</v>
      </c>
      <c r="CE16" s="1" t="s">
        <v>1798</v>
      </c>
      <c r="CF16" s="1" t="s">
        <v>1799</v>
      </c>
      <c r="CG16" s="1" t="s">
        <v>1800</v>
      </c>
      <c r="CH16" s="1" t="s">
        <v>1794</v>
      </c>
      <c r="CI16" s="1" t="s">
        <v>1801</v>
      </c>
      <c r="CJ16" s="1" t="s">
        <v>1794</v>
      </c>
      <c r="CK16" s="1" t="s">
        <v>1802</v>
      </c>
      <c r="CL16" s="1" t="s">
        <v>1803</v>
      </c>
      <c r="CM16" s="1" t="s">
        <v>1804</v>
      </c>
      <c r="CN16" s="1" t="s">
        <v>1805</v>
      </c>
      <c r="CO16" s="1" t="s">
        <v>1794</v>
      </c>
      <c r="CP16" s="1" t="s">
        <v>1806</v>
      </c>
      <c r="CQ16" s="1" t="s">
        <v>1807</v>
      </c>
      <c r="CR16" s="1" t="s">
        <v>1808</v>
      </c>
      <c r="CS16" s="1" t="s">
        <v>1809</v>
      </c>
      <c r="CT16" s="1" t="s">
        <v>1810</v>
      </c>
      <c r="CU16" s="1" t="s">
        <v>1811</v>
      </c>
      <c r="CV16" s="1" t="s">
        <v>1812</v>
      </c>
      <c r="CW16" s="1" t="s">
        <v>1813</v>
      </c>
      <c r="CX16" s="1" t="s">
        <v>1814</v>
      </c>
      <c r="CY16" s="1" t="s">
        <v>1813</v>
      </c>
      <c r="CZ16" s="1" t="s">
        <v>1813</v>
      </c>
      <c r="DA16" s="1" t="s">
        <v>1775</v>
      </c>
      <c r="DB16" s="1" t="s">
        <v>1776</v>
      </c>
      <c r="DC16" s="1" t="s">
        <v>1752</v>
      </c>
      <c r="DD16" s="1" t="s">
        <v>1765</v>
      </c>
      <c r="DE16" s="1" t="s">
        <v>1815</v>
      </c>
      <c r="DF16" s="1" t="s">
        <v>1816</v>
      </c>
      <c r="DG16" s="1" t="s">
        <v>1817</v>
      </c>
      <c r="DH16" s="1" t="s">
        <v>1818</v>
      </c>
      <c r="DI16" s="1" t="s">
        <v>1819</v>
      </c>
      <c r="DJ16" s="1" t="s">
        <v>1820</v>
      </c>
      <c r="DK16" s="1" t="s">
        <v>1821</v>
      </c>
      <c r="DL16" s="1" t="s">
        <v>1822</v>
      </c>
      <c r="DM16" s="1" t="s">
        <v>1765</v>
      </c>
      <c r="DN16" s="1" t="s">
        <v>1765</v>
      </c>
      <c r="DO16" s="1" t="s">
        <v>1823</v>
      </c>
      <c r="DP16" s="1" t="s">
        <v>1824</v>
      </c>
      <c r="DQ16" s="1" t="s">
        <v>1824</v>
      </c>
      <c r="DR16" s="1" t="s">
        <v>1765</v>
      </c>
      <c r="DS16" s="1" t="s">
        <v>1825</v>
      </c>
      <c r="DT16" s="1" t="s">
        <v>1816</v>
      </c>
      <c r="DU16" s="1" t="s">
        <v>1826</v>
      </c>
      <c r="DV16" s="1" t="s">
        <v>2145</v>
      </c>
      <c r="DW16" s="1" t="s">
        <v>1828</v>
      </c>
      <c r="DX16" s="1" t="s">
        <v>2146</v>
      </c>
      <c r="DY16" s="1" t="s">
        <v>424</v>
      </c>
      <c r="DZ16" s="1" t="s">
        <v>1752</v>
      </c>
      <c r="EA16" s="1" t="s">
        <v>218</v>
      </c>
      <c r="EB16" s="1" t="s">
        <v>892</v>
      </c>
      <c r="EC16" s="1" t="s">
        <v>2136</v>
      </c>
      <c r="ED16" s="1" t="s">
        <v>2147</v>
      </c>
      <c r="EE16" s="1" t="s">
        <v>2147</v>
      </c>
      <c r="EF16" s="1" t="s">
        <v>2148</v>
      </c>
      <c r="EG16" s="1" t="s">
        <v>2149</v>
      </c>
      <c r="EH16" s="1" t="s">
        <v>2150</v>
      </c>
      <c r="EI16" s="1" t="s">
        <v>2151</v>
      </c>
      <c r="EJ16" s="1" t="s">
        <v>2152</v>
      </c>
      <c r="EK16" s="1" t="s">
        <v>1836</v>
      </c>
      <c r="EL16" s="1" t="s">
        <v>1837</v>
      </c>
      <c r="EM16" s="1" t="s">
        <v>1838</v>
      </c>
      <c r="EN16" s="1" t="s">
        <v>2153</v>
      </c>
      <c r="EO16" s="1" t="s">
        <v>1840</v>
      </c>
      <c r="EP16" s="1" t="s">
        <v>2154</v>
      </c>
      <c r="EQ16" s="1" t="s">
        <v>1782</v>
      </c>
      <c r="ER16" s="1" t="s">
        <v>1802</v>
      </c>
      <c r="ES16" s="1" t="s">
        <v>1802</v>
      </c>
      <c r="ET16" s="1" t="s">
        <v>1802</v>
      </c>
      <c r="EU16" s="1" t="s">
        <v>1802</v>
      </c>
      <c r="EV16" s="1" t="s">
        <v>1802</v>
      </c>
      <c r="EW16" s="1" t="s">
        <v>1802</v>
      </c>
      <c r="EX16" s="1" t="s">
        <v>1802</v>
      </c>
      <c r="EY16" s="1" t="s">
        <v>1802</v>
      </c>
      <c r="EZ16" s="1" t="s">
        <v>1802</v>
      </c>
      <c r="FA16" s="1" t="s">
        <v>1802</v>
      </c>
      <c r="FB16" s="1" t="s">
        <v>1802</v>
      </c>
      <c r="FC16" s="1" t="s">
        <v>1802</v>
      </c>
      <c r="FD16" s="1" t="s">
        <v>1802</v>
      </c>
      <c r="FE16" s="1" t="s">
        <v>1802</v>
      </c>
      <c r="FF16" s="1" t="s">
        <v>1802</v>
      </c>
      <c r="FG16" s="1" t="s">
        <v>1802</v>
      </c>
      <c r="FH16" s="1" t="s">
        <v>1802</v>
      </c>
      <c r="FI16" s="1" t="s">
        <v>1802</v>
      </c>
      <c r="FJ16" s="1" t="s">
        <v>1802</v>
      </c>
      <c r="FK16" s="1" t="s">
        <v>1802</v>
      </c>
      <c r="FL16" s="1" t="s">
        <v>1802</v>
      </c>
      <c r="FM16" s="1" t="s">
        <v>1802</v>
      </c>
      <c r="FN16" s="1" t="s">
        <v>1802</v>
      </c>
      <c r="FO16" s="1" t="s">
        <v>1802</v>
      </c>
      <c r="FP16" s="1" t="s">
        <v>1802</v>
      </c>
      <c r="FQ16" s="1" t="s">
        <v>1802</v>
      </c>
      <c r="FR16" s="2"/>
      <c r="FS16" s="1" t="s">
        <v>1802</v>
      </c>
    </row>
    <row r="17" spans="1:175" x14ac:dyDescent="0.3">
      <c r="A17" s="1" t="s">
        <v>2155</v>
      </c>
      <c r="B17" s="1" t="s">
        <v>1739</v>
      </c>
      <c r="C17" s="1" t="s">
        <v>337</v>
      </c>
      <c r="D17" s="1" t="s">
        <v>1740</v>
      </c>
      <c r="E17" s="1" t="s">
        <v>2156</v>
      </c>
      <c r="F17" s="1" t="s">
        <v>2157</v>
      </c>
      <c r="G17" s="1" t="s">
        <v>2157</v>
      </c>
      <c r="H17" s="1" t="s">
        <v>2158</v>
      </c>
      <c r="I17" s="1" t="s">
        <v>1744</v>
      </c>
      <c r="J17" s="1" t="s">
        <v>1745</v>
      </c>
      <c r="K17" s="1" t="s">
        <v>1746</v>
      </c>
      <c r="L17" s="1" t="s">
        <v>1747</v>
      </c>
      <c r="M17" s="1" t="s">
        <v>1748</v>
      </c>
      <c r="N17" s="1" t="s">
        <v>1749</v>
      </c>
      <c r="O17" s="1" t="s">
        <v>1750</v>
      </c>
      <c r="P17" s="1" t="s">
        <v>1751</v>
      </c>
      <c r="Q17">
        <v>49</v>
      </c>
      <c r="R17" s="1" t="s">
        <v>1752</v>
      </c>
      <c r="S17" s="1" t="s">
        <v>1753</v>
      </c>
      <c r="T17" s="1" t="s">
        <v>1754</v>
      </c>
      <c r="U17" s="1" t="s">
        <v>1755</v>
      </c>
      <c r="V17" s="1" t="s">
        <v>1756</v>
      </c>
      <c r="W17">
        <v>72</v>
      </c>
      <c r="X17">
        <v>72</v>
      </c>
      <c r="Y17" s="1" t="s">
        <v>1757</v>
      </c>
      <c r="Z17" s="2">
        <v>36999</v>
      </c>
      <c r="AA17" s="1" t="s">
        <v>2159</v>
      </c>
      <c r="AB17" s="1" t="s">
        <v>1755</v>
      </c>
      <c r="AC17" s="1" t="s">
        <v>2160</v>
      </c>
      <c r="AD17" s="1" t="s">
        <v>424</v>
      </c>
      <c r="AE17" s="1" t="s">
        <v>1760</v>
      </c>
      <c r="AF17" s="1" t="s">
        <v>2161</v>
      </c>
      <c r="AG17" s="1" t="s">
        <v>1762</v>
      </c>
      <c r="AH17" s="1" t="s">
        <v>2159</v>
      </c>
      <c r="AI17" s="1" t="s">
        <v>2159</v>
      </c>
      <c r="AJ17" s="1" t="s">
        <v>1763</v>
      </c>
      <c r="AK17" s="1" t="s">
        <v>1763</v>
      </c>
      <c r="AL17" s="1" t="s">
        <v>1763</v>
      </c>
      <c r="AM17" s="1" t="s">
        <v>2160</v>
      </c>
      <c r="AN17" s="1" t="s">
        <v>424</v>
      </c>
      <c r="AO17" s="1" t="s">
        <v>2162</v>
      </c>
      <c r="AP17" s="1" t="s">
        <v>1765</v>
      </c>
      <c r="AQ17" s="1" t="s">
        <v>1766</v>
      </c>
      <c r="AR17" s="1" t="s">
        <v>1767</v>
      </c>
      <c r="AS17" s="1" t="s">
        <v>1768</v>
      </c>
      <c r="AT17">
        <v>2010150922131390</v>
      </c>
      <c r="AU17" s="1" t="s">
        <v>1769</v>
      </c>
      <c r="AV17">
        <v>10376102943541</v>
      </c>
      <c r="AW17" s="1" t="s">
        <v>1770</v>
      </c>
      <c r="AX17" s="1" t="s">
        <v>1765</v>
      </c>
      <c r="AY17" s="1" t="s">
        <v>2163</v>
      </c>
      <c r="AZ17" s="1" t="s">
        <v>1897</v>
      </c>
      <c r="BA17" s="1" t="s">
        <v>2164</v>
      </c>
      <c r="BB17">
        <v>908</v>
      </c>
      <c r="BC17" s="1" t="s">
        <v>1774</v>
      </c>
      <c r="BD17" s="1" t="s">
        <v>1775</v>
      </c>
      <c r="BE17" s="1" t="s">
        <v>1776</v>
      </c>
      <c r="BF17" s="1" t="s">
        <v>1777</v>
      </c>
      <c r="BG17" s="1" t="s">
        <v>1778</v>
      </c>
      <c r="BH17" s="1" t="s">
        <v>1779</v>
      </c>
      <c r="BI17" s="1" t="s">
        <v>1779</v>
      </c>
      <c r="BJ17" s="1" t="s">
        <v>1780</v>
      </c>
      <c r="BK17" s="1" t="s">
        <v>1781</v>
      </c>
      <c r="BL17" s="1" t="s">
        <v>1754</v>
      </c>
      <c r="BM17" s="1" t="s">
        <v>1782</v>
      </c>
      <c r="BN17" s="1" t="s">
        <v>1783</v>
      </c>
      <c r="BO17" s="1" t="s">
        <v>1784</v>
      </c>
      <c r="BP17" s="1" t="s">
        <v>1785</v>
      </c>
      <c r="BQ17" s="1" t="s">
        <v>1786</v>
      </c>
      <c r="BR17" s="1" t="s">
        <v>2165</v>
      </c>
      <c r="BS17" s="1" t="s">
        <v>1788</v>
      </c>
      <c r="BT17" s="1" t="s">
        <v>2166</v>
      </c>
      <c r="BU17" s="1" t="s">
        <v>1790</v>
      </c>
      <c r="BV17" s="1" t="s">
        <v>2167</v>
      </c>
      <c r="BW17" s="1" t="s">
        <v>1790</v>
      </c>
      <c r="BX17" s="1" t="s">
        <v>2167</v>
      </c>
      <c r="BY17" s="1" t="s">
        <v>1792</v>
      </c>
      <c r="BZ17" s="1" t="s">
        <v>2168</v>
      </c>
      <c r="CA17" s="1" t="s">
        <v>1794</v>
      </c>
      <c r="CB17" s="1" t="s">
        <v>1795</v>
      </c>
      <c r="CC17" s="1" t="s">
        <v>1796</v>
      </c>
      <c r="CD17" s="1" t="s">
        <v>1797</v>
      </c>
      <c r="CE17" s="1" t="s">
        <v>1798</v>
      </c>
      <c r="CF17" s="1" t="s">
        <v>1799</v>
      </c>
      <c r="CG17" s="1" t="s">
        <v>1800</v>
      </c>
      <c r="CH17" s="1" t="s">
        <v>1794</v>
      </c>
      <c r="CI17" s="1" t="s">
        <v>1801</v>
      </c>
      <c r="CJ17" s="1" t="s">
        <v>1794</v>
      </c>
      <c r="CK17" s="1" t="s">
        <v>1802</v>
      </c>
      <c r="CL17" s="1" t="s">
        <v>1803</v>
      </c>
      <c r="CM17" s="1" t="s">
        <v>1804</v>
      </c>
      <c r="CN17" s="1" t="s">
        <v>1805</v>
      </c>
      <c r="CO17" s="1" t="s">
        <v>1794</v>
      </c>
      <c r="CP17" s="1" t="s">
        <v>1806</v>
      </c>
      <c r="CQ17" s="1" t="s">
        <v>1807</v>
      </c>
      <c r="CR17" s="1" t="s">
        <v>1808</v>
      </c>
      <c r="CS17" s="1" t="s">
        <v>1809</v>
      </c>
      <c r="CT17" s="1" t="s">
        <v>1810</v>
      </c>
      <c r="CU17" s="1" t="s">
        <v>1811</v>
      </c>
      <c r="CV17" s="1" t="s">
        <v>1812</v>
      </c>
      <c r="CW17" s="1" t="s">
        <v>1813</v>
      </c>
      <c r="CX17" s="1" t="s">
        <v>1814</v>
      </c>
      <c r="CY17" s="1" t="s">
        <v>1813</v>
      </c>
      <c r="CZ17" s="1" t="s">
        <v>1813</v>
      </c>
      <c r="DA17" s="1" t="s">
        <v>1775</v>
      </c>
      <c r="DB17" s="1" t="s">
        <v>1776</v>
      </c>
      <c r="DC17" s="1" t="s">
        <v>1752</v>
      </c>
      <c r="DD17" s="1" t="s">
        <v>1765</v>
      </c>
      <c r="DE17" s="1" t="s">
        <v>1815</v>
      </c>
      <c r="DF17" s="1" t="s">
        <v>1816</v>
      </c>
      <c r="DG17" s="1" t="s">
        <v>1817</v>
      </c>
      <c r="DH17" s="1" t="s">
        <v>1818</v>
      </c>
      <c r="DI17" s="1" t="s">
        <v>1819</v>
      </c>
      <c r="DJ17" s="1" t="s">
        <v>1820</v>
      </c>
      <c r="DK17" s="1" t="s">
        <v>1821</v>
      </c>
      <c r="DL17" s="1" t="s">
        <v>1822</v>
      </c>
      <c r="DM17" s="1" t="s">
        <v>1765</v>
      </c>
      <c r="DN17" s="1" t="s">
        <v>1765</v>
      </c>
      <c r="DO17" s="1" t="s">
        <v>1823</v>
      </c>
      <c r="DP17" s="1" t="s">
        <v>1824</v>
      </c>
      <c r="DQ17" s="1" t="s">
        <v>1824</v>
      </c>
      <c r="DR17" s="1" t="s">
        <v>1765</v>
      </c>
      <c r="DS17" s="1" t="s">
        <v>1825</v>
      </c>
      <c r="DT17" s="1" t="s">
        <v>1816</v>
      </c>
      <c r="DU17" s="1" t="s">
        <v>1826</v>
      </c>
      <c r="DV17" s="1" t="s">
        <v>2169</v>
      </c>
      <c r="DW17" s="1" t="s">
        <v>2170</v>
      </c>
      <c r="DX17" s="1" t="s">
        <v>2171</v>
      </c>
      <c r="DY17" s="1" t="s">
        <v>424</v>
      </c>
      <c r="DZ17" s="1" t="s">
        <v>1752</v>
      </c>
      <c r="EA17" s="1" t="s">
        <v>218</v>
      </c>
      <c r="EB17" s="1" t="s">
        <v>892</v>
      </c>
      <c r="EC17" s="1" t="s">
        <v>2160</v>
      </c>
      <c r="ED17" s="1" t="s">
        <v>2172</v>
      </c>
      <c r="EE17" s="1" t="s">
        <v>2172</v>
      </c>
      <c r="EF17" s="1" t="s">
        <v>2173</v>
      </c>
      <c r="EG17" s="1" t="s">
        <v>1973</v>
      </c>
      <c r="EH17" s="1" t="s">
        <v>2174</v>
      </c>
      <c r="EI17" s="1" t="s">
        <v>2175</v>
      </c>
      <c r="EJ17" s="1" t="s">
        <v>2176</v>
      </c>
      <c r="EK17" s="1" t="s">
        <v>1836</v>
      </c>
      <c r="EL17" s="1" t="s">
        <v>1837</v>
      </c>
      <c r="EM17" s="1" t="s">
        <v>1838</v>
      </c>
      <c r="EN17" s="1" t="s">
        <v>2177</v>
      </c>
      <c r="EO17" s="1" t="s">
        <v>1840</v>
      </c>
      <c r="EP17" s="1" t="s">
        <v>219</v>
      </c>
      <c r="EQ17" s="1" t="s">
        <v>1782</v>
      </c>
      <c r="ER17" s="1" t="s">
        <v>1802</v>
      </c>
      <c r="ES17" s="1" t="s">
        <v>1802</v>
      </c>
      <c r="ET17" s="1" t="s">
        <v>1802</v>
      </c>
      <c r="EU17" s="1" t="s">
        <v>1802</v>
      </c>
      <c r="EV17" s="1" t="s">
        <v>1802</v>
      </c>
      <c r="EW17" s="1" t="s">
        <v>1802</v>
      </c>
      <c r="EX17" s="1" t="s">
        <v>1802</v>
      </c>
      <c r="EY17" s="1" t="s">
        <v>1802</v>
      </c>
      <c r="EZ17" s="1" t="s">
        <v>1802</v>
      </c>
      <c r="FA17" s="1" t="s">
        <v>1802</v>
      </c>
      <c r="FB17" s="1" t="s">
        <v>1802</v>
      </c>
      <c r="FC17" s="1" t="s">
        <v>1802</v>
      </c>
      <c r="FD17" s="1" t="s">
        <v>1802</v>
      </c>
      <c r="FE17" s="1" t="s">
        <v>1802</v>
      </c>
      <c r="FF17" s="1" t="s">
        <v>1802</v>
      </c>
      <c r="FG17" s="1" t="s">
        <v>1802</v>
      </c>
      <c r="FH17" s="1" t="s">
        <v>1802</v>
      </c>
      <c r="FI17" s="1" t="s">
        <v>1802</v>
      </c>
      <c r="FJ17" s="1" t="s">
        <v>1802</v>
      </c>
      <c r="FK17" s="1" t="s">
        <v>1802</v>
      </c>
      <c r="FL17" s="1" t="s">
        <v>1802</v>
      </c>
      <c r="FM17" s="1" t="s">
        <v>1802</v>
      </c>
      <c r="FN17" s="1" t="s">
        <v>1802</v>
      </c>
      <c r="FO17" s="1" t="s">
        <v>1802</v>
      </c>
      <c r="FP17" s="1" t="s">
        <v>1802</v>
      </c>
      <c r="FQ17" s="1" t="s">
        <v>1802</v>
      </c>
      <c r="FR17" s="2"/>
      <c r="FS17" s="1" t="s">
        <v>1802</v>
      </c>
    </row>
    <row r="18" spans="1:175" x14ac:dyDescent="0.3">
      <c r="A18" s="1" t="s">
        <v>2178</v>
      </c>
      <c r="B18" s="1" t="s">
        <v>1739</v>
      </c>
      <c r="C18" s="1" t="s">
        <v>369</v>
      </c>
      <c r="D18" s="1" t="s">
        <v>1740</v>
      </c>
      <c r="E18" s="1" t="s">
        <v>2179</v>
      </c>
      <c r="F18" s="1" t="s">
        <v>2180</v>
      </c>
      <c r="G18" s="1" t="s">
        <v>2180</v>
      </c>
      <c r="H18" s="1" t="s">
        <v>1915</v>
      </c>
      <c r="I18" s="1" t="s">
        <v>1744</v>
      </c>
      <c r="J18" s="1" t="s">
        <v>1745</v>
      </c>
      <c r="K18" s="1" t="s">
        <v>1746</v>
      </c>
      <c r="L18" s="1" t="s">
        <v>1747</v>
      </c>
      <c r="M18" s="1" t="s">
        <v>1748</v>
      </c>
      <c r="N18" s="1" t="s">
        <v>1749</v>
      </c>
      <c r="O18" s="1" t="s">
        <v>1750</v>
      </c>
      <c r="P18" s="1" t="s">
        <v>1751</v>
      </c>
      <c r="Q18">
        <v>49</v>
      </c>
      <c r="R18" s="1" t="s">
        <v>1752</v>
      </c>
      <c r="S18" s="1" t="s">
        <v>1753</v>
      </c>
      <c r="T18" s="1" t="s">
        <v>1754</v>
      </c>
      <c r="U18" s="1" t="s">
        <v>1755</v>
      </c>
      <c r="V18" s="1" t="s">
        <v>1756</v>
      </c>
      <c r="W18">
        <v>72</v>
      </c>
      <c r="X18">
        <v>72</v>
      </c>
      <c r="Y18" s="1" t="s">
        <v>1757</v>
      </c>
      <c r="Z18" s="2">
        <v>36999</v>
      </c>
      <c r="AA18" s="1" t="s">
        <v>2181</v>
      </c>
      <c r="AB18" s="1" t="s">
        <v>1755</v>
      </c>
      <c r="AC18" s="1" t="s">
        <v>2160</v>
      </c>
      <c r="AD18" s="1" t="s">
        <v>424</v>
      </c>
      <c r="AE18" s="1" t="s">
        <v>1760</v>
      </c>
      <c r="AF18" s="1" t="s">
        <v>2182</v>
      </c>
      <c r="AG18" s="1" t="s">
        <v>1762</v>
      </c>
      <c r="AH18" s="1" t="s">
        <v>2181</v>
      </c>
      <c r="AI18" s="1" t="s">
        <v>2181</v>
      </c>
      <c r="AJ18" s="1" t="s">
        <v>1763</v>
      </c>
      <c r="AK18" s="1" t="s">
        <v>1763</v>
      </c>
      <c r="AL18" s="1" t="s">
        <v>1763</v>
      </c>
      <c r="AM18" s="1" t="s">
        <v>2160</v>
      </c>
      <c r="AN18" s="1" t="s">
        <v>424</v>
      </c>
      <c r="AO18" s="1" t="s">
        <v>2183</v>
      </c>
      <c r="AP18" s="1" t="s">
        <v>1765</v>
      </c>
      <c r="AQ18" s="1" t="s">
        <v>1766</v>
      </c>
      <c r="AR18" s="1" t="s">
        <v>1767</v>
      </c>
      <c r="AS18" s="1" t="s">
        <v>1768</v>
      </c>
      <c r="AT18">
        <v>2010150922131390</v>
      </c>
      <c r="AU18" s="1" t="s">
        <v>1769</v>
      </c>
      <c r="AV18">
        <v>14741622551458</v>
      </c>
      <c r="AW18" s="1" t="s">
        <v>1770</v>
      </c>
      <c r="AX18" s="1" t="s">
        <v>1765</v>
      </c>
      <c r="AY18" s="1" t="s">
        <v>2184</v>
      </c>
      <c r="AZ18" s="1" t="s">
        <v>1897</v>
      </c>
      <c r="BA18" s="1" t="s">
        <v>2185</v>
      </c>
      <c r="BB18">
        <v>187</v>
      </c>
      <c r="BC18" s="1" t="s">
        <v>1774</v>
      </c>
      <c r="BD18" s="1" t="s">
        <v>1775</v>
      </c>
      <c r="BE18" s="1" t="s">
        <v>1776</v>
      </c>
      <c r="BF18" s="1" t="s">
        <v>1777</v>
      </c>
      <c r="BG18" s="1" t="s">
        <v>1778</v>
      </c>
      <c r="BH18" s="1" t="s">
        <v>1779</v>
      </c>
      <c r="BI18" s="1" t="s">
        <v>1779</v>
      </c>
      <c r="BJ18" s="1" t="s">
        <v>1780</v>
      </c>
      <c r="BK18" s="1" t="s">
        <v>1781</v>
      </c>
      <c r="BL18" s="1" t="s">
        <v>1754</v>
      </c>
      <c r="BM18" s="1" t="s">
        <v>1782</v>
      </c>
      <c r="BN18" s="1" t="s">
        <v>1783</v>
      </c>
      <c r="BO18" s="1" t="s">
        <v>1784</v>
      </c>
      <c r="BP18" s="1" t="s">
        <v>1785</v>
      </c>
      <c r="BQ18" s="1" t="s">
        <v>1786</v>
      </c>
      <c r="BR18" s="1" t="s">
        <v>2186</v>
      </c>
      <c r="BS18" s="1" t="s">
        <v>1788</v>
      </c>
      <c r="BT18" s="1" t="s">
        <v>2187</v>
      </c>
      <c r="BU18" s="1" t="s">
        <v>1790</v>
      </c>
      <c r="BV18" s="1" t="s">
        <v>2188</v>
      </c>
      <c r="BW18" s="1" t="s">
        <v>1790</v>
      </c>
      <c r="BX18" s="1" t="s">
        <v>2188</v>
      </c>
      <c r="BY18" s="1" t="s">
        <v>1792</v>
      </c>
      <c r="BZ18" s="1" t="s">
        <v>2189</v>
      </c>
      <c r="CA18" s="1" t="s">
        <v>1794</v>
      </c>
      <c r="CB18" s="1" t="s">
        <v>1795</v>
      </c>
      <c r="CC18" s="1" t="s">
        <v>1796</v>
      </c>
      <c r="CD18" s="1" t="s">
        <v>1797</v>
      </c>
      <c r="CE18" s="1" t="s">
        <v>1798</v>
      </c>
      <c r="CF18" s="1" t="s">
        <v>1799</v>
      </c>
      <c r="CG18" s="1" t="s">
        <v>1800</v>
      </c>
      <c r="CH18" s="1" t="s">
        <v>1794</v>
      </c>
      <c r="CI18" s="1" t="s">
        <v>1801</v>
      </c>
      <c r="CJ18" s="1" t="s">
        <v>1794</v>
      </c>
      <c r="CK18" s="1" t="s">
        <v>1802</v>
      </c>
      <c r="CL18" s="1" t="s">
        <v>1803</v>
      </c>
      <c r="CM18" s="1" t="s">
        <v>1804</v>
      </c>
      <c r="CN18" s="1" t="s">
        <v>1805</v>
      </c>
      <c r="CO18" s="1" t="s">
        <v>1794</v>
      </c>
      <c r="CP18" s="1" t="s">
        <v>1806</v>
      </c>
      <c r="CQ18" s="1" t="s">
        <v>1807</v>
      </c>
      <c r="CR18" s="1" t="s">
        <v>1808</v>
      </c>
      <c r="CS18" s="1" t="s">
        <v>1809</v>
      </c>
      <c r="CT18" s="1" t="s">
        <v>1810</v>
      </c>
      <c r="CU18" s="1" t="s">
        <v>1811</v>
      </c>
      <c r="CV18" s="1" t="s">
        <v>1812</v>
      </c>
      <c r="CW18" s="1" t="s">
        <v>1813</v>
      </c>
      <c r="CX18" s="1" t="s">
        <v>1814</v>
      </c>
      <c r="CY18" s="1" t="s">
        <v>1813</v>
      </c>
      <c r="CZ18" s="1" t="s">
        <v>1813</v>
      </c>
      <c r="DA18" s="1" t="s">
        <v>1775</v>
      </c>
      <c r="DB18" s="1" t="s">
        <v>1776</v>
      </c>
      <c r="DC18" s="1" t="s">
        <v>1752</v>
      </c>
      <c r="DD18" s="1" t="s">
        <v>1765</v>
      </c>
      <c r="DE18" s="1" t="s">
        <v>1815</v>
      </c>
      <c r="DF18" s="1" t="s">
        <v>1816</v>
      </c>
      <c r="DG18" s="1" t="s">
        <v>1817</v>
      </c>
      <c r="DH18" s="1" t="s">
        <v>1818</v>
      </c>
      <c r="DI18" s="1" t="s">
        <v>1819</v>
      </c>
      <c r="DJ18" s="1" t="s">
        <v>1820</v>
      </c>
      <c r="DK18" s="1" t="s">
        <v>1821</v>
      </c>
      <c r="DL18" s="1" t="s">
        <v>1822</v>
      </c>
      <c r="DM18" s="1" t="s">
        <v>1765</v>
      </c>
      <c r="DN18" s="1" t="s">
        <v>1765</v>
      </c>
      <c r="DO18" s="1" t="s">
        <v>1823</v>
      </c>
      <c r="DP18" s="1" t="s">
        <v>1824</v>
      </c>
      <c r="DQ18" s="1" t="s">
        <v>1824</v>
      </c>
      <c r="DR18" s="1" t="s">
        <v>1765</v>
      </c>
      <c r="DS18" s="1" t="s">
        <v>1825</v>
      </c>
      <c r="DT18" s="1" t="s">
        <v>1816</v>
      </c>
      <c r="DU18" s="1" t="s">
        <v>1826</v>
      </c>
      <c r="DV18" s="1" t="s">
        <v>2190</v>
      </c>
      <c r="DW18" s="1" t="s">
        <v>2170</v>
      </c>
      <c r="DX18" s="1" t="s">
        <v>2191</v>
      </c>
      <c r="DY18" s="1" t="s">
        <v>424</v>
      </c>
      <c r="DZ18" s="1" t="s">
        <v>1752</v>
      </c>
      <c r="EA18" s="1" t="s">
        <v>218</v>
      </c>
      <c r="EB18" s="1" t="s">
        <v>892</v>
      </c>
      <c r="EC18" s="1" t="s">
        <v>2160</v>
      </c>
      <c r="ED18" s="1" t="s">
        <v>2192</v>
      </c>
      <c r="EE18" s="1" t="s">
        <v>2192</v>
      </c>
      <c r="EF18" s="1" t="s">
        <v>2193</v>
      </c>
      <c r="EG18" s="1" t="s">
        <v>2194</v>
      </c>
      <c r="EH18" s="1" t="s">
        <v>2195</v>
      </c>
      <c r="EI18" s="1" t="s">
        <v>2196</v>
      </c>
      <c r="EJ18" s="1" t="s">
        <v>2197</v>
      </c>
      <c r="EK18" s="1" t="s">
        <v>1836</v>
      </c>
      <c r="EL18" s="1" t="s">
        <v>1837</v>
      </c>
      <c r="EM18" s="1" t="s">
        <v>1838</v>
      </c>
      <c r="EN18" s="1" t="s">
        <v>2198</v>
      </c>
      <c r="EO18" s="1" t="s">
        <v>1840</v>
      </c>
      <c r="EP18" s="1" t="s">
        <v>2199</v>
      </c>
      <c r="EQ18" s="1" t="s">
        <v>1782</v>
      </c>
      <c r="ER18" s="1" t="s">
        <v>1802</v>
      </c>
      <c r="ES18" s="1" t="s">
        <v>1802</v>
      </c>
      <c r="ET18" s="1" t="s">
        <v>1802</v>
      </c>
      <c r="EU18" s="1" t="s">
        <v>1802</v>
      </c>
      <c r="EV18" s="1" t="s">
        <v>1802</v>
      </c>
      <c r="EW18" s="1" t="s">
        <v>1802</v>
      </c>
      <c r="EX18" s="1" t="s">
        <v>1802</v>
      </c>
      <c r="EY18" s="1" t="s">
        <v>1802</v>
      </c>
      <c r="EZ18" s="1" t="s">
        <v>1802</v>
      </c>
      <c r="FA18" s="1" t="s">
        <v>1802</v>
      </c>
      <c r="FB18" s="1" t="s">
        <v>1802</v>
      </c>
      <c r="FC18" s="1" t="s">
        <v>1802</v>
      </c>
      <c r="FD18" s="1" t="s">
        <v>1802</v>
      </c>
      <c r="FE18" s="1" t="s">
        <v>1802</v>
      </c>
      <c r="FF18" s="1" t="s">
        <v>1802</v>
      </c>
      <c r="FG18" s="1" t="s">
        <v>1802</v>
      </c>
      <c r="FH18" s="1" t="s">
        <v>1802</v>
      </c>
      <c r="FI18" s="1" t="s">
        <v>1802</v>
      </c>
      <c r="FJ18" s="1" t="s">
        <v>1802</v>
      </c>
      <c r="FK18" s="1" t="s">
        <v>1802</v>
      </c>
      <c r="FL18" s="1" t="s">
        <v>1802</v>
      </c>
      <c r="FM18" s="1" t="s">
        <v>1802</v>
      </c>
      <c r="FN18" s="1" t="s">
        <v>1802</v>
      </c>
      <c r="FO18" s="1" t="s">
        <v>1802</v>
      </c>
      <c r="FP18" s="1" t="s">
        <v>1802</v>
      </c>
      <c r="FQ18" s="1" t="s">
        <v>1802</v>
      </c>
      <c r="FR18" s="2"/>
      <c r="FS18" s="1" t="s">
        <v>1802</v>
      </c>
    </row>
    <row r="19" spans="1:175" x14ac:dyDescent="0.3">
      <c r="A19" s="1" t="s">
        <v>2200</v>
      </c>
      <c r="B19" s="1" t="s">
        <v>1739</v>
      </c>
      <c r="C19" s="1" t="s">
        <v>398</v>
      </c>
      <c r="D19" s="1" t="s">
        <v>1740</v>
      </c>
      <c r="E19" s="1" t="s">
        <v>2201</v>
      </c>
      <c r="F19" s="1" t="s">
        <v>2202</v>
      </c>
      <c r="G19" s="1" t="s">
        <v>2202</v>
      </c>
      <c r="H19" s="1" t="s">
        <v>2203</v>
      </c>
      <c r="I19" s="1" t="s">
        <v>1744</v>
      </c>
      <c r="J19" s="1" t="s">
        <v>1745</v>
      </c>
      <c r="K19" s="1" t="s">
        <v>1746</v>
      </c>
      <c r="L19" s="1" t="s">
        <v>1747</v>
      </c>
      <c r="M19" s="1" t="s">
        <v>1748</v>
      </c>
      <c r="N19" s="1" t="s">
        <v>1749</v>
      </c>
      <c r="O19" s="1" t="s">
        <v>1750</v>
      </c>
      <c r="P19" s="1" t="s">
        <v>1751</v>
      </c>
      <c r="Q19">
        <v>49</v>
      </c>
      <c r="R19" s="1" t="s">
        <v>1752</v>
      </c>
      <c r="S19" s="1" t="s">
        <v>1753</v>
      </c>
      <c r="T19" s="1" t="s">
        <v>1754</v>
      </c>
      <c r="U19" s="1" t="s">
        <v>1755</v>
      </c>
      <c r="V19" s="1" t="s">
        <v>1756</v>
      </c>
      <c r="W19">
        <v>72</v>
      </c>
      <c r="X19">
        <v>72</v>
      </c>
      <c r="Y19" s="1" t="s">
        <v>1757</v>
      </c>
      <c r="Z19" s="2">
        <v>36999</v>
      </c>
      <c r="AA19" s="1" t="s">
        <v>2204</v>
      </c>
      <c r="AB19" s="1" t="s">
        <v>1755</v>
      </c>
      <c r="AC19" s="1" t="s">
        <v>2205</v>
      </c>
      <c r="AD19" s="1" t="s">
        <v>424</v>
      </c>
      <c r="AE19" s="1" t="s">
        <v>1760</v>
      </c>
      <c r="AF19" s="1" t="s">
        <v>2206</v>
      </c>
      <c r="AG19" s="1" t="s">
        <v>1762</v>
      </c>
      <c r="AH19" s="1" t="s">
        <v>2204</v>
      </c>
      <c r="AI19" s="1" t="s">
        <v>2204</v>
      </c>
      <c r="AJ19" s="1" t="s">
        <v>1763</v>
      </c>
      <c r="AK19" s="1" t="s">
        <v>1763</v>
      </c>
      <c r="AL19" s="1" t="s">
        <v>1763</v>
      </c>
      <c r="AM19" s="1" t="s">
        <v>2205</v>
      </c>
      <c r="AN19" s="1" t="s">
        <v>424</v>
      </c>
      <c r="AO19" s="1" t="s">
        <v>2207</v>
      </c>
      <c r="AP19" s="1" t="s">
        <v>2208</v>
      </c>
      <c r="AQ19" s="1" t="s">
        <v>1766</v>
      </c>
      <c r="AR19" s="1" t="s">
        <v>1767</v>
      </c>
      <c r="AS19" s="1" t="s">
        <v>1768</v>
      </c>
      <c r="AT19">
        <v>2010150922131390</v>
      </c>
      <c r="AU19" s="1" t="s">
        <v>1769</v>
      </c>
      <c r="AV19">
        <v>14745184380500</v>
      </c>
      <c r="AW19" s="1" t="s">
        <v>1770</v>
      </c>
      <c r="AX19" s="1" t="s">
        <v>1765</v>
      </c>
      <c r="AY19" s="1" t="s">
        <v>2209</v>
      </c>
      <c r="AZ19" s="1" t="s">
        <v>1772</v>
      </c>
      <c r="BA19" s="1" t="s">
        <v>2210</v>
      </c>
      <c r="BB19">
        <v>460</v>
      </c>
      <c r="BC19" s="1" t="s">
        <v>1774</v>
      </c>
      <c r="BD19" s="1" t="s">
        <v>1775</v>
      </c>
      <c r="BE19" s="1" t="s">
        <v>1776</v>
      </c>
      <c r="BF19" s="1" t="s">
        <v>1777</v>
      </c>
      <c r="BG19" s="1" t="s">
        <v>1778</v>
      </c>
      <c r="BH19" s="1" t="s">
        <v>1779</v>
      </c>
      <c r="BI19" s="1" t="s">
        <v>1779</v>
      </c>
      <c r="BJ19" s="1" t="s">
        <v>1780</v>
      </c>
      <c r="BK19" s="1" t="s">
        <v>1781</v>
      </c>
      <c r="BL19" s="1" t="s">
        <v>1754</v>
      </c>
      <c r="BM19" s="1" t="s">
        <v>1782</v>
      </c>
      <c r="BN19" s="1" t="s">
        <v>1784</v>
      </c>
      <c r="BO19" s="1" t="s">
        <v>1785</v>
      </c>
      <c r="BP19" s="1" t="s">
        <v>1786</v>
      </c>
      <c r="BQ19" s="1" t="s">
        <v>2211</v>
      </c>
      <c r="BR19" s="1" t="s">
        <v>1788</v>
      </c>
      <c r="BS19" s="1" t="s">
        <v>1765</v>
      </c>
      <c r="BT19" s="1" t="s">
        <v>1790</v>
      </c>
      <c r="BU19" s="1" t="s">
        <v>2212</v>
      </c>
      <c r="BV19" s="1" t="s">
        <v>1790</v>
      </c>
      <c r="BW19" s="1" t="s">
        <v>2212</v>
      </c>
      <c r="BX19" s="1" t="s">
        <v>1792</v>
      </c>
      <c r="BY19" s="1" t="s">
        <v>2213</v>
      </c>
      <c r="BZ19" s="1" t="s">
        <v>1794</v>
      </c>
      <c r="CA19" s="1" t="s">
        <v>1795</v>
      </c>
      <c r="CB19" s="1" t="s">
        <v>1796</v>
      </c>
      <c r="CC19" s="1" t="s">
        <v>1797</v>
      </c>
      <c r="CD19" s="1" t="s">
        <v>1798</v>
      </c>
      <c r="CE19" s="1" t="s">
        <v>1799</v>
      </c>
      <c r="CF19" s="1" t="s">
        <v>1800</v>
      </c>
      <c r="CG19" s="1" t="s">
        <v>1794</v>
      </c>
      <c r="CH19" s="1" t="s">
        <v>1801</v>
      </c>
      <c r="CI19" s="1" t="s">
        <v>1794</v>
      </c>
      <c r="CJ19" s="1" t="s">
        <v>1802</v>
      </c>
      <c r="CK19" s="1" t="s">
        <v>1803</v>
      </c>
      <c r="CL19" s="1" t="s">
        <v>1804</v>
      </c>
      <c r="CM19" s="1" t="s">
        <v>1805</v>
      </c>
      <c r="CN19" s="1" t="s">
        <v>1794</v>
      </c>
      <c r="CO19" s="1" t="s">
        <v>1806</v>
      </c>
      <c r="CP19" s="1" t="s">
        <v>1807</v>
      </c>
      <c r="CQ19" s="1" t="s">
        <v>1808</v>
      </c>
      <c r="CR19" s="1" t="s">
        <v>1809</v>
      </c>
      <c r="CS19" s="1" t="s">
        <v>1810</v>
      </c>
      <c r="CT19" s="1" t="s">
        <v>1811</v>
      </c>
      <c r="CU19" s="1" t="s">
        <v>1812</v>
      </c>
      <c r="CV19" s="1" t="s">
        <v>1813</v>
      </c>
      <c r="CW19" s="1" t="s">
        <v>1814</v>
      </c>
      <c r="CX19" s="1" t="s">
        <v>1813</v>
      </c>
      <c r="CY19" s="1" t="s">
        <v>1813</v>
      </c>
      <c r="CZ19" s="1" t="s">
        <v>1775</v>
      </c>
      <c r="DA19" s="1" t="s">
        <v>1776</v>
      </c>
      <c r="DB19" s="1" t="s">
        <v>1752</v>
      </c>
      <c r="DC19" s="1" t="s">
        <v>1765</v>
      </c>
      <c r="DD19" s="1" t="s">
        <v>1815</v>
      </c>
      <c r="DE19" s="1" t="s">
        <v>1816</v>
      </c>
      <c r="DF19" s="1" t="s">
        <v>1817</v>
      </c>
      <c r="DG19" s="1" t="s">
        <v>1818</v>
      </c>
      <c r="DH19" s="1" t="s">
        <v>1819</v>
      </c>
      <c r="DI19" s="1" t="s">
        <v>1820</v>
      </c>
      <c r="DJ19" s="1" t="s">
        <v>1821</v>
      </c>
      <c r="DK19" s="1" t="s">
        <v>1822</v>
      </c>
      <c r="DL19" s="1" t="s">
        <v>1765</v>
      </c>
      <c r="DM19" s="1" t="s">
        <v>1765</v>
      </c>
      <c r="DN19" s="1" t="s">
        <v>1823</v>
      </c>
      <c r="DO19" s="1" t="s">
        <v>1824</v>
      </c>
      <c r="DP19" s="1" t="s">
        <v>1824</v>
      </c>
      <c r="DQ19" s="1" t="s">
        <v>1765</v>
      </c>
      <c r="DR19" s="1" t="s">
        <v>1825</v>
      </c>
      <c r="DS19" s="1" t="s">
        <v>1816</v>
      </c>
      <c r="DT19" s="1" t="s">
        <v>1826</v>
      </c>
      <c r="DU19" s="1" t="s">
        <v>2214</v>
      </c>
      <c r="DV19" s="1" t="s">
        <v>2170</v>
      </c>
      <c r="DW19" s="1" t="s">
        <v>2215</v>
      </c>
      <c r="DX19" s="1" t="s">
        <v>424</v>
      </c>
      <c r="DY19" s="1" t="s">
        <v>1752</v>
      </c>
      <c r="DZ19" s="1" t="s">
        <v>218</v>
      </c>
      <c r="EA19" s="1" t="s">
        <v>892</v>
      </c>
      <c r="EB19" s="1" t="s">
        <v>2205</v>
      </c>
      <c r="EC19" s="1" t="s">
        <v>2216</v>
      </c>
      <c r="ED19" s="1" t="s">
        <v>2216</v>
      </c>
      <c r="EE19" s="1" t="s">
        <v>2217</v>
      </c>
      <c r="EF19" s="1" t="s">
        <v>2218</v>
      </c>
      <c r="EG19" s="1" t="s">
        <v>2219</v>
      </c>
      <c r="EH19" s="1" t="s">
        <v>2220</v>
      </c>
      <c r="EI19" s="1" t="s">
        <v>2221</v>
      </c>
      <c r="EJ19" s="1" t="s">
        <v>1836</v>
      </c>
      <c r="EK19" s="1" t="s">
        <v>1837</v>
      </c>
      <c r="EL19" s="1" t="s">
        <v>1838</v>
      </c>
      <c r="EM19" s="1" t="s">
        <v>2222</v>
      </c>
      <c r="EN19" s="1" t="s">
        <v>1840</v>
      </c>
      <c r="EO19" s="1" t="s">
        <v>36</v>
      </c>
      <c r="EP19" s="1" t="s">
        <v>1782</v>
      </c>
      <c r="EQ19" s="1" t="s">
        <v>1802</v>
      </c>
      <c r="ER19" s="1" t="s">
        <v>1802</v>
      </c>
      <c r="ES19" s="1" t="s">
        <v>1802</v>
      </c>
      <c r="ET19" s="1" t="s">
        <v>1802</v>
      </c>
      <c r="EU19" s="1" t="s">
        <v>1802</v>
      </c>
      <c r="EV19" s="1" t="s">
        <v>1802</v>
      </c>
      <c r="EW19" s="1" t="s">
        <v>1802</v>
      </c>
      <c r="EX19" s="1" t="s">
        <v>1802</v>
      </c>
      <c r="EY19" s="1" t="s">
        <v>1802</v>
      </c>
      <c r="EZ19" s="1" t="s">
        <v>1802</v>
      </c>
      <c r="FA19" s="1" t="s">
        <v>1802</v>
      </c>
      <c r="FB19" s="1" t="s">
        <v>1802</v>
      </c>
      <c r="FC19" s="1" t="s">
        <v>1802</v>
      </c>
      <c r="FD19" s="1" t="s">
        <v>1802</v>
      </c>
      <c r="FE19" s="1" t="s">
        <v>1802</v>
      </c>
      <c r="FF19" s="1" t="s">
        <v>1802</v>
      </c>
      <c r="FG19" s="1" t="s">
        <v>1802</v>
      </c>
      <c r="FH19" s="1" t="s">
        <v>1802</v>
      </c>
      <c r="FI19" s="1" t="s">
        <v>1802</v>
      </c>
      <c r="FJ19" s="1" t="s">
        <v>1802</v>
      </c>
      <c r="FK19" s="1" t="s">
        <v>1802</v>
      </c>
      <c r="FL19" s="1" t="s">
        <v>1802</v>
      </c>
      <c r="FM19" s="1" t="s">
        <v>1802</v>
      </c>
      <c r="FN19" s="1" t="s">
        <v>1802</v>
      </c>
      <c r="FO19" s="1" t="s">
        <v>1802</v>
      </c>
      <c r="FP19" s="1" t="s">
        <v>1802</v>
      </c>
      <c r="FQ19" s="1" t="s">
        <v>1802</v>
      </c>
      <c r="FR19" s="2"/>
      <c r="FS19" s="1" t="s">
        <v>1802</v>
      </c>
    </row>
    <row r="20" spans="1:175" x14ac:dyDescent="0.3">
      <c r="A20" s="1" t="s">
        <v>2223</v>
      </c>
      <c r="B20" s="1" t="s">
        <v>1739</v>
      </c>
      <c r="C20" s="1" t="s">
        <v>417</v>
      </c>
      <c r="D20" s="1" t="s">
        <v>1740</v>
      </c>
      <c r="E20" s="1" t="s">
        <v>2002</v>
      </c>
      <c r="F20" s="1" t="s">
        <v>2224</v>
      </c>
      <c r="G20" s="1" t="s">
        <v>2224</v>
      </c>
      <c r="H20" s="1" t="s">
        <v>2225</v>
      </c>
      <c r="I20" s="1" t="s">
        <v>1744</v>
      </c>
      <c r="J20" s="1" t="s">
        <v>1745</v>
      </c>
      <c r="K20" s="1" t="s">
        <v>1746</v>
      </c>
      <c r="L20" s="1" t="s">
        <v>1747</v>
      </c>
      <c r="M20" s="1" t="s">
        <v>1748</v>
      </c>
      <c r="N20" s="1" t="s">
        <v>1749</v>
      </c>
      <c r="O20" s="1" t="s">
        <v>1750</v>
      </c>
      <c r="P20" s="1" t="s">
        <v>1751</v>
      </c>
      <c r="Q20">
        <v>49</v>
      </c>
      <c r="R20" s="1" t="s">
        <v>1752</v>
      </c>
      <c r="S20" s="1" t="s">
        <v>1753</v>
      </c>
      <c r="T20" s="1" t="s">
        <v>1754</v>
      </c>
      <c r="U20" s="1" t="s">
        <v>1755</v>
      </c>
      <c r="V20" s="1" t="s">
        <v>1756</v>
      </c>
      <c r="W20">
        <v>72</v>
      </c>
      <c r="X20">
        <v>72</v>
      </c>
      <c r="Y20" s="1" t="s">
        <v>1757</v>
      </c>
      <c r="Z20" s="2">
        <v>36999</v>
      </c>
      <c r="AA20" s="1" t="s">
        <v>2226</v>
      </c>
      <c r="AB20" s="1" t="s">
        <v>1755</v>
      </c>
      <c r="AC20" s="1" t="s">
        <v>2227</v>
      </c>
      <c r="AD20" s="1" t="s">
        <v>424</v>
      </c>
      <c r="AE20" s="1" t="s">
        <v>1760</v>
      </c>
      <c r="AF20" s="1" t="s">
        <v>1761</v>
      </c>
      <c r="AG20" s="1" t="s">
        <v>1762</v>
      </c>
      <c r="AH20" s="1" t="s">
        <v>2226</v>
      </c>
      <c r="AI20" s="1" t="s">
        <v>2226</v>
      </c>
      <c r="AJ20" s="1" t="s">
        <v>1763</v>
      </c>
      <c r="AK20" s="1" t="s">
        <v>1763</v>
      </c>
      <c r="AL20" s="1" t="s">
        <v>1763</v>
      </c>
      <c r="AM20" s="1" t="s">
        <v>2227</v>
      </c>
      <c r="AN20" s="1" t="s">
        <v>424</v>
      </c>
      <c r="AO20" s="1" t="s">
        <v>2228</v>
      </c>
      <c r="AP20" s="1" t="s">
        <v>1765</v>
      </c>
      <c r="AQ20" s="1" t="s">
        <v>1766</v>
      </c>
      <c r="AR20" s="1" t="s">
        <v>1767</v>
      </c>
      <c r="AS20" s="1" t="s">
        <v>1768</v>
      </c>
      <c r="AT20">
        <v>2010150922131390</v>
      </c>
      <c r="AU20" s="1" t="s">
        <v>1769</v>
      </c>
      <c r="AV20">
        <v>21554378388166</v>
      </c>
      <c r="AW20" s="1" t="s">
        <v>1770</v>
      </c>
      <c r="AX20" s="1" t="s">
        <v>1765</v>
      </c>
      <c r="AY20" s="1" t="s">
        <v>2229</v>
      </c>
      <c r="AZ20" s="1" t="s">
        <v>1897</v>
      </c>
      <c r="BA20" s="1" t="s">
        <v>2230</v>
      </c>
      <c r="BB20">
        <v>729</v>
      </c>
      <c r="BC20" s="1" t="s">
        <v>1774</v>
      </c>
      <c r="BD20" s="1" t="s">
        <v>1775</v>
      </c>
      <c r="BE20" s="1" t="s">
        <v>1776</v>
      </c>
      <c r="BF20" s="1" t="s">
        <v>1777</v>
      </c>
      <c r="BG20" s="1" t="s">
        <v>1778</v>
      </c>
      <c r="BH20" s="1" t="s">
        <v>1779</v>
      </c>
      <c r="BI20" s="1" t="s">
        <v>1779</v>
      </c>
      <c r="BJ20" s="1" t="s">
        <v>1780</v>
      </c>
      <c r="BK20" s="1" t="s">
        <v>1781</v>
      </c>
      <c r="BL20" s="1" t="s">
        <v>1754</v>
      </c>
      <c r="BM20" s="1" t="s">
        <v>1782</v>
      </c>
      <c r="BN20" s="1" t="s">
        <v>1783</v>
      </c>
      <c r="BO20" s="1" t="s">
        <v>1784</v>
      </c>
      <c r="BP20" s="1" t="s">
        <v>1785</v>
      </c>
      <c r="BQ20" s="1" t="s">
        <v>1786</v>
      </c>
      <c r="BR20" s="1" t="s">
        <v>2231</v>
      </c>
      <c r="BS20" s="1" t="s">
        <v>1788</v>
      </c>
      <c r="BT20" s="1" t="s">
        <v>2232</v>
      </c>
      <c r="BU20" s="1" t="s">
        <v>1790</v>
      </c>
      <c r="BV20" s="1" t="s">
        <v>2233</v>
      </c>
      <c r="BW20" s="1" t="s">
        <v>1790</v>
      </c>
      <c r="BX20" s="1" t="s">
        <v>2233</v>
      </c>
      <c r="BY20" s="1" t="s">
        <v>2234</v>
      </c>
      <c r="BZ20" s="1" t="s">
        <v>2235</v>
      </c>
      <c r="CA20" s="1" t="s">
        <v>1794</v>
      </c>
      <c r="CB20" s="1" t="s">
        <v>1795</v>
      </c>
      <c r="CC20" s="1" t="s">
        <v>1796</v>
      </c>
      <c r="CD20" s="1" t="s">
        <v>1797</v>
      </c>
      <c r="CE20" s="1" t="s">
        <v>1798</v>
      </c>
      <c r="CF20" s="1" t="s">
        <v>1799</v>
      </c>
      <c r="CG20" s="1" t="s">
        <v>1800</v>
      </c>
      <c r="CH20" s="1" t="s">
        <v>1794</v>
      </c>
      <c r="CI20" s="1" t="s">
        <v>1801</v>
      </c>
      <c r="CJ20" s="1" t="s">
        <v>1794</v>
      </c>
      <c r="CK20" s="1" t="s">
        <v>1802</v>
      </c>
      <c r="CL20" s="1" t="s">
        <v>1803</v>
      </c>
      <c r="CM20" s="1" t="s">
        <v>1804</v>
      </c>
      <c r="CN20" s="1" t="s">
        <v>1805</v>
      </c>
      <c r="CO20" s="1" t="s">
        <v>1794</v>
      </c>
      <c r="CP20" s="1" t="s">
        <v>1806</v>
      </c>
      <c r="CQ20" s="1" t="s">
        <v>1807</v>
      </c>
      <c r="CR20" s="1" t="s">
        <v>1808</v>
      </c>
      <c r="CS20" s="1" t="s">
        <v>1809</v>
      </c>
      <c r="CT20" s="1" t="s">
        <v>1810</v>
      </c>
      <c r="CU20" s="1" t="s">
        <v>1811</v>
      </c>
      <c r="CV20" s="1" t="s">
        <v>1812</v>
      </c>
      <c r="CW20" s="1" t="s">
        <v>1813</v>
      </c>
      <c r="CX20" s="1" t="s">
        <v>1814</v>
      </c>
      <c r="CY20" s="1" t="s">
        <v>1813</v>
      </c>
      <c r="CZ20" s="1" t="s">
        <v>1813</v>
      </c>
      <c r="DA20" s="1" t="s">
        <v>1775</v>
      </c>
      <c r="DB20" s="1" t="s">
        <v>1776</v>
      </c>
      <c r="DC20" s="1" t="s">
        <v>1752</v>
      </c>
      <c r="DD20" s="1" t="s">
        <v>1765</v>
      </c>
      <c r="DE20" s="1" t="s">
        <v>1815</v>
      </c>
      <c r="DF20" s="1" t="s">
        <v>1816</v>
      </c>
      <c r="DG20" s="1" t="s">
        <v>1817</v>
      </c>
      <c r="DH20" s="1" t="s">
        <v>1818</v>
      </c>
      <c r="DI20" s="1" t="s">
        <v>1819</v>
      </c>
      <c r="DJ20" s="1" t="s">
        <v>1820</v>
      </c>
      <c r="DK20" s="1" t="s">
        <v>1821</v>
      </c>
      <c r="DL20" s="1" t="s">
        <v>1822</v>
      </c>
      <c r="DM20" s="1" t="s">
        <v>1765</v>
      </c>
      <c r="DN20" s="1" t="s">
        <v>1765</v>
      </c>
      <c r="DO20" s="1" t="s">
        <v>1823</v>
      </c>
      <c r="DP20" s="1" t="s">
        <v>1824</v>
      </c>
      <c r="DQ20" s="1" t="s">
        <v>1824</v>
      </c>
      <c r="DR20" s="1" t="s">
        <v>1765</v>
      </c>
      <c r="DS20" s="1" t="s">
        <v>1825</v>
      </c>
      <c r="DT20" s="1" t="s">
        <v>1816</v>
      </c>
      <c r="DU20" s="1" t="s">
        <v>1826</v>
      </c>
      <c r="DV20" s="1" t="s">
        <v>2236</v>
      </c>
      <c r="DW20" s="1" t="s">
        <v>1828</v>
      </c>
      <c r="DX20" s="1" t="s">
        <v>2237</v>
      </c>
      <c r="DY20" s="1" t="s">
        <v>424</v>
      </c>
      <c r="DZ20" s="1" t="s">
        <v>1752</v>
      </c>
      <c r="EA20" s="1" t="s">
        <v>218</v>
      </c>
      <c r="EB20" s="1" t="s">
        <v>892</v>
      </c>
      <c r="EC20" s="1" t="s">
        <v>2227</v>
      </c>
      <c r="ED20" s="1" t="s">
        <v>2238</v>
      </c>
      <c r="EE20" s="1" t="s">
        <v>2238</v>
      </c>
      <c r="EF20" s="1" t="s">
        <v>2239</v>
      </c>
      <c r="EG20" s="1" t="s">
        <v>1973</v>
      </c>
      <c r="EH20" s="1" t="s">
        <v>2240</v>
      </c>
      <c r="EI20" s="1" t="s">
        <v>2241</v>
      </c>
      <c r="EJ20" s="1" t="s">
        <v>2242</v>
      </c>
      <c r="EK20" s="1" t="s">
        <v>1836</v>
      </c>
      <c r="EL20" s="1" t="s">
        <v>1837</v>
      </c>
      <c r="EM20" s="1" t="s">
        <v>1838</v>
      </c>
      <c r="EN20" s="1" t="s">
        <v>2243</v>
      </c>
      <c r="EO20" s="1" t="s">
        <v>1840</v>
      </c>
      <c r="EP20" s="1" t="s">
        <v>2244</v>
      </c>
      <c r="EQ20" s="1" t="s">
        <v>1782</v>
      </c>
      <c r="ER20" s="1" t="s">
        <v>1802</v>
      </c>
      <c r="ES20" s="1" t="s">
        <v>1802</v>
      </c>
      <c r="ET20" s="1" t="s">
        <v>1802</v>
      </c>
      <c r="EU20" s="1" t="s">
        <v>1802</v>
      </c>
      <c r="EV20" s="1" t="s">
        <v>1802</v>
      </c>
      <c r="EW20" s="1" t="s">
        <v>1802</v>
      </c>
      <c r="EX20" s="1" t="s">
        <v>1802</v>
      </c>
      <c r="EY20" s="1" t="s">
        <v>1802</v>
      </c>
      <c r="EZ20" s="1" t="s">
        <v>1802</v>
      </c>
      <c r="FA20" s="1" t="s">
        <v>1802</v>
      </c>
      <c r="FB20" s="1" t="s">
        <v>1802</v>
      </c>
      <c r="FC20" s="1" t="s">
        <v>1802</v>
      </c>
      <c r="FD20" s="1" t="s">
        <v>1802</v>
      </c>
      <c r="FE20" s="1" t="s">
        <v>1802</v>
      </c>
      <c r="FF20" s="1" t="s">
        <v>1802</v>
      </c>
      <c r="FG20" s="1" t="s">
        <v>1802</v>
      </c>
      <c r="FH20" s="1" t="s">
        <v>1802</v>
      </c>
      <c r="FI20" s="1" t="s">
        <v>1802</v>
      </c>
      <c r="FJ20" s="1" t="s">
        <v>1802</v>
      </c>
      <c r="FK20" s="1" t="s">
        <v>1802</v>
      </c>
      <c r="FL20" s="1" t="s">
        <v>1802</v>
      </c>
      <c r="FM20" s="1" t="s">
        <v>1802</v>
      </c>
      <c r="FN20" s="1" t="s">
        <v>1802</v>
      </c>
      <c r="FO20" s="1" t="s">
        <v>1802</v>
      </c>
      <c r="FP20" s="1" t="s">
        <v>1802</v>
      </c>
      <c r="FQ20" s="1" t="s">
        <v>1802</v>
      </c>
      <c r="FR20" s="2"/>
      <c r="FS20" s="1" t="s">
        <v>1802</v>
      </c>
    </row>
    <row r="21" spans="1:175" x14ac:dyDescent="0.3">
      <c r="A21" s="1" t="s">
        <v>2245</v>
      </c>
      <c r="B21" s="1" t="s">
        <v>1739</v>
      </c>
      <c r="C21" s="1" t="s">
        <v>438</v>
      </c>
      <c r="D21" s="1" t="s">
        <v>1740</v>
      </c>
      <c r="E21" s="1" t="s">
        <v>1913</v>
      </c>
      <c r="F21" s="1" t="s">
        <v>2246</v>
      </c>
      <c r="G21" s="1" t="s">
        <v>2246</v>
      </c>
      <c r="H21" s="1" t="s">
        <v>2247</v>
      </c>
      <c r="I21" s="1" t="s">
        <v>1744</v>
      </c>
      <c r="J21" s="1" t="s">
        <v>1745</v>
      </c>
      <c r="K21" s="1" t="s">
        <v>1746</v>
      </c>
      <c r="L21" s="1" t="s">
        <v>1747</v>
      </c>
      <c r="M21" s="1" t="s">
        <v>1748</v>
      </c>
      <c r="N21" s="1" t="s">
        <v>1749</v>
      </c>
      <c r="O21" s="1" t="s">
        <v>1750</v>
      </c>
      <c r="P21" s="1" t="s">
        <v>1751</v>
      </c>
      <c r="Q21">
        <v>49</v>
      </c>
      <c r="R21" s="1" t="s">
        <v>1752</v>
      </c>
      <c r="S21" s="1" t="s">
        <v>1753</v>
      </c>
      <c r="T21" s="1" t="s">
        <v>1754</v>
      </c>
      <c r="U21" s="1" t="s">
        <v>1755</v>
      </c>
      <c r="V21" s="1" t="s">
        <v>1756</v>
      </c>
      <c r="W21">
        <v>72</v>
      </c>
      <c r="X21">
        <v>72</v>
      </c>
      <c r="Y21" s="1" t="s">
        <v>1757</v>
      </c>
      <c r="Z21" s="2">
        <v>36999</v>
      </c>
      <c r="AA21" s="1" t="s">
        <v>2248</v>
      </c>
      <c r="AB21" s="1" t="s">
        <v>1755</v>
      </c>
      <c r="AC21" s="1" t="s">
        <v>2249</v>
      </c>
      <c r="AD21" s="1" t="s">
        <v>424</v>
      </c>
      <c r="AE21" s="1" t="s">
        <v>1760</v>
      </c>
      <c r="AF21" s="1" t="s">
        <v>1761</v>
      </c>
      <c r="AG21" s="1" t="s">
        <v>1762</v>
      </c>
      <c r="AH21" s="1" t="s">
        <v>2248</v>
      </c>
      <c r="AI21" s="1" t="s">
        <v>2248</v>
      </c>
      <c r="AJ21" s="1" t="s">
        <v>1763</v>
      </c>
      <c r="AK21" s="1" t="s">
        <v>1763</v>
      </c>
      <c r="AL21" s="1" t="s">
        <v>1763</v>
      </c>
      <c r="AM21" s="1" t="s">
        <v>2249</v>
      </c>
      <c r="AN21" s="1" t="s">
        <v>424</v>
      </c>
      <c r="AO21" s="1" t="s">
        <v>2250</v>
      </c>
      <c r="AP21" s="1" t="s">
        <v>1765</v>
      </c>
      <c r="AQ21" s="1" t="s">
        <v>1766</v>
      </c>
      <c r="AR21" s="1" t="s">
        <v>1767</v>
      </c>
      <c r="AS21" s="1" t="s">
        <v>1768</v>
      </c>
      <c r="AT21">
        <v>2010150922131390</v>
      </c>
      <c r="AU21" s="1" t="s">
        <v>1769</v>
      </c>
      <c r="AV21">
        <v>25407141134458</v>
      </c>
      <c r="AW21" s="1" t="s">
        <v>1770</v>
      </c>
      <c r="AX21" s="1" t="s">
        <v>1765</v>
      </c>
      <c r="AY21" s="1" t="s">
        <v>2251</v>
      </c>
      <c r="AZ21" s="1" t="s">
        <v>1897</v>
      </c>
      <c r="BA21" s="1" t="s">
        <v>1987</v>
      </c>
      <c r="BB21">
        <v>401</v>
      </c>
      <c r="BC21" s="1" t="s">
        <v>1774</v>
      </c>
      <c r="BD21" s="1" t="s">
        <v>1775</v>
      </c>
      <c r="BE21" s="1" t="s">
        <v>1776</v>
      </c>
      <c r="BF21" s="1" t="s">
        <v>1777</v>
      </c>
      <c r="BG21" s="1" t="s">
        <v>1778</v>
      </c>
      <c r="BH21" s="1" t="s">
        <v>1779</v>
      </c>
      <c r="BI21" s="1" t="s">
        <v>1779</v>
      </c>
      <c r="BJ21" s="1" t="s">
        <v>1780</v>
      </c>
      <c r="BK21" s="1" t="s">
        <v>1781</v>
      </c>
      <c r="BL21" s="1" t="s">
        <v>1754</v>
      </c>
      <c r="BM21" s="1" t="s">
        <v>1782</v>
      </c>
      <c r="BN21" s="1" t="s">
        <v>1783</v>
      </c>
      <c r="BO21" s="1" t="s">
        <v>1784</v>
      </c>
      <c r="BP21" s="1" t="s">
        <v>1785</v>
      </c>
      <c r="BQ21" s="1" t="s">
        <v>1786</v>
      </c>
      <c r="BR21" s="1" t="s">
        <v>2252</v>
      </c>
      <c r="BS21" s="1" t="s">
        <v>1788</v>
      </c>
      <c r="BT21" s="1" t="s">
        <v>2253</v>
      </c>
      <c r="BU21" s="1" t="s">
        <v>1790</v>
      </c>
      <c r="BV21" s="1" t="s">
        <v>2254</v>
      </c>
      <c r="BW21" s="1" t="s">
        <v>1790</v>
      </c>
      <c r="BX21" s="1" t="s">
        <v>2254</v>
      </c>
      <c r="BY21" s="1" t="s">
        <v>2234</v>
      </c>
      <c r="BZ21" s="1" t="s">
        <v>2255</v>
      </c>
      <c r="CA21" s="1" t="s">
        <v>1794</v>
      </c>
      <c r="CB21" s="1" t="s">
        <v>1795</v>
      </c>
      <c r="CC21" s="1" t="s">
        <v>1796</v>
      </c>
      <c r="CD21" s="1" t="s">
        <v>1797</v>
      </c>
      <c r="CE21" s="1" t="s">
        <v>1798</v>
      </c>
      <c r="CF21" s="1" t="s">
        <v>1799</v>
      </c>
      <c r="CG21" s="1" t="s">
        <v>1800</v>
      </c>
      <c r="CH21" s="1" t="s">
        <v>1794</v>
      </c>
      <c r="CI21" s="1" t="s">
        <v>1801</v>
      </c>
      <c r="CJ21" s="1" t="s">
        <v>1794</v>
      </c>
      <c r="CK21" s="1" t="s">
        <v>1802</v>
      </c>
      <c r="CL21" s="1" t="s">
        <v>1803</v>
      </c>
      <c r="CM21" s="1" t="s">
        <v>1804</v>
      </c>
      <c r="CN21" s="1" t="s">
        <v>1805</v>
      </c>
      <c r="CO21" s="1" t="s">
        <v>1794</v>
      </c>
      <c r="CP21" s="1" t="s">
        <v>1806</v>
      </c>
      <c r="CQ21" s="1" t="s">
        <v>1807</v>
      </c>
      <c r="CR21" s="1" t="s">
        <v>1808</v>
      </c>
      <c r="CS21" s="1" t="s">
        <v>1809</v>
      </c>
      <c r="CT21" s="1" t="s">
        <v>1810</v>
      </c>
      <c r="CU21" s="1" t="s">
        <v>1811</v>
      </c>
      <c r="CV21" s="1" t="s">
        <v>1812</v>
      </c>
      <c r="CW21" s="1" t="s">
        <v>1813</v>
      </c>
      <c r="CX21" s="1" t="s">
        <v>1814</v>
      </c>
      <c r="CY21" s="1" t="s">
        <v>1813</v>
      </c>
      <c r="CZ21" s="1" t="s">
        <v>1813</v>
      </c>
      <c r="DA21" s="1" t="s">
        <v>1775</v>
      </c>
      <c r="DB21" s="1" t="s">
        <v>1776</v>
      </c>
      <c r="DC21" s="1" t="s">
        <v>1752</v>
      </c>
      <c r="DD21" s="1" t="s">
        <v>1765</v>
      </c>
      <c r="DE21" s="1" t="s">
        <v>1815</v>
      </c>
      <c r="DF21" s="1" t="s">
        <v>1816</v>
      </c>
      <c r="DG21" s="1" t="s">
        <v>1817</v>
      </c>
      <c r="DH21" s="1" t="s">
        <v>1818</v>
      </c>
      <c r="DI21" s="1" t="s">
        <v>1819</v>
      </c>
      <c r="DJ21" s="1" t="s">
        <v>1820</v>
      </c>
      <c r="DK21" s="1" t="s">
        <v>1821</v>
      </c>
      <c r="DL21" s="1" t="s">
        <v>1822</v>
      </c>
      <c r="DM21" s="1" t="s">
        <v>1765</v>
      </c>
      <c r="DN21" s="1" t="s">
        <v>1765</v>
      </c>
      <c r="DO21" s="1" t="s">
        <v>1823</v>
      </c>
      <c r="DP21" s="1" t="s">
        <v>1824</v>
      </c>
      <c r="DQ21" s="1" t="s">
        <v>1824</v>
      </c>
      <c r="DR21" s="1" t="s">
        <v>1765</v>
      </c>
      <c r="DS21" s="1" t="s">
        <v>1825</v>
      </c>
      <c r="DT21" s="1" t="s">
        <v>1816</v>
      </c>
      <c r="DU21" s="1" t="s">
        <v>1826</v>
      </c>
      <c r="DV21" s="1" t="s">
        <v>2256</v>
      </c>
      <c r="DW21" s="1" t="s">
        <v>1828</v>
      </c>
      <c r="DX21" s="1" t="s">
        <v>2257</v>
      </c>
      <c r="DY21" s="1" t="s">
        <v>424</v>
      </c>
      <c r="DZ21" s="1" t="s">
        <v>1752</v>
      </c>
      <c r="EA21" s="1" t="s">
        <v>218</v>
      </c>
      <c r="EB21" s="1" t="s">
        <v>892</v>
      </c>
      <c r="EC21" s="1" t="s">
        <v>2249</v>
      </c>
      <c r="ED21" s="1" t="s">
        <v>2258</v>
      </c>
      <c r="EE21" s="1" t="s">
        <v>2258</v>
      </c>
      <c r="EF21" s="1" t="s">
        <v>2259</v>
      </c>
      <c r="EG21" s="1" t="s">
        <v>2218</v>
      </c>
      <c r="EH21" s="1" t="s">
        <v>2260</v>
      </c>
      <c r="EI21" s="1" t="s">
        <v>2175</v>
      </c>
      <c r="EJ21" s="1" t="s">
        <v>2261</v>
      </c>
      <c r="EK21" s="1" t="s">
        <v>1836</v>
      </c>
      <c r="EL21" s="1" t="s">
        <v>1837</v>
      </c>
      <c r="EM21" s="1" t="s">
        <v>1838</v>
      </c>
      <c r="EN21" s="1" t="s">
        <v>2262</v>
      </c>
      <c r="EO21" s="1" t="s">
        <v>1840</v>
      </c>
      <c r="EP21" s="1" t="s">
        <v>289</v>
      </c>
      <c r="EQ21" s="1" t="s">
        <v>1782</v>
      </c>
      <c r="ER21" s="1" t="s">
        <v>1802</v>
      </c>
      <c r="ES21" s="1" t="s">
        <v>1802</v>
      </c>
      <c r="ET21" s="1" t="s">
        <v>1802</v>
      </c>
      <c r="EU21" s="1" t="s">
        <v>1802</v>
      </c>
      <c r="EV21" s="1" t="s">
        <v>1802</v>
      </c>
      <c r="EW21" s="1" t="s">
        <v>1802</v>
      </c>
      <c r="EX21" s="1" t="s">
        <v>1802</v>
      </c>
      <c r="EY21" s="1" t="s">
        <v>1802</v>
      </c>
      <c r="EZ21" s="1" t="s">
        <v>1802</v>
      </c>
      <c r="FA21" s="1" t="s">
        <v>1802</v>
      </c>
      <c r="FB21" s="1" t="s">
        <v>1802</v>
      </c>
      <c r="FC21" s="1" t="s">
        <v>1802</v>
      </c>
      <c r="FD21" s="1" t="s">
        <v>1802</v>
      </c>
      <c r="FE21" s="1" t="s">
        <v>1802</v>
      </c>
      <c r="FF21" s="1" t="s">
        <v>1802</v>
      </c>
      <c r="FG21" s="1" t="s">
        <v>1802</v>
      </c>
      <c r="FH21" s="1" t="s">
        <v>1802</v>
      </c>
      <c r="FI21" s="1" t="s">
        <v>1802</v>
      </c>
      <c r="FJ21" s="1" t="s">
        <v>1802</v>
      </c>
      <c r="FK21" s="1" t="s">
        <v>1802</v>
      </c>
      <c r="FL21" s="1" t="s">
        <v>1802</v>
      </c>
      <c r="FM21" s="1" t="s">
        <v>1802</v>
      </c>
      <c r="FN21" s="1" t="s">
        <v>1802</v>
      </c>
      <c r="FO21" s="1" t="s">
        <v>1802</v>
      </c>
      <c r="FP21" s="1" t="s">
        <v>1802</v>
      </c>
      <c r="FQ21" s="1" t="s">
        <v>1802</v>
      </c>
      <c r="FR21" s="2"/>
      <c r="FS21" s="1" t="s">
        <v>1802</v>
      </c>
    </row>
    <row r="22" spans="1:175" x14ac:dyDescent="0.3">
      <c r="A22" s="1" t="s">
        <v>2263</v>
      </c>
      <c r="B22" s="1" t="s">
        <v>1739</v>
      </c>
      <c r="C22" s="1" t="s">
        <v>468</v>
      </c>
      <c r="D22" s="1" t="s">
        <v>1740</v>
      </c>
      <c r="E22" s="1" t="s">
        <v>2264</v>
      </c>
      <c r="F22" s="1" t="s">
        <v>2265</v>
      </c>
      <c r="G22" s="1" t="s">
        <v>2265</v>
      </c>
      <c r="H22" s="1" t="s">
        <v>2266</v>
      </c>
      <c r="I22" s="1" t="s">
        <v>1744</v>
      </c>
      <c r="J22" s="1" t="s">
        <v>1745</v>
      </c>
      <c r="K22" s="1" t="s">
        <v>1746</v>
      </c>
      <c r="L22" s="1" t="s">
        <v>1747</v>
      </c>
      <c r="M22" s="1" t="s">
        <v>1748</v>
      </c>
      <c r="N22" s="1" t="s">
        <v>1749</v>
      </c>
      <c r="O22" s="1" t="s">
        <v>1750</v>
      </c>
      <c r="P22" s="1" t="s">
        <v>1751</v>
      </c>
      <c r="Q22">
        <v>49</v>
      </c>
      <c r="R22" s="1" t="s">
        <v>1752</v>
      </c>
      <c r="S22" s="1" t="s">
        <v>1753</v>
      </c>
      <c r="T22" s="1" t="s">
        <v>1754</v>
      </c>
      <c r="U22" s="1" t="s">
        <v>1755</v>
      </c>
      <c r="V22" s="1" t="s">
        <v>1756</v>
      </c>
      <c r="W22">
        <v>72</v>
      </c>
      <c r="X22">
        <v>72</v>
      </c>
      <c r="Y22" s="1" t="s">
        <v>1757</v>
      </c>
      <c r="Z22" s="2">
        <v>36999</v>
      </c>
      <c r="AA22" s="1" t="s">
        <v>2267</v>
      </c>
      <c r="AB22" s="1" t="s">
        <v>1755</v>
      </c>
      <c r="AC22" s="1" t="s">
        <v>2268</v>
      </c>
      <c r="AD22" s="1" t="s">
        <v>424</v>
      </c>
      <c r="AE22" s="1" t="s">
        <v>1760</v>
      </c>
      <c r="AF22" s="1" t="s">
        <v>1761</v>
      </c>
      <c r="AG22" s="1" t="s">
        <v>1762</v>
      </c>
      <c r="AH22" s="1" t="s">
        <v>2267</v>
      </c>
      <c r="AI22" s="1" t="s">
        <v>2267</v>
      </c>
      <c r="AJ22" s="1" t="s">
        <v>1763</v>
      </c>
      <c r="AK22" s="1" t="s">
        <v>1763</v>
      </c>
      <c r="AL22" s="1" t="s">
        <v>1763</v>
      </c>
      <c r="AM22" s="1" t="s">
        <v>2268</v>
      </c>
      <c r="AN22" s="1" t="s">
        <v>424</v>
      </c>
      <c r="AO22" s="1" t="s">
        <v>2269</v>
      </c>
      <c r="AP22" s="1" t="s">
        <v>1765</v>
      </c>
      <c r="AQ22" s="1" t="s">
        <v>1766</v>
      </c>
      <c r="AR22" s="1" t="s">
        <v>1767</v>
      </c>
      <c r="AS22" s="1" t="s">
        <v>1768</v>
      </c>
      <c r="AT22">
        <v>2010150922131390</v>
      </c>
      <c r="AU22" s="1" t="s">
        <v>1769</v>
      </c>
      <c r="AV22">
        <v>26496156719208</v>
      </c>
      <c r="AW22" s="1" t="s">
        <v>1770</v>
      </c>
      <c r="AX22" s="1" t="s">
        <v>1765</v>
      </c>
      <c r="AY22" s="1" t="s">
        <v>2270</v>
      </c>
      <c r="AZ22" s="1" t="s">
        <v>1897</v>
      </c>
      <c r="BA22" s="1" t="s">
        <v>2271</v>
      </c>
      <c r="BB22">
        <v>60</v>
      </c>
      <c r="BC22" s="1" t="s">
        <v>1774</v>
      </c>
      <c r="BD22" s="1" t="s">
        <v>1775</v>
      </c>
      <c r="BE22" s="1" t="s">
        <v>1776</v>
      </c>
      <c r="BF22" s="1" t="s">
        <v>1777</v>
      </c>
      <c r="BG22" s="1" t="s">
        <v>1778</v>
      </c>
      <c r="BH22" s="1" t="s">
        <v>1779</v>
      </c>
      <c r="BI22" s="1" t="s">
        <v>1779</v>
      </c>
      <c r="BJ22" s="1" t="s">
        <v>1780</v>
      </c>
      <c r="BK22" s="1" t="s">
        <v>1781</v>
      </c>
      <c r="BL22" s="1" t="s">
        <v>1754</v>
      </c>
      <c r="BM22" s="1" t="s">
        <v>1782</v>
      </c>
      <c r="BN22" s="1" t="s">
        <v>1783</v>
      </c>
      <c r="BO22" s="1" t="s">
        <v>1784</v>
      </c>
      <c r="BP22" s="1" t="s">
        <v>1785</v>
      </c>
      <c r="BQ22" s="1" t="s">
        <v>1786</v>
      </c>
      <c r="BR22" s="1" t="s">
        <v>2272</v>
      </c>
      <c r="BS22" s="1" t="s">
        <v>1788</v>
      </c>
      <c r="BT22" s="1" t="s">
        <v>2273</v>
      </c>
      <c r="BU22" s="1" t="s">
        <v>1790</v>
      </c>
      <c r="BV22" s="1" t="s">
        <v>2274</v>
      </c>
      <c r="BW22" s="1" t="s">
        <v>1790</v>
      </c>
      <c r="BX22" s="1" t="s">
        <v>2274</v>
      </c>
      <c r="BY22" s="1" t="s">
        <v>2234</v>
      </c>
      <c r="BZ22" s="1" t="s">
        <v>2275</v>
      </c>
      <c r="CA22" s="1" t="s">
        <v>1794</v>
      </c>
      <c r="CB22" s="1" t="s">
        <v>1795</v>
      </c>
      <c r="CC22" s="1" t="s">
        <v>1796</v>
      </c>
      <c r="CD22" s="1" t="s">
        <v>1797</v>
      </c>
      <c r="CE22" s="1" t="s">
        <v>1798</v>
      </c>
      <c r="CF22" s="1" t="s">
        <v>1799</v>
      </c>
      <c r="CG22" s="1" t="s">
        <v>1800</v>
      </c>
      <c r="CH22" s="1" t="s">
        <v>1794</v>
      </c>
      <c r="CI22" s="1" t="s">
        <v>1801</v>
      </c>
      <c r="CJ22" s="1" t="s">
        <v>1794</v>
      </c>
      <c r="CK22" s="1" t="s">
        <v>1802</v>
      </c>
      <c r="CL22" s="1" t="s">
        <v>1803</v>
      </c>
      <c r="CM22" s="1" t="s">
        <v>1804</v>
      </c>
      <c r="CN22" s="1" t="s">
        <v>1805</v>
      </c>
      <c r="CO22" s="1" t="s">
        <v>1794</v>
      </c>
      <c r="CP22" s="1" t="s">
        <v>1806</v>
      </c>
      <c r="CQ22" s="1" t="s">
        <v>1807</v>
      </c>
      <c r="CR22" s="1" t="s">
        <v>1808</v>
      </c>
      <c r="CS22" s="1" t="s">
        <v>1809</v>
      </c>
      <c r="CT22" s="1" t="s">
        <v>1810</v>
      </c>
      <c r="CU22" s="1" t="s">
        <v>1811</v>
      </c>
      <c r="CV22" s="1" t="s">
        <v>1812</v>
      </c>
      <c r="CW22" s="1" t="s">
        <v>1813</v>
      </c>
      <c r="CX22" s="1" t="s">
        <v>1814</v>
      </c>
      <c r="CY22" s="1" t="s">
        <v>1813</v>
      </c>
      <c r="CZ22" s="1" t="s">
        <v>1813</v>
      </c>
      <c r="DA22" s="1" t="s">
        <v>1775</v>
      </c>
      <c r="DB22" s="1" t="s">
        <v>1776</v>
      </c>
      <c r="DC22" s="1" t="s">
        <v>1752</v>
      </c>
      <c r="DD22" s="1" t="s">
        <v>1765</v>
      </c>
      <c r="DE22" s="1" t="s">
        <v>1815</v>
      </c>
      <c r="DF22" s="1" t="s">
        <v>1816</v>
      </c>
      <c r="DG22" s="1" t="s">
        <v>1817</v>
      </c>
      <c r="DH22" s="1" t="s">
        <v>1818</v>
      </c>
      <c r="DI22" s="1" t="s">
        <v>1819</v>
      </c>
      <c r="DJ22" s="1" t="s">
        <v>1820</v>
      </c>
      <c r="DK22" s="1" t="s">
        <v>1821</v>
      </c>
      <c r="DL22" s="1" t="s">
        <v>1822</v>
      </c>
      <c r="DM22" s="1" t="s">
        <v>1765</v>
      </c>
      <c r="DN22" s="1" t="s">
        <v>1765</v>
      </c>
      <c r="DO22" s="1" t="s">
        <v>1823</v>
      </c>
      <c r="DP22" s="1" t="s">
        <v>1824</v>
      </c>
      <c r="DQ22" s="1" t="s">
        <v>1824</v>
      </c>
      <c r="DR22" s="1" t="s">
        <v>1765</v>
      </c>
      <c r="DS22" s="1" t="s">
        <v>1825</v>
      </c>
      <c r="DT22" s="1" t="s">
        <v>1816</v>
      </c>
      <c r="DU22" s="1" t="s">
        <v>1826</v>
      </c>
      <c r="DV22" s="1" t="s">
        <v>2276</v>
      </c>
      <c r="DW22" s="1" t="s">
        <v>1828</v>
      </c>
      <c r="DX22" s="1" t="s">
        <v>2277</v>
      </c>
      <c r="DY22" s="1" t="s">
        <v>424</v>
      </c>
      <c r="DZ22" s="1" t="s">
        <v>1752</v>
      </c>
      <c r="EA22" s="1" t="s">
        <v>218</v>
      </c>
      <c r="EB22" s="1" t="s">
        <v>892</v>
      </c>
      <c r="EC22" s="1" t="s">
        <v>2268</v>
      </c>
      <c r="ED22" s="1" t="s">
        <v>2278</v>
      </c>
      <c r="EE22" s="1" t="s">
        <v>2278</v>
      </c>
      <c r="EF22" s="1" t="s">
        <v>2279</v>
      </c>
      <c r="EG22" s="1" t="s">
        <v>2280</v>
      </c>
      <c r="EH22" s="1" t="s">
        <v>2281</v>
      </c>
      <c r="EI22" s="1" t="s">
        <v>2282</v>
      </c>
      <c r="EJ22" s="1" t="s">
        <v>2283</v>
      </c>
      <c r="EK22" s="1" t="s">
        <v>1836</v>
      </c>
      <c r="EL22" s="1" t="s">
        <v>1837</v>
      </c>
      <c r="EM22" s="1" t="s">
        <v>1838</v>
      </c>
      <c r="EN22" s="1" t="s">
        <v>2284</v>
      </c>
      <c r="EO22" s="1" t="s">
        <v>1840</v>
      </c>
      <c r="EP22" s="1" t="s">
        <v>1978</v>
      </c>
      <c r="EQ22" s="1" t="s">
        <v>1782</v>
      </c>
      <c r="ER22" s="1" t="s">
        <v>1802</v>
      </c>
      <c r="ES22" s="1" t="s">
        <v>1802</v>
      </c>
      <c r="ET22" s="1" t="s">
        <v>1802</v>
      </c>
      <c r="EU22" s="1" t="s">
        <v>1802</v>
      </c>
      <c r="EV22" s="1" t="s">
        <v>1802</v>
      </c>
      <c r="EW22" s="1" t="s">
        <v>1802</v>
      </c>
      <c r="EX22" s="1" t="s">
        <v>1802</v>
      </c>
      <c r="EY22" s="1" t="s">
        <v>1802</v>
      </c>
      <c r="EZ22" s="1" t="s">
        <v>1802</v>
      </c>
      <c r="FA22" s="1" t="s">
        <v>1802</v>
      </c>
      <c r="FB22" s="1" t="s">
        <v>1802</v>
      </c>
      <c r="FC22" s="1" t="s">
        <v>1802</v>
      </c>
      <c r="FD22" s="1" t="s">
        <v>1802</v>
      </c>
      <c r="FE22" s="1" t="s">
        <v>1802</v>
      </c>
      <c r="FF22" s="1" t="s">
        <v>1802</v>
      </c>
      <c r="FG22" s="1" t="s">
        <v>1802</v>
      </c>
      <c r="FH22" s="1" t="s">
        <v>1802</v>
      </c>
      <c r="FI22" s="1" t="s">
        <v>1802</v>
      </c>
      <c r="FJ22" s="1" t="s">
        <v>1802</v>
      </c>
      <c r="FK22" s="1" t="s">
        <v>1802</v>
      </c>
      <c r="FL22" s="1" t="s">
        <v>1802</v>
      </c>
      <c r="FM22" s="1" t="s">
        <v>1802</v>
      </c>
      <c r="FN22" s="1" t="s">
        <v>1802</v>
      </c>
      <c r="FO22" s="1" t="s">
        <v>1802</v>
      </c>
      <c r="FP22" s="1" t="s">
        <v>1802</v>
      </c>
      <c r="FQ22" s="1" t="s">
        <v>1802</v>
      </c>
      <c r="FR22" s="2"/>
      <c r="FS22" s="1" t="s">
        <v>1802</v>
      </c>
    </row>
    <row r="23" spans="1:175" x14ac:dyDescent="0.3">
      <c r="A23" s="1" t="s">
        <v>2285</v>
      </c>
      <c r="B23" s="1" t="s">
        <v>1739</v>
      </c>
      <c r="C23" s="1" t="s">
        <v>489</v>
      </c>
      <c r="D23" s="1" t="s">
        <v>1740</v>
      </c>
      <c r="E23" s="1" t="s">
        <v>2264</v>
      </c>
      <c r="F23" s="1" t="s">
        <v>2286</v>
      </c>
      <c r="G23" s="1" t="s">
        <v>2286</v>
      </c>
      <c r="H23" s="1" t="s">
        <v>1915</v>
      </c>
      <c r="I23" s="1" t="s">
        <v>1744</v>
      </c>
      <c r="J23" s="1" t="s">
        <v>1745</v>
      </c>
      <c r="K23" s="1" t="s">
        <v>1746</v>
      </c>
      <c r="L23" s="1" t="s">
        <v>1747</v>
      </c>
      <c r="M23" s="1" t="s">
        <v>1748</v>
      </c>
      <c r="N23" s="1" t="s">
        <v>1749</v>
      </c>
      <c r="O23" s="1" t="s">
        <v>1750</v>
      </c>
      <c r="P23" s="1" t="s">
        <v>1751</v>
      </c>
      <c r="Q23">
        <v>49</v>
      </c>
      <c r="R23" s="1" t="s">
        <v>1752</v>
      </c>
      <c r="S23" s="1" t="s">
        <v>1753</v>
      </c>
      <c r="T23" s="1" t="s">
        <v>1754</v>
      </c>
      <c r="U23" s="1" t="s">
        <v>1755</v>
      </c>
      <c r="V23" s="1" t="s">
        <v>1756</v>
      </c>
      <c r="W23">
        <v>72</v>
      </c>
      <c r="X23">
        <v>72</v>
      </c>
      <c r="Y23" s="1" t="s">
        <v>1757</v>
      </c>
      <c r="Z23" s="2">
        <v>36999</v>
      </c>
      <c r="AA23" s="1" t="s">
        <v>2287</v>
      </c>
      <c r="AB23" s="1" t="s">
        <v>1755</v>
      </c>
      <c r="AC23" s="1" t="s">
        <v>2288</v>
      </c>
      <c r="AD23" s="1" t="s">
        <v>424</v>
      </c>
      <c r="AE23" s="1" t="s">
        <v>1760</v>
      </c>
      <c r="AF23" s="1" t="s">
        <v>1761</v>
      </c>
      <c r="AG23" s="1" t="s">
        <v>1762</v>
      </c>
      <c r="AH23" s="1" t="s">
        <v>2287</v>
      </c>
      <c r="AI23" s="1" t="s">
        <v>2287</v>
      </c>
      <c r="AJ23" s="1" t="s">
        <v>1763</v>
      </c>
      <c r="AK23" s="1" t="s">
        <v>1763</v>
      </c>
      <c r="AL23" s="1" t="s">
        <v>1763</v>
      </c>
      <c r="AM23" s="1" t="s">
        <v>2288</v>
      </c>
      <c r="AN23" s="1" t="s">
        <v>424</v>
      </c>
      <c r="AO23" s="1" t="s">
        <v>2289</v>
      </c>
      <c r="AP23" s="1" t="s">
        <v>1765</v>
      </c>
      <c r="AQ23" s="1" t="s">
        <v>1766</v>
      </c>
      <c r="AR23" s="1" t="s">
        <v>1767</v>
      </c>
      <c r="AS23" s="1" t="s">
        <v>1768</v>
      </c>
      <c r="AT23">
        <v>2010150922131390</v>
      </c>
      <c r="AU23" s="1" t="s">
        <v>1769</v>
      </c>
      <c r="AV23">
        <v>29006448617041</v>
      </c>
      <c r="AW23" s="1" t="s">
        <v>1770</v>
      </c>
      <c r="AX23" s="1" t="s">
        <v>1765</v>
      </c>
      <c r="AY23" s="1" t="s">
        <v>2290</v>
      </c>
      <c r="AZ23" s="1" t="s">
        <v>1897</v>
      </c>
      <c r="BA23" s="1" t="s">
        <v>2291</v>
      </c>
      <c r="BB23">
        <v>758</v>
      </c>
      <c r="BC23" s="1" t="s">
        <v>1774</v>
      </c>
      <c r="BD23" s="1" t="s">
        <v>1775</v>
      </c>
      <c r="BE23" s="1" t="s">
        <v>1776</v>
      </c>
      <c r="BF23" s="1" t="s">
        <v>1777</v>
      </c>
      <c r="BG23" s="1" t="s">
        <v>1778</v>
      </c>
      <c r="BH23" s="1" t="s">
        <v>1779</v>
      </c>
      <c r="BI23" s="1" t="s">
        <v>1779</v>
      </c>
      <c r="BJ23" s="1" t="s">
        <v>1780</v>
      </c>
      <c r="BK23" s="1" t="s">
        <v>1781</v>
      </c>
      <c r="BL23" s="1" t="s">
        <v>1754</v>
      </c>
      <c r="BM23" s="1" t="s">
        <v>1782</v>
      </c>
      <c r="BN23" s="1" t="s">
        <v>1783</v>
      </c>
      <c r="BO23" s="1" t="s">
        <v>1784</v>
      </c>
      <c r="BP23" s="1" t="s">
        <v>1785</v>
      </c>
      <c r="BQ23" s="1" t="s">
        <v>1786</v>
      </c>
      <c r="BR23" s="1" t="s">
        <v>2292</v>
      </c>
      <c r="BS23" s="1" t="s">
        <v>1788</v>
      </c>
      <c r="BT23" s="1" t="s">
        <v>2293</v>
      </c>
      <c r="BU23" s="1" t="s">
        <v>1790</v>
      </c>
      <c r="BV23" s="1" t="s">
        <v>2294</v>
      </c>
      <c r="BW23" s="1" t="s">
        <v>1790</v>
      </c>
      <c r="BX23" s="1" t="s">
        <v>2294</v>
      </c>
      <c r="BY23" s="1" t="s">
        <v>2234</v>
      </c>
      <c r="BZ23" s="1" t="s">
        <v>2144</v>
      </c>
      <c r="CA23" s="1" t="s">
        <v>1794</v>
      </c>
      <c r="CB23" s="1" t="s">
        <v>1795</v>
      </c>
      <c r="CC23" s="1" t="s">
        <v>1796</v>
      </c>
      <c r="CD23" s="1" t="s">
        <v>1797</v>
      </c>
      <c r="CE23" s="1" t="s">
        <v>1798</v>
      </c>
      <c r="CF23" s="1" t="s">
        <v>1799</v>
      </c>
      <c r="CG23" s="1" t="s">
        <v>1800</v>
      </c>
      <c r="CH23" s="1" t="s">
        <v>1794</v>
      </c>
      <c r="CI23" s="1" t="s">
        <v>1801</v>
      </c>
      <c r="CJ23" s="1" t="s">
        <v>1794</v>
      </c>
      <c r="CK23" s="1" t="s">
        <v>1802</v>
      </c>
      <c r="CL23" s="1" t="s">
        <v>1803</v>
      </c>
      <c r="CM23" s="1" t="s">
        <v>1804</v>
      </c>
      <c r="CN23" s="1" t="s">
        <v>1805</v>
      </c>
      <c r="CO23" s="1" t="s">
        <v>1794</v>
      </c>
      <c r="CP23" s="1" t="s">
        <v>1806</v>
      </c>
      <c r="CQ23" s="1" t="s">
        <v>1807</v>
      </c>
      <c r="CR23" s="1" t="s">
        <v>1808</v>
      </c>
      <c r="CS23" s="1" t="s">
        <v>1809</v>
      </c>
      <c r="CT23" s="1" t="s">
        <v>1810</v>
      </c>
      <c r="CU23" s="1" t="s">
        <v>1811</v>
      </c>
      <c r="CV23" s="1" t="s">
        <v>1812</v>
      </c>
      <c r="CW23" s="1" t="s">
        <v>1813</v>
      </c>
      <c r="CX23" s="1" t="s">
        <v>1814</v>
      </c>
      <c r="CY23" s="1" t="s">
        <v>1813</v>
      </c>
      <c r="CZ23" s="1" t="s">
        <v>1813</v>
      </c>
      <c r="DA23" s="1" t="s">
        <v>1775</v>
      </c>
      <c r="DB23" s="1" t="s">
        <v>1776</v>
      </c>
      <c r="DC23" s="1" t="s">
        <v>1752</v>
      </c>
      <c r="DD23" s="1" t="s">
        <v>1765</v>
      </c>
      <c r="DE23" s="1" t="s">
        <v>1815</v>
      </c>
      <c r="DF23" s="1" t="s">
        <v>1816</v>
      </c>
      <c r="DG23" s="1" t="s">
        <v>1817</v>
      </c>
      <c r="DH23" s="1" t="s">
        <v>1818</v>
      </c>
      <c r="DI23" s="1" t="s">
        <v>1819</v>
      </c>
      <c r="DJ23" s="1" t="s">
        <v>1820</v>
      </c>
      <c r="DK23" s="1" t="s">
        <v>1821</v>
      </c>
      <c r="DL23" s="1" t="s">
        <v>1822</v>
      </c>
      <c r="DM23" s="1" t="s">
        <v>1765</v>
      </c>
      <c r="DN23" s="1" t="s">
        <v>1765</v>
      </c>
      <c r="DO23" s="1" t="s">
        <v>1823</v>
      </c>
      <c r="DP23" s="1" t="s">
        <v>1824</v>
      </c>
      <c r="DQ23" s="1" t="s">
        <v>1824</v>
      </c>
      <c r="DR23" s="1" t="s">
        <v>1765</v>
      </c>
      <c r="DS23" s="1" t="s">
        <v>1825</v>
      </c>
      <c r="DT23" s="1" t="s">
        <v>1816</v>
      </c>
      <c r="DU23" s="1" t="s">
        <v>1826</v>
      </c>
      <c r="DV23" s="1" t="s">
        <v>2295</v>
      </c>
      <c r="DW23" s="1" t="s">
        <v>1828</v>
      </c>
      <c r="DX23" s="1" t="s">
        <v>2296</v>
      </c>
      <c r="DY23" s="1" t="s">
        <v>424</v>
      </c>
      <c r="DZ23" s="1" t="s">
        <v>1752</v>
      </c>
      <c r="EA23" s="1" t="s">
        <v>218</v>
      </c>
      <c r="EB23" s="1" t="s">
        <v>892</v>
      </c>
      <c r="EC23" s="1" t="s">
        <v>2288</v>
      </c>
      <c r="ED23" s="1" t="s">
        <v>2297</v>
      </c>
      <c r="EE23" s="1" t="s">
        <v>2297</v>
      </c>
      <c r="EF23" s="1" t="s">
        <v>2298</v>
      </c>
      <c r="EG23" s="1" t="s">
        <v>2034</v>
      </c>
      <c r="EH23" s="1" t="s">
        <v>2299</v>
      </c>
      <c r="EI23" s="1" t="s">
        <v>2300</v>
      </c>
      <c r="EJ23" s="1" t="s">
        <v>2301</v>
      </c>
      <c r="EK23" s="1" t="s">
        <v>1836</v>
      </c>
      <c r="EL23" s="1" t="s">
        <v>1837</v>
      </c>
      <c r="EM23" s="1" t="s">
        <v>1838</v>
      </c>
      <c r="EN23" s="1" t="s">
        <v>2302</v>
      </c>
      <c r="EO23" s="1" t="s">
        <v>1840</v>
      </c>
      <c r="EP23" s="1" t="s">
        <v>2303</v>
      </c>
      <c r="EQ23" s="1" t="s">
        <v>1782</v>
      </c>
      <c r="ER23" s="1" t="s">
        <v>1802</v>
      </c>
      <c r="ES23" s="1" t="s">
        <v>1802</v>
      </c>
      <c r="ET23" s="1" t="s">
        <v>1802</v>
      </c>
      <c r="EU23" s="1" t="s">
        <v>1802</v>
      </c>
      <c r="EV23" s="1" t="s">
        <v>1802</v>
      </c>
      <c r="EW23" s="1" t="s">
        <v>1802</v>
      </c>
      <c r="EX23" s="1" t="s">
        <v>1802</v>
      </c>
      <c r="EY23" s="1" t="s">
        <v>1802</v>
      </c>
      <c r="EZ23" s="1" t="s">
        <v>1802</v>
      </c>
      <c r="FA23" s="1" t="s">
        <v>1802</v>
      </c>
      <c r="FB23" s="1" t="s">
        <v>1802</v>
      </c>
      <c r="FC23" s="1" t="s">
        <v>1802</v>
      </c>
      <c r="FD23" s="1" t="s">
        <v>1802</v>
      </c>
      <c r="FE23" s="1" t="s">
        <v>1802</v>
      </c>
      <c r="FF23" s="1" t="s">
        <v>1802</v>
      </c>
      <c r="FG23" s="1" t="s">
        <v>1802</v>
      </c>
      <c r="FH23" s="1" t="s">
        <v>1802</v>
      </c>
      <c r="FI23" s="1" t="s">
        <v>1802</v>
      </c>
      <c r="FJ23" s="1" t="s">
        <v>1802</v>
      </c>
      <c r="FK23" s="1" t="s">
        <v>1802</v>
      </c>
      <c r="FL23" s="1" t="s">
        <v>1802</v>
      </c>
      <c r="FM23" s="1" t="s">
        <v>1802</v>
      </c>
      <c r="FN23" s="1" t="s">
        <v>1802</v>
      </c>
      <c r="FO23" s="1" t="s">
        <v>1802</v>
      </c>
      <c r="FP23" s="1" t="s">
        <v>1802</v>
      </c>
      <c r="FQ23" s="1" t="s">
        <v>1802</v>
      </c>
      <c r="FR23" s="2"/>
      <c r="FS23" s="1" t="s">
        <v>1802</v>
      </c>
    </row>
    <row r="24" spans="1:175" x14ac:dyDescent="0.3">
      <c r="A24" s="1" t="s">
        <v>2304</v>
      </c>
      <c r="B24" s="1" t="s">
        <v>1739</v>
      </c>
      <c r="C24" s="1" t="s">
        <v>512</v>
      </c>
      <c r="D24" s="1" t="s">
        <v>1740</v>
      </c>
      <c r="E24" s="1" t="s">
        <v>1890</v>
      </c>
      <c r="F24" s="1" t="s">
        <v>2305</v>
      </c>
      <c r="G24" s="1" t="s">
        <v>2305</v>
      </c>
      <c r="H24" s="1" t="s">
        <v>1915</v>
      </c>
      <c r="I24" s="1" t="s">
        <v>1744</v>
      </c>
      <c r="J24" s="1" t="s">
        <v>1745</v>
      </c>
      <c r="K24" s="1" t="s">
        <v>1746</v>
      </c>
      <c r="L24" s="1" t="s">
        <v>1747</v>
      </c>
      <c r="M24" s="1" t="s">
        <v>1748</v>
      </c>
      <c r="N24" s="1" t="s">
        <v>1749</v>
      </c>
      <c r="O24" s="1" t="s">
        <v>1750</v>
      </c>
      <c r="P24" s="1" t="s">
        <v>1751</v>
      </c>
      <c r="Q24">
        <v>49</v>
      </c>
      <c r="R24" s="1" t="s">
        <v>1752</v>
      </c>
      <c r="S24" s="1" t="s">
        <v>1753</v>
      </c>
      <c r="T24" s="1" t="s">
        <v>1754</v>
      </c>
      <c r="U24" s="1" t="s">
        <v>1755</v>
      </c>
      <c r="V24" s="1" t="s">
        <v>1756</v>
      </c>
      <c r="W24">
        <v>72</v>
      </c>
      <c r="X24">
        <v>72</v>
      </c>
      <c r="Y24" s="1" t="s">
        <v>1757</v>
      </c>
      <c r="Z24" s="2">
        <v>36999</v>
      </c>
      <c r="AA24" s="1" t="s">
        <v>2306</v>
      </c>
      <c r="AB24" s="1" t="s">
        <v>1755</v>
      </c>
      <c r="AC24" s="1" t="s">
        <v>2307</v>
      </c>
      <c r="AD24" s="1" t="s">
        <v>424</v>
      </c>
      <c r="AE24" s="1" t="s">
        <v>1760</v>
      </c>
      <c r="AF24" s="1" t="s">
        <v>1761</v>
      </c>
      <c r="AG24" s="1" t="s">
        <v>1762</v>
      </c>
      <c r="AH24" s="1" t="s">
        <v>2306</v>
      </c>
      <c r="AI24" s="1" t="s">
        <v>2306</v>
      </c>
      <c r="AJ24" s="1" t="s">
        <v>1763</v>
      </c>
      <c r="AK24" s="1" t="s">
        <v>1763</v>
      </c>
      <c r="AL24" s="1" t="s">
        <v>1763</v>
      </c>
      <c r="AM24" s="1" t="s">
        <v>2307</v>
      </c>
      <c r="AN24" s="1" t="s">
        <v>424</v>
      </c>
      <c r="AO24" s="1" t="s">
        <v>2308</v>
      </c>
      <c r="AP24" s="1" t="s">
        <v>1765</v>
      </c>
      <c r="AQ24" s="1" t="s">
        <v>1766</v>
      </c>
      <c r="AR24" s="1" t="s">
        <v>1767</v>
      </c>
      <c r="AS24" s="1" t="s">
        <v>1768</v>
      </c>
      <c r="AT24">
        <v>2010150922131390</v>
      </c>
      <c r="AU24" s="1" t="s">
        <v>1769</v>
      </c>
      <c r="AV24">
        <v>32035799266541</v>
      </c>
      <c r="AW24" s="1" t="s">
        <v>1770</v>
      </c>
      <c r="AX24" s="1" t="s">
        <v>1765</v>
      </c>
      <c r="AY24" s="1" t="s">
        <v>2309</v>
      </c>
      <c r="AZ24" s="1" t="s">
        <v>1897</v>
      </c>
      <c r="BA24" s="1" t="s">
        <v>2310</v>
      </c>
      <c r="BB24">
        <v>244</v>
      </c>
      <c r="BC24" s="1" t="s">
        <v>1774</v>
      </c>
      <c r="BD24" s="1" t="s">
        <v>1775</v>
      </c>
      <c r="BE24" s="1" t="s">
        <v>1776</v>
      </c>
      <c r="BF24" s="1" t="s">
        <v>1777</v>
      </c>
      <c r="BG24" s="1" t="s">
        <v>1778</v>
      </c>
      <c r="BH24" s="1" t="s">
        <v>1779</v>
      </c>
      <c r="BI24" s="1" t="s">
        <v>1779</v>
      </c>
      <c r="BJ24" s="1" t="s">
        <v>1780</v>
      </c>
      <c r="BK24" s="1" t="s">
        <v>1781</v>
      </c>
      <c r="BL24" s="1" t="s">
        <v>1754</v>
      </c>
      <c r="BM24" s="1" t="s">
        <v>1782</v>
      </c>
      <c r="BN24" s="1" t="s">
        <v>1783</v>
      </c>
      <c r="BO24" s="1" t="s">
        <v>1784</v>
      </c>
      <c r="BP24" s="1" t="s">
        <v>1785</v>
      </c>
      <c r="BQ24" s="1" t="s">
        <v>1786</v>
      </c>
      <c r="BR24" s="1" t="s">
        <v>2311</v>
      </c>
      <c r="BS24" s="1" t="s">
        <v>1788</v>
      </c>
      <c r="BT24" s="1" t="s">
        <v>2312</v>
      </c>
      <c r="BU24" s="1" t="s">
        <v>1790</v>
      </c>
      <c r="BV24" s="1" t="s">
        <v>2313</v>
      </c>
      <c r="BW24" s="1" t="s">
        <v>1790</v>
      </c>
      <c r="BX24" s="1" t="s">
        <v>2313</v>
      </c>
      <c r="BY24" s="1" t="s">
        <v>2234</v>
      </c>
      <c r="BZ24" s="1" t="s">
        <v>2314</v>
      </c>
      <c r="CA24" s="1" t="s">
        <v>1794</v>
      </c>
      <c r="CB24" s="1" t="s">
        <v>1795</v>
      </c>
      <c r="CC24" s="1" t="s">
        <v>1796</v>
      </c>
      <c r="CD24" s="1" t="s">
        <v>1797</v>
      </c>
      <c r="CE24" s="1" t="s">
        <v>1798</v>
      </c>
      <c r="CF24" s="1" t="s">
        <v>1799</v>
      </c>
      <c r="CG24" s="1" t="s">
        <v>1800</v>
      </c>
      <c r="CH24" s="1" t="s">
        <v>1794</v>
      </c>
      <c r="CI24" s="1" t="s">
        <v>1801</v>
      </c>
      <c r="CJ24" s="1" t="s">
        <v>1794</v>
      </c>
      <c r="CK24" s="1" t="s">
        <v>1802</v>
      </c>
      <c r="CL24" s="1" t="s">
        <v>1803</v>
      </c>
      <c r="CM24" s="1" t="s">
        <v>1804</v>
      </c>
      <c r="CN24" s="1" t="s">
        <v>1805</v>
      </c>
      <c r="CO24" s="1" t="s">
        <v>1794</v>
      </c>
      <c r="CP24" s="1" t="s">
        <v>1806</v>
      </c>
      <c r="CQ24" s="1" t="s">
        <v>1807</v>
      </c>
      <c r="CR24" s="1" t="s">
        <v>1808</v>
      </c>
      <c r="CS24" s="1" t="s">
        <v>1809</v>
      </c>
      <c r="CT24" s="1" t="s">
        <v>1810</v>
      </c>
      <c r="CU24" s="1" t="s">
        <v>1811</v>
      </c>
      <c r="CV24" s="1" t="s">
        <v>1812</v>
      </c>
      <c r="CW24" s="1" t="s">
        <v>1813</v>
      </c>
      <c r="CX24" s="1" t="s">
        <v>1814</v>
      </c>
      <c r="CY24" s="1" t="s">
        <v>1813</v>
      </c>
      <c r="CZ24" s="1" t="s">
        <v>1813</v>
      </c>
      <c r="DA24" s="1" t="s">
        <v>1775</v>
      </c>
      <c r="DB24" s="1" t="s">
        <v>1776</v>
      </c>
      <c r="DC24" s="1" t="s">
        <v>1752</v>
      </c>
      <c r="DD24" s="1" t="s">
        <v>1765</v>
      </c>
      <c r="DE24" s="1" t="s">
        <v>1815</v>
      </c>
      <c r="DF24" s="1" t="s">
        <v>1816</v>
      </c>
      <c r="DG24" s="1" t="s">
        <v>1817</v>
      </c>
      <c r="DH24" s="1" t="s">
        <v>1818</v>
      </c>
      <c r="DI24" s="1" t="s">
        <v>1819</v>
      </c>
      <c r="DJ24" s="1" t="s">
        <v>1820</v>
      </c>
      <c r="DK24" s="1" t="s">
        <v>1821</v>
      </c>
      <c r="DL24" s="1" t="s">
        <v>1822</v>
      </c>
      <c r="DM24" s="1" t="s">
        <v>1765</v>
      </c>
      <c r="DN24" s="1" t="s">
        <v>1765</v>
      </c>
      <c r="DO24" s="1" t="s">
        <v>1823</v>
      </c>
      <c r="DP24" s="1" t="s">
        <v>1824</v>
      </c>
      <c r="DQ24" s="1" t="s">
        <v>1824</v>
      </c>
      <c r="DR24" s="1" t="s">
        <v>1765</v>
      </c>
      <c r="DS24" s="1" t="s">
        <v>1825</v>
      </c>
      <c r="DT24" s="1" t="s">
        <v>1816</v>
      </c>
      <c r="DU24" s="1" t="s">
        <v>1826</v>
      </c>
      <c r="DV24" s="1" t="s">
        <v>2315</v>
      </c>
      <c r="DW24" s="1" t="s">
        <v>1828</v>
      </c>
      <c r="DX24" s="1" t="s">
        <v>2316</v>
      </c>
      <c r="DY24" s="1" t="s">
        <v>424</v>
      </c>
      <c r="DZ24" s="1" t="s">
        <v>1752</v>
      </c>
      <c r="EA24" s="1" t="s">
        <v>218</v>
      </c>
      <c r="EB24" s="1" t="s">
        <v>892</v>
      </c>
      <c r="EC24" s="1" t="s">
        <v>2307</v>
      </c>
      <c r="ED24" s="1" t="s">
        <v>2317</v>
      </c>
      <c r="EE24" s="1" t="s">
        <v>2317</v>
      </c>
      <c r="EF24" s="1" t="s">
        <v>2318</v>
      </c>
      <c r="EG24" s="1" t="s">
        <v>2218</v>
      </c>
      <c r="EH24" s="1" t="s">
        <v>2319</v>
      </c>
      <c r="EI24" s="1" t="s">
        <v>2320</v>
      </c>
      <c r="EJ24" s="1" t="s">
        <v>2321</v>
      </c>
      <c r="EK24" s="1" t="s">
        <v>1836</v>
      </c>
      <c r="EL24" s="1" t="s">
        <v>1837</v>
      </c>
      <c r="EM24" s="1" t="s">
        <v>1838</v>
      </c>
      <c r="EN24" s="1" t="s">
        <v>2322</v>
      </c>
      <c r="EO24" s="1" t="s">
        <v>1840</v>
      </c>
      <c r="EP24" s="1" t="s">
        <v>2069</v>
      </c>
      <c r="EQ24" s="1" t="s">
        <v>1782</v>
      </c>
      <c r="ER24" s="1" t="s">
        <v>1802</v>
      </c>
      <c r="ES24" s="1" t="s">
        <v>1802</v>
      </c>
      <c r="ET24" s="1" t="s">
        <v>1802</v>
      </c>
      <c r="EU24" s="1" t="s">
        <v>1802</v>
      </c>
      <c r="EV24" s="1" t="s">
        <v>1802</v>
      </c>
      <c r="EW24" s="1" t="s">
        <v>1802</v>
      </c>
      <c r="EX24" s="1" t="s">
        <v>1802</v>
      </c>
      <c r="EY24" s="1" t="s">
        <v>1802</v>
      </c>
      <c r="EZ24" s="1" t="s">
        <v>1802</v>
      </c>
      <c r="FA24" s="1" t="s">
        <v>1802</v>
      </c>
      <c r="FB24" s="1" t="s">
        <v>1802</v>
      </c>
      <c r="FC24" s="1" t="s">
        <v>1802</v>
      </c>
      <c r="FD24" s="1" t="s">
        <v>1802</v>
      </c>
      <c r="FE24" s="1" t="s">
        <v>1802</v>
      </c>
      <c r="FF24" s="1" t="s">
        <v>1802</v>
      </c>
      <c r="FG24" s="1" t="s">
        <v>1802</v>
      </c>
      <c r="FH24" s="1" t="s">
        <v>1802</v>
      </c>
      <c r="FI24" s="1" t="s">
        <v>1802</v>
      </c>
      <c r="FJ24" s="1" t="s">
        <v>1802</v>
      </c>
      <c r="FK24" s="1" t="s">
        <v>1802</v>
      </c>
      <c r="FL24" s="1" t="s">
        <v>1802</v>
      </c>
      <c r="FM24" s="1" t="s">
        <v>1802</v>
      </c>
      <c r="FN24" s="1" t="s">
        <v>1802</v>
      </c>
      <c r="FO24" s="1" t="s">
        <v>1802</v>
      </c>
      <c r="FP24" s="1" t="s">
        <v>1802</v>
      </c>
      <c r="FQ24" s="1" t="s">
        <v>1802</v>
      </c>
      <c r="FR24" s="2"/>
      <c r="FS24" s="1" t="s">
        <v>1802</v>
      </c>
    </row>
    <row r="25" spans="1:175" x14ac:dyDescent="0.3">
      <c r="A25" s="1" t="s">
        <v>2323</v>
      </c>
      <c r="B25" s="1" t="s">
        <v>1739</v>
      </c>
      <c r="C25" s="1" t="s">
        <v>527</v>
      </c>
      <c r="D25" s="1" t="s">
        <v>1740</v>
      </c>
      <c r="E25" s="1" t="s">
        <v>1935</v>
      </c>
      <c r="F25" s="1" t="s">
        <v>2324</v>
      </c>
      <c r="G25" s="1" t="s">
        <v>2324</v>
      </c>
      <c r="H25" s="1" t="s">
        <v>1915</v>
      </c>
      <c r="I25" s="1" t="s">
        <v>1744</v>
      </c>
      <c r="J25" s="1" t="s">
        <v>1745</v>
      </c>
      <c r="K25" s="1" t="s">
        <v>1746</v>
      </c>
      <c r="L25" s="1" t="s">
        <v>1747</v>
      </c>
      <c r="M25" s="1" t="s">
        <v>1748</v>
      </c>
      <c r="N25" s="1" t="s">
        <v>1749</v>
      </c>
      <c r="O25" s="1" t="s">
        <v>1750</v>
      </c>
      <c r="P25" s="1" t="s">
        <v>1751</v>
      </c>
      <c r="Q25">
        <v>49</v>
      </c>
      <c r="R25" s="1" t="s">
        <v>1752</v>
      </c>
      <c r="S25" s="1" t="s">
        <v>1753</v>
      </c>
      <c r="T25" s="1" t="s">
        <v>1754</v>
      </c>
      <c r="U25" s="1" t="s">
        <v>1755</v>
      </c>
      <c r="V25" s="1" t="s">
        <v>1756</v>
      </c>
      <c r="W25">
        <v>72</v>
      </c>
      <c r="X25">
        <v>72</v>
      </c>
      <c r="Y25" s="1" t="s">
        <v>1757</v>
      </c>
      <c r="Z25" s="2">
        <v>36999</v>
      </c>
      <c r="AA25" s="1" t="s">
        <v>2325</v>
      </c>
      <c r="AB25" s="1" t="s">
        <v>1755</v>
      </c>
      <c r="AC25" s="1" t="s">
        <v>2326</v>
      </c>
      <c r="AD25" s="1" t="s">
        <v>424</v>
      </c>
      <c r="AE25" s="1" t="s">
        <v>1760</v>
      </c>
      <c r="AF25" s="1" t="s">
        <v>1761</v>
      </c>
      <c r="AG25" s="1" t="s">
        <v>1762</v>
      </c>
      <c r="AH25" s="1" t="s">
        <v>2325</v>
      </c>
      <c r="AI25" s="1" t="s">
        <v>2325</v>
      </c>
      <c r="AJ25" s="1" t="s">
        <v>1763</v>
      </c>
      <c r="AK25" s="1" t="s">
        <v>1763</v>
      </c>
      <c r="AL25" s="1" t="s">
        <v>1763</v>
      </c>
      <c r="AM25" s="1" t="s">
        <v>2326</v>
      </c>
      <c r="AN25" s="1" t="s">
        <v>424</v>
      </c>
      <c r="AO25" s="1" t="s">
        <v>2327</v>
      </c>
      <c r="AP25" s="1" t="s">
        <v>1765</v>
      </c>
      <c r="AQ25" s="1" t="s">
        <v>1766</v>
      </c>
      <c r="AR25" s="1" t="s">
        <v>1767</v>
      </c>
      <c r="AS25" s="1" t="s">
        <v>1768</v>
      </c>
      <c r="AT25">
        <v>2009150923181390</v>
      </c>
      <c r="AU25" s="1" t="s">
        <v>1769</v>
      </c>
      <c r="AV25">
        <v>35671812214458</v>
      </c>
      <c r="AW25" s="1" t="s">
        <v>1770</v>
      </c>
      <c r="AX25" s="1" t="s">
        <v>1765</v>
      </c>
      <c r="AY25" s="1" t="s">
        <v>2328</v>
      </c>
      <c r="AZ25" s="1" t="s">
        <v>1897</v>
      </c>
      <c r="BA25" s="1" t="s">
        <v>2329</v>
      </c>
      <c r="BB25">
        <v>767</v>
      </c>
      <c r="BC25" s="1" t="s">
        <v>1774</v>
      </c>
      <c r="BD25" s="1" t="s">
        <v>1775</v>
      </c>
      <c r="BE25" s="1" t="s">
        <v>1776</v>
      </c>
      <c r="BF25" s="1" t="s">
        <v>1777</v>
      </c>
      <c r="BG25" s="1" t="s">
        <v>1778</v>
      </c>
      <c r="BH25" s="1" t="s">
        <v>1779</v>
      </c>
      <c r="BI25" s="1" t="s">
        <v>1779</v>
      </c>
      <c r="BJ25" s="1" t="s">
        <v>1780</v>
      </c>
      <c r="BK25" s="1" t="s">
        <v>1781</v>
      </c>
      <c r="BL25" s="1" t="s">
        <v>1754</v>
      </c>
      <c r="BM25" s="1" t="s">
        <v>1782</v>
      </c>
      <c r="BN25" s="1" t="s">
        <v>1783</v>
      </c>
      <c r="BO25" s="1" t="s">
        <v>1784</v>
      </c>
      <c r="BP25" s="1" t="s">
        <v>1785</v>
      </c>
      <c r="BQ25" s="1" t="s">
        <v>1786</v>
      </c>
      <c r="BR25" s="1" t="s">
        <v>2330</v>
      </c>
      <c r="BS25" s="1" t="s">
        <v>1788</v>
      </c>
      <c r="BT25" s="1" t="s">
        <v>2331</v>
      </c>
      <c r="BU25" s="1" t="s">
        <v>1790</v>
      </c>
      <c r="BV25" s="1" t="s">
        <v>2332</v>
      </c>
      <c r="BW25" s="1" t="s">
        <v>1790</v>
      </c>
      <c r="BX25" s="1" t="s">
        <v>2332</v>
      </c>
      <c r="BY25" s="1" t="s">
        <v>2234</v>
      </c>
      <c r="BZ25" s="1" t="s">
        <v>2333</v>
      </c>
      <c r="CA25" s="1" t="s">
        <v>1794</v>
      </c>
      <c r="CB25" s="1" t="s">
        <v>1795</v>
      </c>
      <c r="CC25" s="1" t="s">
        <v>1796</v>
      </c>
      <c r="CD25" s="1" t="s">
        <v>1797</v>
      </c>
      <c r="CE25" s="1" t="s">
        <v>1798</v>
      </c>
      <c r="CF25" s="1" t="s">
        <v>1799</v>
      </c>
      <c r="CG25" s="1" t="s">
        <v>1800</v>
      </c>
      <c r="CH25" s="1" t="s">
        <v>1794</v>
      </c>
      <c r="CI25" s="1" t="s">
        <v>1801</v>
      </c>
      <c r="CJ25" s="1" t="s">
        <v>1794</v>
      </c>
      <c r="CK25" s="1" t="s">
        <v>1802</v>
      </c>
      <c r="CL25" s="1" t="s">
        <v>1803</v>
      </c>
      <c r="CM25" s="1" t="s">
        <v>1804</v>
      </c>
      <c r="CN25" s="1" t="s">
        <v>1805</v>
      </c>
      <c r="CO25" s="1" t="s">
        <v>1794</v>
      </c>
      <c r="CP25" s="1" t="s">
        <v>1806</v>
      </c>
      <c r="CQ25" s="1" t="s">
        <v>1807</v>
      </c>
      <c r="CR25" s="1" t="s">
        <v>1808</v>
      </c>
      <c r="CS25" s="1" t="s">
        <v>1809</v>
      </c>
      <c r="CT25" s="1" t="s">
        <v>1810</v>
      </c>
      <c r="CU25" s="1" t="s">
        <v>1811</v>
      </c>
      <c r="CV25" s="1" t="s">
        <v>1812</v>
      </c>
      <c r="CW25" s="1" t="s">
        <v>1813</v>
      </c>
      <c r="CX25" s="1" t="s">
        <v>1814</v>
      </c>
      <c r="CY25" s="1" t="s">
        <v>1813</v>
      </c>
      <c r="CZ25" s="1" t="s">
        <v>1813</v>
      </c>
      <c r="DA25" s="1" t="s">
        <v>1775</v>
      </c>
      <c r="DB25" s="1" t="s">
        <v>1776</v>
      </c>
      <c r="DC25" s="1" t="s">
        <v>1752</v>
      </c>
      <c r="DD25" s="1" t="s">
        <v>1765</v>
      </c>
      <c r="DE25" s="1" t="s">
        <v>1815</v>
      </c>
      <c r="DF25" s="1" t="s">
        <v>1816</v>
      </c>
      <c r="DG25" s="1" t="s">
        <v>1817</v>
      </c>
      <c r="DH25" s="1" t="s">
        <v>1818</v>
      </c>
      <c r="DI25" s="1" t="s">
        <v>1819</v>
      </c>
      <c r="DJ25" s="1" t="s">
        <v>1820</v>
      </c>
      <c r="DK25" s="1" t="s">
        <v>1821</v>
      </c>
      <c r="DL25" s="1" t="s">
        <v>1822</v>
      </c>
      <c r="DM25" s="1" t="s">
        <v>1765</v>
      </c>
      <c r="DN25" s="1" t="s">
        <v>1765</v>
      </c>
      <c r="DO25" s="1" t="s">
        <v>1823</v>
      </c>
      <c r="DP25" s="1" t="s">
        <v>1824</v>
      </c>
      <c r="DQ25" s="1" t="s">
        <v>1824</v>
      </c>
      <c r="DR25" s="1" t="s">
        <v>1765</v>
      </c>
      <c r="DS25" s="1" t="s">
        <v>1825</v>
      </c>
      <c r="DT25" s="1" t="s">
        <v>1816</v>
      </c>
      <c r="DU25" s="1" t="s">
        <v>1826</v>
      </c>
      <c r="DV25" s="1" t="s">
        <v>2334</v>
      </c>
      <c r="DW25" s="1" t="s">
        <v>1828</v>
      </c>
      <c r="DX25" s="1" t="s">
        <v>2335</v>
      </c>
      <c r="DY25" s="1" t="s">
        <v>424</v>
      </c>
      <c r="DZ25" s="1" t="s">
        <v>1752</v>
      </c>
      <c r="EA25" s="1" t="s">
        <v>218</v>
      </c>
      <c r="EB25" s="1" t="s">
        <v>892</v>
      </c>
      <c r="EC25" s="1" t="s">
        <v>2326</v>
      </c>
      <c r="ED25" s="1" t="s">
        <v>2336</v>
      </c>
      <c r="EE25" s="1" t="s">
        <v>2336</v>
      </c>
      <c r="EF25" s="1" t="s">
        <v>2337</v>
      </c>
      <c r="EG25" s="1" t="s">
        <v>2149</v>
      </c>
      <c r="EH25" s="1" t="s">
        <v>2338</v>
      </c>
      <c r="EI25" s="1" t="s">
        <v>2339</v>
      </c>
      <c r="EJ25" s="1" t="s">
        <v>1887</v>
      </c>
      <c r="EK25" s="1" t="s">
        <v>1836</v>
      </c>
      <c r="EL25" s="1" t="s">
        <v>1837</v>
      </c>
      <c r="EM25" s="1" t="s">
        <v>1838</v>
      </c>
      <c r="EN25" s="1" t="s">
        <v>2340</v>
      </c>
      <c r="EO25" s="1" t="s">
        <v>1840</v>
      </c>
      <c r="EP25" s="1" t="s">
        <v>2341</v>
      </c>
      <c r="EQ25" s="1" t="s">
        <v>1782</v>
      </c>
      <c r="ER25" s="1" t="s">
        <v>1802</v>
      </c>
      <c r="ES25" s="1" t="s">
        <v>1802</v>
      </c>
      <c r="ET25" s="1" t="s">
        <v>1802</v>
      </c>
      <c r="EU25" s="1" t="s">
        <v>1802</v>
      </c>
      <c r="EV25" s="1" t="s">
        <v>1802</v>
      </c>
      <c r="EW25" s="1" t="s">
        <v>1802</v>
      </c>
      <c r="EX25" s="1" t="s">
        <v>1802</v>
      </c>
      <c r="EY25" s="1" t="s">
        <v>1802</v>
      </c>
      <c r="EZ25" s="1" t="s">
        <v>1802</v>
      </c>
      <c r="FA25" s="1" t="s">
        <v>1802</v>
      </c>
      <c r="FB25" s="1" t="s">
        <v>1802</v>
      </c>
      <c r="FC25" s="1" t="s">
        <v>1802</v>
      </c>
      <c r="FD25" s="1" t="s">
        <v>1802</v>
      </c>
      <c r="FE25" s="1" t="s">
        <v>1802</v>
      </c>
      <c r="FF25" s="1" t="s">
        <v>1802</v>
      </c>
      <c r="FG25" s="1" t="s">
        <v>1802</v>
      </c>
      <c r="FH25" s="1" t="s">
        <v>1802</v>
      </c>
      <c r="FI25" s="1" t="s">
        <v>1802</v>
      </c>
      <c r="FJ25" s="1" t="s">
        <v>1802</v>
      </c>
      <c r="FK25" s="1" t="s">
        <v>1802</v>
      </c>
      <c r="FL25" s="1" t="s">
        <v>1802</v>
      </c>
      <c r="FM25" s="1" t="s">
        <v>1802</v>
      </c>
      <c r="FN25" s="1" t="s">
        <v>1802</v>
      </c>
      <c r="FO25" s="1" t="s">
        <v>1802</v>
      </c>
      <c r="FP25" s="1" t="s">
        <v>1802</v>
      </c>
      <c r="FQ25" s="1" t="s">
        <v>1802</v>
      </c>
      <c r="FR25" s="2"/>
      <c r="FS25" s="1" t="s">
        <v>1802</v>
      </c>
    </row>
    <row r="26" spans="1:175" x14ac:dyDescent="0.3">
      <c r="A26" s="1" t="s">
        <v>2342</v>
      </c>
      <c r="B26" s="1" t="s">
        <v>1739</v>
      </c>
      <c r="C26" s="1" t="s">
        <v>548</v>
      </c>
      <c r="D26" s="1" t="s">
        <v>1740</v>
      </c>
      <c r="E26" s="1" t="s">
        <v>1913</v>
      </c>
      <c r="F26" s="1" t="s">
        <v>2343</v>
      </c>
      <c r="G26" s="1" t="s">
        <v>2343</v>
      </c>
      <c r="H26" s="1" t="s">
        <v>2344</v>
      </c>
      <c r="I26" s="1" t="s">
        <v>1744</v>
      </c>
      <c r="J26" s="1" t="s">
        <v>1745</v>
      </c>
      <c r="K26" s="1" t="s">
        <v>1746</v>
      </c>
      <c r="L26" s="1" t="s">
        <v>1747</v>
      </c>
      <c r="M26" s="1" t="s">
        <v>1748</v>
      </c>
      <c r="N26" s="1" t="s">
        <v>1749</v>
      </c>
      <c r="O26" s="1" t="s">
        <v>1750</v>
      </c>
      <c r="P26" s="1" t="s">
        <v>1751</v>
      </c>
      <c r="Q26">
        <v>49</v>
      </c>
      <c r="R26" s="1" t="s">
        <v>1752</v>
      </c>
      <c r="S26" s="1" t="s">
        <v>1753</v>
      </c>
      <c r="T26" s="1" t="s">
        <v>1754</v>
      </c>
      <c r="U26" s="1" t="s">
        <v>1755</v>
      </c>
      <c r="V26" s="1" t="s">
        <v>1756</v>
      </c>
      <c r="W26">
        <v>72</v>
      </c>
      <c r="X26">
        <v>72</v>
      </c>
      <c r="Y26" s="1" t="s">
        <v>1757</v>
      </c>
      <c r="Z26" s="2">
        <v>36999</v>
      </c>
      <c r="AA26" s="1" t="s">
        <v>2345</v>
      </c>
      <c r="AB26" s="1" t="s">
        <v>1755</v>
      </c>
      <c r="AC26" s="1" t="s">
        <v>2346</v>
      </c>
      <c r="AD26" s="1" t="s">
        <v>424</v>
      </c>
      <c r="AE26" s="1" t="s">
        <v>1760</v>
      </c>
      <c r="AF26" s="1" t="s">
        <v>1761</v>
      </c>
      <c r="AG26" s="1" t="s">
        <v>1762</v>
      </c>
      <c r="AH26" s="1" t="s">
        <v>2345</v>
      </c>
      <c r="AI26" s="1" t="s">
        <v>2345</v>
      </c>
      <c r="AJ26" s="1" t="s">
        <v>1763</v>
      </c>
      <c r="AK26" s="1" t="s">
        <v>1763</v>
      </c>
      <c r="AL26" s="1" t="s">
        <v>1763</v>
      </c>
      <c r="AM26" s="1" t="s">
        <v>2346</v>
      </c>
      <c r="AN26" s="1" t="s">
        <v>424</v>
      </c>
      <c r="AO26" s="1" t="s">
        <v>2347</v>
      </c>
      <c r="AP26" s="1" t="s">
        <v>1765</v>
      </c>
      <c r="AQ26" s="1" t="s">
        <v>1766</v>
      </c>
      <c r="AR26" s="1" t="s">
        <v>1767</v>
      </c>
      <c r="AS26" s="1" t="s">
        <v>1768</v>
      </c>
      <c r="AT26">
        <v>2009150923181390</v>
      </c>
      <c r="AU26" s="1" t="s">
        <v>1769</v>
      </c>
      <c r="AV26">
        <v>38174794391708</v>
      </c>
      <c r="AW26" s="1" t="s">
        <v>1770</v>
      </c>
      <c r="AX26" s="1" t="s">
        <v>1765</v>
      </c>
      <c r="AY26" s="1" t="s">
        <v>2348</v>
      </c>
      <c r="AZ26" s="1" t="s">
        <v>1897</v>
      </c>
      <c r="BA26" s="1" t="s">
        <v>2349</v>
      </c>
      <c r="BB26">
        <v>398</v>
      </c>
      <c r="BC26" s="1" t="s">
        <v>1774</v>
      </c>
      <c r="BD26" s="1" t="s">
        <v>1775</v>
      </c>
      <c r="BE26" s="1" t="s">
        <v>1776</v>
      </c>
      <c r="BF26" s="1" t="s">
        <v>1777</v>
      </c>
      <c r="BG26" s="1" t="s">
        <v>1778</v>
      </c>
      <c r="BH26" s="1" t="s">
        <v>1779</v>
      </c>
      <c r="BI26" s="1" t="s">
        <v>1779</v>
      </c>
      <c r="BJ26" s="1" t="s">
        <v>1780</v>
      </c>
      <c r="BK26" s="1" t="s">
        <v>1781</v>
      </c>
      <c r="BL26" s="1" t="s">
        <v>1754</v>
      </c>
      <c r="BM26" s="1" t="s">
        <v>1782</v>
      </c>
      <c r="BN26" s="1" t="s">
        <v>1783</v>
      </c>
      <c r="BO26" s="1" t="s">
        <v>1784</v>
      </c>
      <c r="BP26" s="1" t="s">
        <v>1785</v>
      </c>
      <c r="BQ26" s="1" t="s">
        <v>1786</v>
      </c>
      <c r="BR26" s="1" t="s">
        <v>2350</v>
      </c>
      <c r="BS26" s="1" t="s">
        <v>1788</v>
      </c>
      <c r="BT26" s="1" t="s">
        <v>2351</v>
      </c>
      <c r="BU26" s="1" t="s">
        <v>1790</v>
      </c>
      <c r="BV26" s="1" t="s">
        <v>2352</v>
      </c>
      <c r="BW26" s="1" t="s">
        <v>1790</v>
      </c>
      <c r="BX26" s="1" t="s">
        <v>2352</v>
      </c>
      <c r="BY26" s="1" t="s">
        <v>2234</v>
      </c>
      <c r="BZ26" s="1" t="s">
        <v>2353</v>
      </c>
      <c r="CA26" s="1" t="s">
        <v>1794</v>
      </c>
      <c r="CB26" s="1" t="s">
        <v>1795</v>
      </c>
      <c r="CC26" s="1" t="s">
        <v>1796</v>
      </c>
      <c r="CD26" s="1" t="s">
        <v>1797</v>
      </c>
      <c r="CE26" s="1" t="s">
        <v>1798</v>
      </c>
      <c r="CF26" s="1" t="s">
        <v>1799</v>
      </c>
      <c r="CG26" s="1" t="s">
        <v>1800</v>
      </c>
      <c r="CH26" s="1" t="s">
        <v>1794</v>
      </c>
      <c r="CI26" s="1" t="s">
        <v>1801</v>
      </c>
      <c r="CJ26" s="1" t="s">
        <v>1794</v>
      </c>
      <c r="CK26" s="1" t="s">
        <v>1802</v>
      </c>
      <c r="CL26" s="1" t="s">
        <v>1803</v>
      </c>
      <c r="CM26" s="1" t="s">
        <v>1804</v>
      </c>
      <c r="CN26" s="1" t="s">
        <v>1805</v>
      </c>
      <c r="CO26" s="1" t="s">
        <v>1794</v>
      </c>
      <c r="CP26" s="1" t="s">
        <v>1806</v>
      </c>
      <c r="CQ26" s="1" t="s">
        <v>1807</v>
      </c>
      <c r="CR26" s="1" t="s">
        <v>1808</v>
      </c>
      <c r="CS26" s="1" t="s">
        <v>1809</v>
      </c>
      <c r="CT26" s="1" t="s">
        <v>1810</v>
      </c>
      <c r="CU26" s="1" t="s">
        <v>1811</v>
      </c>
      <c r="CV26" s="1" t="s">
        <v>1812</v>
      </c>
      <c r="CW26" s="1" t="s">
        <v>1813</v>
      </c>
      <c r="CX26" s="1" t="s">
        <v>1814</v>
      </c>
      <c r="CY26" s="1" t="s">
        <v>1813</v>
      </c>
      <c r="CZ26" s="1" t="s">
        <v>1813</v>
      </c>
      <c r="DA26" s="1" t="s">
        <v>1775</v>
      </c>
      <c r="DB26" s="1" t="s">
        <v>1776</v>
      </c>
      <c r="DC26" s="1" t="s">
        <v>1752</v>
      </c>
      <c r="DD26" s="1" t="s">
        <v>1765</v>
      </c>
      <c r="DE26" s="1" t="s">
        <v>1815</v>
      </c>
      <c r="DF26" s="1" t="s">
        <v>1816</v>
      </c>
      <c r="DG26" s="1" t="s">
        <v>1817</v>
      </c>
      <c r="DH26" s="1" t="s">
        <v>1818</v>
      </c>
      <c r="DI26" s="1" t="s">
        <v>1819</v>
      </c>
      <c r="DJ26" s="1" t="s">
        <v>1820</v>
      </c>
      <c r="DK26" s="1" t="s">
        <v>1821</v>
      </c>
      <c r="DL26" s="1" t="s">
        <v>1822</v>
      </c>
      <c r="DM26" s="1" t="s">
        <v>1765</v>
      </c>
      <c r="DN26" s="1" t="s">
        <v>1765</v>
      </c>
      <c r="DO26" s="1" t="s">
        <v>1823</v>
      </c>
      <c r="DP26" s="1" t="s">
        <v>1824</v>
      </c>
      <c r="DQ26" s="1" t="s">
        <v>1824</v>
      </c>
      <c r="DR26" s="1" t="s">
        <v>1765</v>
      </c>
      <c r="DS26" s="1" t="s">
        <v>1825</v>
      </c>
      <c r="DT26" s="1" t="s">
        <v>1816</v>
      </c>
      <c r="DU26" s="1" t="s">
        <v>1826</v>
      </c>
      <c r="DV26" s="1" t="s">
        <v>2354</v>
      </c>
      <c r="DW26" s="1" t="s">
        <v>1828</v>
      </c>
      <c r="DX26" s="1" t="s">
        <v>2355</v>
      </c>
      <c r="DY26" s="1" t="s">
        <v>424</v>
      </c>
      <c r="DZ26" s="1" t="s">
        <v>1752</v>
      </c>
      <c r="EA26" s="1" t="s">
        <v>218</v>
      </c>
      <c r="EB26" s="1" t="s">
        <v>892</v>
      </c>
      <c r="EC26" s="1" t="s">
        <v>2346</v>
      </c>
      <c r="ED26" s="1" t="s">
        <v>2356</v>
      </c>
      <c r="EE26" s="1" t="s">
        <v>2356</v>
      </c>
      <c r="EF26" s="1" t="s">
        <v>2357</v>
      </c>
      <c r="EG26" s="1" t="s">
        <v>1907</v>
      </c>
      <c r="EH26" s="1" t="s">
        <v>2358</v>
      </c>
      <c r="EI26" s="1" t="s">
        <v>2359</v>
      </c>
      <c r="EJ26" s="1" t="s">
        <v>2152</v>
      </c>
      <c r="EK26" s="1" t="s">
        <v>1836</v>
      </c>
      <c r="EL26" s="1" t="s">
        <v>1837</v>
      </c>
      <c r="EM26" s="1" t="s">
        <v>1838</v>
      </c>
      <c r="EN26" s="1" t="s">
        <v>2360</v>
      </c>
      <c r="EO26" s="1" t="s">
        <v>1840</v>
      </c>
      <c r="EP26" s="1" t="s">
        <v>2361</v>
      </c>
      <c r="EQ26" s="1" t="s">
        <v>1782</v>
      </c>
      <c r="ER26" s="1" t="s">
        <v>1802</v>
      </c>
      <c r="ES26" s="1" t="s">
        <v>1802</v>
      </c>
      <c r="ET26" s="1" t="s">
        <v>1802</v>
      </c>
      <c r="EU26" s="1" t="s">
        <v>1802</v>
      </c>
      <c r="EV26" s="1" t="s">
        <v>1802</v>
      </c>
      <c r="EW26" s="1" t="s">
        <v>1802</v>
      </c>
      <c r="EX26" s="1" t="s">
        <v>1802</v>
      </c>
      <c r="EY26" s="1" t="s">
        <v>1802</v>
      </c>
      <c r="EZ26" s="1" t="s">
        <v>1802</v>
      </c>
      <c r="FA26" s="1" t="s">
        <v>1802</v>
      </c>
      <c r="FB26" s="1" t="s">
        <v>1802</v>
      </c>
      <c r="FC26" s="1" t="s">
        <v>1802</v>
      </c>
      <c r="FD26" s="1" t="s">
        <v>1802</v>
      </c>
      <c r="FE26" s="1" t="s">
        <v>1802</v>
      </c>
      <c r="FF26" s="1" t="s">
        <v>1802</v>
      </c>
      <c r="FG26" s="1" t="s">
        <v>1802</v>
      </c>
      <c r="FH26" s="1" t="s">
        <v>1802</v>
      </c>
      <c r="FI26" s="1" t="s">
        <v>1802</v>
      </c>
      <c r="FJ26" s="1" t="s">
        <v>1802</v>
      </c>
      <c r="FK26" s="1" t="s">
        <v>1802</v>
      </c>
      <c r="FL26" s="1" t="s">
        <v>1802</v>
      </c>
      <c r="FM26" s="1" t="s">
        <v>1802</v>
      </c>
      <c r="FN26" s="1" t="s">
        <v>1802</v>
      </c>
      <c r="FO26" s="1" t="s">
        <v>1802</v>
      </c>
      <c r="FP26" s="1" t="s">
        <v>1802</v>
      </c>
      <c r="FQ26" s="1" t="s">
        <v>1802</v>
      </c>
      <c r="FR26" s="2"/>
      <c r="FS26" s="1" t="s">
        <v>1802</v>
      </c>
    </row>
    <row r="27" spans="1:175" x14ac:dyDescent="0.3">
      <c r="A27" s="1" t="s">
        <v>2362</v>
      </c>
      <c r="B27" s="1" t="s">
        <v>1739</v>
      </c>
      <c r="C27" s="1" t="s">
        <v>565</v>
      </c>
      <c r="D27" s="1" t="s">
        <v>1740</v>
      </c>
      <c r="E27" s="1" t="s">
        <v>1957</v>
      </c>
      <c r="F27" s="1" t="s">
        <v>2363</v>
      </c>
      <c r="G27" s="1" t="s">
        <v>2363</v>
      </c>
      <c r="H27" s="1" t="s">
        <v>2364</v>
      </c>
      <c r="I27" s="1" t="s">
        <v>1744</v>
      </c>
      <c r="J27" s="1" t="s">
        <v>1745</v>
      </c>
      <c r="K27" s="1" t="s">
        <v>1746</v>
      </c>
      <c r="L27" s="1" t="s">
        <v>1747</v>
      </c>
      <c r="M27" s="1" t="s">
        <v>1748</v>
      </c>
      <c r="N27" s="1" t="s">
        <v>1749</v>
      </c>
      <c r="O27" s="1" t="s">
        <v>1750</v>
      </c>
      <c r="P27" s="1" t="s">
        <v>1751</v>
      </c>
      <c r="Q27">
        <v>49</v>
      </c>
      <c r="R27" s="1" t="s">
        <v>1752</v>
      </c>
      <c r="S27" s="1" t="s">
        <v>1753</v>
      </c>
      <c r="T27" s="1" t="s">
        <v>1754</v>
      </c>
      <c r="U27" s="1" t="s">
        <v>1755</v>
      </c>
      <c r="V27" s="1" t="s">
        <v>1756</v>
      </c>
      <c r="W27">
        <v>72</v>
      </c>
      <c r="X27">
        <v>72</v>
      </c>
      <c r="Y27" s="1" t="s">
        <v>1757</v>
      </c>
      <c r="Z27" s="2">
        <v>36999</v>
      </c>
      <c r="AA27" s="1" t="s">
        <v>2365</v>
      </c>
      <c r="AB27" s="1" t="s">
        <v>1755</v>
      </c>
      <c r="AC27" s="1" t="s">
        <v>2366</v>
      </c>
      <c r="AD27" s="1" t="s">
        <v>424</v>
      </c>
      <c r="AE27" s="1" t="s">
        <v>1760</v>
      </c>
      <c r="AF27" s="1" t="s">
        <v>1761</v>
      </c>
      <c r="AG27" s="1" t="s">
        <v>1762</v>
      </c>
      <c r="AH27" s="1" t="s">
        <v>2365</v>
      </c>
      <c r="AI27" s="1" t="s">
        <v>2365</v>
      </c>
      <c r="AJ27" s="1" t="s">
        <v>1763</v>
      </c>
      <c r="AK27" s="1" t="s">
        <v>1763</v>
      </c>
      <c r="AL27" s="1" t="s">
        <v>1763</v>
      </c>
      <c r="AM27" s="1" t="s">
        <v>2366</v>
      </c>
      <c r="AN27" s="1" t="s">
        <v>424</v>
      </c>
      <c r="AO27" s="1" t="s">
        <v>2367</v>
      </c>
      <c r="AP27" s="1" t="s">
        <v>1765</v>
      </c>
      <c r="AQ27" s="1" t="s">
        <v>1766</v>
      </c>
      <c r="AR27" s="1" t="s">
        <v>1767</v>
      </c>
      <c r="AS27" s="1" t="s">
        <v>1768</v>
      </c>
      <c r="AT27">
        <v>2010150922131390</v>
      </c>
      <c r="AU27" s="1" t="s">
        <v>1769</v>
      </c>
      <c r="AV27">
        <v>40015043240916</v>
      </c>
      <c r="AW27" s="1" t="s">
        <v>1770</v>
      </c>
      <c r="AX27" s="1" t="s">
        <v>1765</v>
      </c>
      <c r="AY27" s="1" t="s">
        <v>2368</v>
      </c>
      <c r="AZ27" s="1" t="s">
        <v>1897</v>
      </c>
      <c r="BA27" s="1" t="s">
        <v>2369</v>
      </c>
      <c r="BB27">
        <v>27</v>
      </c>
      <c r="BC27" s="1" t="s">
        <v>1774</v>
      </c>
      <c r="BD27" s="1" t="s">
        <v>1775</v>
      </c>
      <c r="BE27" s="1" t="s">
        <v>1776</v>
      </c>
      <c r="BF27" s="1" t="s">
        <v>1777</v>
      </c>
      <c r="BG27" s="1" t="s">
        <v>1778</v>
      </c>
      <c r="BH27" s="1" t="s">
        <v>1779</v>
      </c>
      <c r="BI27" s="1" t="s">
        <v>1779</v>
      </c>
      <c r="BJ27" s="1" t="s">
        <v>1780</v>
      </c>
      <c r="BK27" s="1" t="s">
        <v>1781</v>
      </c>
      <c r="BL27" s="1" t="s">
        <v>1754</v>
      </c>
      <c r="BM27" s="1" t="s">
        <v>1782</v>
      </c>
      <c r="BN27" s="1" t="s">
        <v>1783</v>
      </c>
      <c r="BO27" s="1" t="s">
        <v>1784</v>
      </c>
      <c r="BP27" s="1" t="s">
        <v>1785</v>
      </c>
      <c r="BQ27" s="1" t="s">
        <v>1786</v>
      </c>
      <c r="BR27" s="1" t="s">
        <v>2370</v>
      </c>
      <c r="BS27" s="1" t="s">
        <v>1788</v>
      </c>
      <c r="BT27" s="1" t="s">
        <v>2371</v>
      </c>
      <c r="BU27" s="1" t="s">
        <v>1790</v>
      </c>
      <c r="BV27" s="1" t="s">
        <v>2372</v>
      </c>
      <c r="BW27" s="1" t="s">
        <v>1790</v>
      </c>
      <c r="BX27" s="1" t="s">
        <v>2372</v>
      </c>
      <c r="BY27" s="1" t="s">
        <v>2234</v>
      </c>
      <c r="BZ27" s="1" t="s">
        <v>2373</v>
      </c>
      <c r="CA27" s="1" t="s">
        <v>1794</v>
      </c>
      <c r="CB27" s="1" t="s">
        <v>1795</v>
      </c>
      <c r="CC27" s="1" t="s">
        <v>1796</v>
      </c>
      <c r="CD27" s="1" t="s">
        <v>1797</v>
      </c>
      <c r="CE27" s="1" t="s">
        <v>1798</v>
      </c>
      <c r="CF27" s="1" t="s">
        <v>1799</v>
      </c>
      <c r="CG27" s="1" t="s">
        <v>1800</v>
      </c>
      <c r="CH27" s="1" t="s">
        <v>1794</v>
      </c>
      <c r="CI27" s="1" t="s">
        <v>1801</v>
      </c>
      <c r="CJ27" s="1" t="s">
        <v>1794</v>
      </c>
      <c r="CK27" s="1" t="s">
        <v>1802</v>
      </c>
      <c r="CL27" s="1" t="s">
        <v>1803</v>
      </c>
      <c r="CM27" s="1" t="s">
        <v>1804</v>
      </c>
      <c r="CN27" s="1" t="s">
        <v>1805</v>
      </c>
      <c r="CO27" s="1" t="s">
        <v>1794</v>
      </c>
      <c r="CP27" s="1" t="s">
        <v>1806</v>
      </c>
      <c r="CQ27" s="1" t="s">
        <v>1807</v>
      </c>
      <c r="CR27" s="1" t="s">
        <v>1808</v>
      </c>
      <c r="CS27" s="1" t="s">
        <v>1809</v>
      </c>
      <c r="CT27" s="1" t="s">
        <v>1810</v>
      </c>
      <c r="CU27" s="1" t="s">
        <v>1811</v>
      </c>
      <c r="CV27" s="1" t="s">
        <v>1812</v>
      </c>
      <c r="CW27" s="1" t="s">
        <v>1813</v>
      </c>
      <c r="CX27" s="1" t="s">
        <v>1814</v>
      </c>
      <c r="CY27" s="1" t="s">
        <v>1813</v>
      </c>
      <c r="CZ27" s="1" t="s">
        <v>1813</v>
      </c>
      <c r="DA27" s="1" t="s">
        <v>1775</v>
      </c>
      <c r="DB27" s="1" t="s">
        <v>1776</v>
      </c>
      <c r="DC27" s="1" t="s">
        <v>1752</v>
      </c>
      <c r="DD27" s="1" t="s">
        <v>1765</v>
      </c>
      <c r="DE27" s="1" t="s">
        <v>1815</v>
      </c>
      <c r="DF27" s="1" t="s">
        <v>1816</v>
      </c>
      <c r="DG27" s="1" t="s">
        <v>1817</v>
      </c>
      <c r="DH27" s="1" t="s">
        <v>1818</v>
      </c>
      <c r="DI27" s="1" t="s">
        <v>1819</v>
      </c>
      <c r="DJ27" s="1" t="s">
        <v>1820</v>
      </c>
      <c r="DK27" s="1" t="s">
        <v>1821</v>
      </c>
      <c r="DL27" s="1" t="s">
        <v>1822</v>
      </c>
      <c r="DM27" s="1" t="s">
        <v>1765</v>
      </c>
      <c r="DN27" s="1" t="s">
        <v>1765</v>
      </c>
      <c r="DO27" s="1" t="s">
        <v>1823</v>
      </c>
      <c r="DP27" s="1" t="s">
        <v>1824</v>
      </c>
      <c r="DQ27" s="1" t="s">
        <v>1824</v>
      </c>
      <c r="DR27" s="1" t="s">
        <v>1765</v>
      </c>
      <c r="DS27" s="1" t="s">
        <v>1825</v>
      </c>
      <c r="DT27" s="1" t="s">
        <v>1816</v>
      </c>
      <c r="DU27" s="1" t="s">
        <v>1826</v>
      </c>
      <c r="DV27" s="1" t="s">
        <v>2374</v>
      </c>
      <c r="DW27" s="1" t="s">
        <v>1828</v>
      </c>
      <c r="DX27" s="1" t="s">
        <v>2375</v>
      </c>
      <c r="DY27" s="1" t="s">
        <v>424</v>
      </c>
      <c r="DZ27" s="1" t="s">
        <v>1752</v>
      </c>
      <c r="EA27" s="1" t="s">
        <v>218</v>
      </c>
      <c r="EB27" s="1" t="s">
        <v>892</v>
      </c>
      <c r="EC27" s="1" t="s">
        <v>2366</v>
      </c>
      <c r="ED27" s="1" t="s">
        <v>2376</v>
      </c>
      <c r="EE27" s="1" t="s">
        <v>2376</v>
      </c>
      <c r="EF27" s="1" t="s">
        <v>2377</v>
      </c>
      <c r="EG27" s="1" t="s">
        <v>1973</v>
      </c>
      <c r="EH27" s="1" t="s">
        <v>2378</v>
      </c>
      <c r="EI27" s="1" t="s">
        <v>2151</v>
      </c>
      <c r="EJ27" s="1" t="s">
        <v>2176</v>
      </c>
      <c r="EK27" s="1" t="s">
        <v>1836</v>
      </c>
      <c r="EL27" s="1" t="s">
        <v>1837</v>
      </c>
      <c r="EM27" s="1" t="s">
        <v>1838</v>
      </c>
      <c r="EN27" s="1" t="s">
        <v>2379</v>
      </c>
      <c r="EO27" s="1" t="s">
        <v>1840</v>
      </c>
      <c r="EP27" s="1" t="s">
        <v>2380</v>
      </c>
      <c r="EQ27" s="1" t="s">
        <v>1782</v>
      </c>
      <c r="ER27" s="1" t="s">
        <v>1802</v>
      </c>
      <c r="ES27" s="1" t="s">
        <v>1802</v>
      </c>
      <c r="ET27" s="1" t="s">
        <v>1802</v>
      </c>
      <c r="EU27" s="1" t="s">
        <v>1802</v>
      </c>
      <c r="EV27" s="1" t="s">
        <v>1802</v>
      </c>
      <c r="EW27" s="1" t="s">
        <v>1802</v>
      </c>
      <c r="EX27" s="1" t="s">
        <v>1802</v>
      </c>
      <c r="EY27" s="1" t="s">
        <v>1802</v>
      </c>
      <c r="EZ27" s="1" t="s">
        <v>1802</v>
      </c>
      <c r="FA27" s="1" t="s">
        <v>1802</v>
      </c>
      <c r="FB27" s="1" t="s">
        <v>1802</v>
      </c>
      <c r="FC27" s="1" t="s">
        <v>1802</v>
      </c>
      <c r="FD27" s="1" t="s">
        <v>1802</v>
      </c>
      <c r="FE27" s="1" t="s">
        <v>1802</v>
      </c>
      <c r="FF27" s="1" t="s">
        <v>1802</v>
      </c>
      <c r="FG27" s="1" t="s">
        <v>1802</v>
      </c>
      <c r="FH27" s="1" t="s">
        <v>1802</v>
      </c>
      <c r="FI27" s="1" t="s">
        <v>1802</v>
      </c>
      <c r="FJ27" s="1" t="s">
        <v>1802</v>
      </c>
      <c r="FK27" s="1" t="s">
        <v>1802</v>
      </c>
      <c r="FL27" s="1" t="s">
        <v>1802</v>
      </c>
      <c r="FM27" s="1" t="s">
        <v>1802</v>
      </c>
      <c r="FN27" s="1" t="s">
        <v>1802</v>
      </c>
      <c r="FO27" s="1" t="s">
        <v>1802</v>
      </c>
      <c r="FP27" s="1" t="s">
        <v>1802</v>
      </c>
      <c r="FQ27" s="1" t="s">
        <v>1802</v>
      </c>
      <c r="FR27" s="2"/>
      <c r="FS27" s="1" t="s">
        <v>1802</v>
      </c>
    </row>
    <row r="28" spans="1:175" x14ac:dyDescent="0.3">
      <c r="A28" s="1" t="s">
        <v>2381</v>
      </c>
      <c r="B28" s="1" t="s">
        <v>1739</v>
      </c>
      <c r="C28" s="1" t="s">
        <v>576</v>
      </c>
      <c r="D28" s="1" t="s">
        <v>1740</v>
      </c>
      <c r="E28" s="1" t="s">
        <v>1957</v>
      </c>
      <c r="F28" s="1" t="s">
        <v>2382</v>
      </c>
      <c r="G28" s="1" t="s">
        <v>2382</v>
      </c>
      <c r="H28" s="1" t="s">
        <v>2383</v>
      </c>
      <c r="I28" s="1" t="s">
        <v>1744</v>
      </c>
      <c r="J28" s="1" t="s">
        <v>1745</v>
      </c>
      <c r="K28" s="1" t="s">
        <v>1746</v>
      </c>
      <c r="L28" s="1" t="s">
        <v>1747</v>
      </c>
      <c r="M28" s="1" t="s">
        <v>1748</v>
      </c>
      <c r="N28" s="1" t="s">
        <v>1749</v>
      </c>
      <c r="O28" s="1" t="s">
        <v>1750</v>
      </c>
      <c r="P28" s="1" t="s">
        <v>1751</v>
      </c>
      <c r="Q28">
        <v>49</v>
      </c>
      <c r="R28" s="1" t="s">
        <v>1752</v>
      </c>
      <c r="S28" s="1" t="s">
        <v>1753</v>
      </c>
      <c r="T28" s="1" t="s">
        <v>1754</v>
      </c>
      <c r="U28" s="1" t="s">
        <v>1755</v>
      </c>
      <c r="V28" s="1" t="s">
        <v>1756</v>
      </c>
      <c r="W28">
        <v>72</v>
      </c>
      <c r="X28">
        <v>72</v>
      </c>
      <c r="Y28" s="1" t="s">
        <v>1757</v>
      </c>
      <c r="Z28" s="2">
        <v>36999</v>
      </c>
      <c r="AA28" s="1" t="s">
        <v>2384</v>
      </c>
      <c r="AB28" s="1" t="s">
        <v>1755</v>
      </c>
      <c r="AC28" s="1" t="s">
        <v>2385</v>
      </c>
      <c r="AD28" s="1" t="s">
        <v>424</v>
      </c>
      <c r="AE28" s="1" t="s">
        <v>1760</v>
      </c>
      <c r="AF28" s="1" t="s">
        <v>1761</v>
      </c>
      <c r="AG28" s="1" t="s">
        <v>1762</v>
      </c>
      <c r="AH28" s="1" t="s">
        <v>2384</v>
      </c>
      <c r="AI28" s="1" t="s">
        <v>2384</v>
      </c>
      <c r="AJ28" s="1" t="s">
        <v>1763</v>
      </c>
      <c r="AK28" s="1" t="s">
        <v>1763</v>
      </c>
      <c r="AL28" s="1" t="s">
        <v>1763</v>
      </c>
      <c r="AM28" s="1" t="s">
        <v>2385</v>
      </c>
      <c r="AN28" s="1" t="s">
        <v>424</v>
      </c>
      <c r="AO28" s="1" t="s">
        <v>2386</v>
      </c>
      <c r="AP28" s="1" t="s">
        <v>1765</v>
      </c>
      <c r="AQ28" s="1" t="s">
        <v>1766</v>
      </c>
      <c r="AR28" s="1" t="s">
        <v>1767</v>
      </c>
      <c r="AS28" s="1" t="s">
        <v>1768</v>
      </c>
      <c r="AT28">
        <v>2010150922131390</v>
      </c>
      <c r="AU28" s="1" t="s">
        <v>1769</v>
      </c>
      <c r="AV28">
        <v>42704930563416</v>
      </c>
      <c r="AW28" s="1" t="s">
        <v>1770</v>
      </c>
      <c r="AX28" s="1" t="s">
        <v>1765</v>
      </c>
      <c r="AY28" s="1" t="s">
        <v>2387</v>
      </c>
      <c r="AZ28" s="1" t="s">
        <v>1897</v>
      </c>
      <c r="BA28" s="1" t="s">
        <v>1851</v>
      </c>
      <c r="BB28">
        <v>783</v>
      </c>
      <c r="BC28" s="1" t="s">
        <v>1774</v>
      </c>
      <c r="BD28" s="1" t="s">
        <v>1775</v>
      </c>
      <c r="BE28" s="1" t="s">
        <v>1776</v>
      </c>
      <c r="BF28" s="1" t="s">
        <v>1777</v>
      </c>
      <c r="BG28" s="1" t="s">
        <v>1778</v>
      </c>
      <c r="BH28" s="1" t="s">
        <v>1779</v>
      </c>
      <c r="BI28" s="1" t="s">
        <v>1779</v>
      </c>
      <c r="BJ28" s="1" t="s">
        <v>1780</v>
      </c>
      <c r="BK28" s="1" t="s">
        <v>1781</v>
      </c>
      <c r="BL28" s="1" t="s">
        <v>1754</v>
      </c>
      <c r="BM28" s="1" t="s">
        <v>1782</v>
      </c>
      <c r="BN28" s="1" t="s">
        <v>1783</v>
      </c>
      <c r="BO28" s="1" t="s">
        <v>1784</v>
      </c>
      <c r="BP28" s="1" t="s">
        <v>1785</v>
      </c>
      <c r="BQ28" s="1" t="s">
        <v>1786</v>
      </c>
      <c r="BR28" s="1" t="s">
        <v>2388</v>
      </c>
      <c r="BS28" s="1" t="s">
        <v>1788</v>
      </c>
      <c r="BT28" s="1" t="s">
        <v>2389</v>
      </c>
      <c r="BU28" s="1" t="s">
        <v>1790</v>
      </c>
      <c r="BV28" s="1" t="s">
        <v>2390</v>
      </c>
      <c r="BW28" s="1" t="s">
        <v>1790</v>
      </c>
      <c r="BX28" s="1" t="s">
        <v>2390</v>
      </c>
      <c r="BY28" s="1" t="s">
        <v>2234</v>
      </c>
      <c r="BZ28" s="1" t="s">
        <v>2391</v>
      </c>
      <c r="CA28" s="1" t="s">
        <v>1794</v>
      </c>
      <c r="CB28" s="1" t="s">
        <v>1795</v>
      </c>
      <c r="CC28" s="1" t="s">
        <v>1796</v>
      </c>
      <c r="CD28" s="1" t="s">
        <v>1797</v>
      </c>
      <c r="CE28" s="1" t="s">
        <v>1798</v>
      </c>
      <c r="CF28" s="1" t="s">
        <v>1799</v>
      </c>
      <c r="CG28" s="1" t="s">
        <v>1800</v>
      </c>
      <c r="CH28" s="1" t="s">
        <v>1794</v>
      </c>
      <c r="CI28" s="1" t="s">
        <v>1801</v>
      </c>
      <c r="CJ28" s="1" t="s">
        <v>1794</v>
      </c>
      <c r="CK28" s="1" t="s">
        <v>1802</v>
      </c>
      <c r="CL28" s="1" t="s">
        <v>1803</v>
      </c>
      <c r="CM28" s="1" t="s">
        <v>1804</v>
      </c>
      <c r="CN28" s="1" t="s">
        <v>1805</v>
      </c>
      <c r="CO28" s="1" t="s">
        <v>1794</v>
      </c>
      <c r="CP28" s="1" t="s">
        <v>1806</v>
      </c>
      <c r="CQ28" s="1" t="s">
        <v>1807</v>
      </c>
      <c r="CR28" s="1" t="s">
        <v>1808</v>
      </c>
      <c r="CS28" s="1" t="s">
        <v>1809</v>
      </c>
      <c r="CT28" s="1" t="s">
        <v>1810</v>
      </c>
      <c r="CU28" s="1" t="s">
        <v>1811</v>
      </c>
      <c r="CV28" s="1" t="s">
        <v>1812</v>
      </c>
      <c r="CW28" s="1" t="s">
        <v>1813</v>
      </c>
      <c r="CX28" s="1" t="s">
        <v>1814</v>
      </c>
      <c r="CY28" s="1" t="s">
        <v>1813</v>
      </c>
      <c r="CZ28" s="1" t="s">
        <v>1813</v>
      </c>
      <c r="DA28" s="1" t="s">
        <v>1775</v>
      </c>
      <c r="DB28" s="1" t="s">
        <v>1776</v>
      </c>
      <c r="DC28" s="1" t="s">
        <v>1752</v>
      </c>
      <c r="DD28" s="1" t="s">
        <v>1765</v>
      </c>
      <c r="DE28" s="1" t="s">
        <v>1815</v>
      </c>
      <c r="DF28" s="1" t="s">
        <v>1816</v>
      </c>
      <c r="DG28" s="1" t="s">
        <v>1817</v>
      </c>
      <c r="DH28" s="1" t="s">
        <v>1818</v>
      </c>
      <c r="DI28" s="1" t="s">
        <v>1819</v>
      </c>
      <c r="DJ28" s="1" t="s">
        <v>1820</v>
      </c>
      <c r="DK28" s="1" t="s">
        <v>1821</v>
      </c>
      <c r="DL28" s="1" t="s">
        <v>1822</v>
      </c>
      <c r="DM28" s="1" t="s">
        <v>1765</v>
      </c>
      <c r="DN28" s="1" t="s">
        <v>1765</v>
      </c>
      <c r="DO28" s="1" t="s">
        <v>1823</v>
      </c>
      <c r="DP28" s="1" t="s">
        <v>1824</v>
      </c>
      <c r="DQ28" s="1" t="s">
        <v>1824</v>
      </c>
      <c r="DR28" s="1" t="s">
        <v>1765</v>
      </c>
      <c r="DS28" s="1" t="s">
        <v>1825</v>
      </c>
      <c r="DT28" s="1" t="s">
        <v>1816</v>
      </c>
      <c r="DU28" s="1" t="s">
        <v>1826</v>
      </c>
      <c r="DV28" s="1" t="s">
        <v>2392</v>
      </c>
      <c r="DW28" s="1" t="s">
        <v>1828</v>
      </c>
      <c r="DX28" s="1" t="s">
        <v>2393</v>
      </c>
      <c r="DY28" s="1" t="s">
        <v>424</v>
      </c>
      <c r="DZ28" s="1" t="s">
        <v>1752</v>
      </c>
      <c r="EA28" s="1" t="s">
        <v>218</v>
      </c>
      <c r="EB28" s="1" t="s">
        <v>892</v>
      </c>
      <c r="EC28" s="1" t="s">
        <v>2385</v>
      </c>
      <c r="ED28" s="1" t="s">
        <v>2394</v>
      </c>
      <c r="EE28" s="1" t="s">
        <v>2394</v>
      </c>
      <c r="EF28" s="1" t="s">
        <v>2395</v>
      </c>
      <c r="EG28" s="1" t="s">
        <v>2218</v>
      </c>
      <c r="EH28" s="1" t="s">
        <v>2396</v>
      </c>
      <c r="EI28" s="1" t="s">
        <v>2320</v>
      </c>
      <c r="EJ28" s="1" t="s">
        <v>2017</v>
      </c>
      <c r="EK28" s="1" t="s">
        <v>1836</v>
      </c>
      <c r="EL28" s="1" t="s">
        <v>1837</v>
      </c>
      <c r="EM28" s="1" t="s">
        <v>1838</v>
      </c>
      <c r="EN28" s="1" t="s">
        <v>2397</v>
      </c>
      <c r="EO28" s="1" t="s">
        <v>1840</v>
      </c>
      <c r="EP28" s="1" t="s">
        <v>2398</v>
      </c>
      <c r="EQ28" s="1" t="s">
        <v>1782</v>
      </c>
      <c r="ER28" s="1" t="s">
        <v>1802</v>
      </c>
      <c r="ES28" s="1" t="s">
        <v>1802</v>
      </c>
      <c r="ET28" s="1" t="s">
        <v>1802</v>
      </c>
      <c r="EU28" s="1" t="s">
        <v>1802</v>
      </c>
      <c r="EV28" s="1" t="s">
        <v>1802</v>
      </c>
      <c r="EW28" s="1" t="s">
        <v>1802</v>
      </c>
      <c r="EX28" s="1" t="s">
        <v>1802</v>
      </c>
      <c r="EY28" s="1" t="s">
        <v>1802</v>
      </c>
      <c r="EZ28" s="1" t="s">
        <v>1802</v>
      </c>
      <c r="FA28" s="1" t="s">
        <v>1802</v>
      </c>
      <c r="FB28" s="1" t="s">
        <v>1802</v>
      </c>
      <c r="FC28" s="1" t="s">
        <v>1802</v>
      </c>
      <c r="FD28" s="1" t="s">
        <v>1802</v>
      </c>
      <c r="FE28" s="1" t="s">
        <v>1802</v>
      </c>
      <c r="FF28" s="1" t="s">
        <v>1802</v>
      </c>
      <c r="FG28" s="1" t="s">
        <v>1802</v>
      </c>
      <c r="FH28" s="1" t="s">
        <v>1802</v>
      </c>
      <c r="FI28" s="1" t="s">
        <v>1802</v>
      </c>
      <c r="FJ28" s="1" t="s">
        <v>1802</v>
      </c>
      <c r="FK28" s="1" t="s">
        <v>1802</v>
      </c>
      <c r="FL28" s="1" t="s">
        <v>1802</v>
      </c>
      <c r="FM28" s="1" t="s">
        <v>1802</v>
      </c>
      <c r="FN28" s="1" t="s">
        <v>1802</v>
      </c>
      <c r="FO28" s="1" t="s">
        <v>1802</v>
      </c>
      <c r="FP28" s="1" t="s">
        <v>1802</v>
      </c>
      <c r="FQ28" s="1" t="s">
        <v>1802</v>
      </c>
      <c r="FR28" s="2"/>
      <c r="FS28" s="1" t="s">
        <v>1802</v>
      </c>
    </row>
    <row r="29" spans="1:175" x14ac:dyDescent="0.3">
      <c r="A29" s="1" t="s">
        <v>2399</v>
      </c>
      <c r="B29" s="1" t="s">
        <v>1739</v>
      </c>
      <c r="C29" s="1" t="s">
        <v>590</v>
      </c>
      <c r="D29" s="1" t="s">
        <v>1740</v>
      </c>
      <c r="E29" s="1" t="s">
        <v>1913</v>
      </c>
      <c r="F29" s="1" t="s">
        <v>2400</v>
      </c>
      <c r="G29" s="1" t="s">
        <v>2400</v>
      </c>
      <c r="H29" s="1" t="s">
        <v>1915</v>
      </c>
      <c r="I29" s="1" t="s">
        <v>1744</v>
      </c>
      <c r="J29" s="1" t="s">
        <v>1745</v>
      </c>
      <c r="K29" s="1" t="s">
        <v>1746</v>
      </c>
      <c r="L29" s="1" t="s">
        <v>1747</v>
      </c>
      <c r="M29" s="1" t="s">
        <v>1748</v>
      </c>
      <c r="N29" s="1" t="s">
        <v>1749</v>
      </c>
      <c r="O29" s="1" t="s">
        <v>1750</v>
      </c>
      <c r="P29" s="1" t="s">
        <v>1751</v>
      </c>
      <c r="Q29">
        <v>49</v>
      </c>
      <c r="R29" s="1" t="s">
        <v>1752</v>
      </c>
      <c r="S29" s="1" t="s">
        <v>1753</v>
      </c>
      <c r="T29" s="1" t="s">
        <v>1754</v>
      </c>
      <c r="U29" s="1" t="s">
        <v>1755</v>
      </c>
      <c r="V29" s="1" t="s">
        <v>1756</v>
      </c>
      <c r="W29">
        <v>72</v>
      </c>
      <c r="X29">
        <v>72</v>
      </c>
      <c r="Y29" s="1" t="s">
        <v>1757</v>
      </c>
      <c r="Z29" s="2">
        <v>36999</v>
      </c>
      <c r="AA29" s="1" t="s">
        <v>2401</v>
      </c>
      <c r="AB29" s="1" t="s">
        <v>1755</v>
      </c>
      <c r="AC29" s="1" t="s">
        <v>1984</v>
      </c>
      <c r="AD29" s="1" t="s">
        <v>424</v>
      </c>
      <c r="AE29" s="1" t="s">
        <v>1760</v>
      </c>
      <c r="AF29" s="1" t="s">
        <v>1761</v>
      </c>
      <c r="AG29" s="1" t="s">
        <v>1762</v>
      </c>
      <c r="AH29" s="1" t="s">
        <v>2401</v>
      </c>
      <c r="AI29" s="1" t="s">
        <v>2401</v>
      </c>
      <c r="AJ29" s="1" t="s">
        <v>1763</v>
      </c>
      <c r="AK29" s="1" t="s">
        <v>1763</v>
      </c>
      <c r="AL29" s="1" t="s">
        <v>1763</v>
      </c>
      <c r="AM29" s="1" t="s">
        <v>1984</v>
      </c>
      <c r="AN29" s="1" t="s">
        <v>424</v>
      </c>
      <c r="AO29" s="1" t="s">
        <v>2402</v>
      </c>
      <c r="AP29" s="1" t="s">
        <v>1765</v>
      </c>
      <c r="AQ29" s="1" t="s">
        <v>1766</v>
      </c>
      <c r="AR29" s="1" t="s">
        <v>1767</v>
      </c>
      <c r="AS29" s="1" t="s">
        <v>1768</v>
      </c>
      <c r="AT29">
        <v>2010150922131390</v>
      </c>
      <c r="AU29" s="1" t="s">
        <v>1769</v>
      </c>
      <c r="AV29">
        <v>45463656719500</v>
      </c>
      <c r="AW29" s="1" t="s">
        <v>1770</v>
      </c>
      <c r="AX29" s="1" t="s">
        <v>1765</v>
      </c>
      <c r="AY29" s="1" t="s">
        <v>2403</v>
      </c>
      <c r="AZ29" s="1" t="s">
        <v>1897</v>
      </c>
      <c r="BA29" s="1" t="s">
        <v>2404</v>
      </c>
      <c r="BB29">
        <v>117</v>
      </c>
      <c r="BC29" s="1" t="s">
        <v>1774</v>
      </c>
      <c r="BD29" s="1" t="s">
        <v>1775</v>
      </c>
      <c r="BE29" s="1" t="s">
        <v>1776</v>
      </c>
      <c r="BF29" s="1" t="s">
        <v>1777</v>
      </c>
      <c r="BG29" s="1" t="s">
        <v>1778</v>
      </c>
      <c r="BH29" s="1" t="s">
        <v>1779</v>
      </c>
      <c r="BI29" s="1" t="s">
        <v>1779</v>
      </c>
      <c r="BJ29" s="1" t="s">
        <v>1780</v>
      </c>
      <c r="BK29" s="1" t="s">
        <v>1781</v>
      </c>
      <c r="BL29" s="1" t="s">
        <v>1754</v>
      </c>
      <c r="BM29" s="1" t="s">
        <v>1782</v>
      </c>
      <c r="BN29" s="1" t="s">
        <v>1783</v>
      </c>
      <c r="BO29" s="1" t="s">
        <v>1784</v>
      </c>
      <c r="BP29" s="1" t="s">
        <v>1785</v>
      </c>
      <c r="BQ29" s="1" t="s">
        <v>1786</v>
      </c>
      <c r="BR29" s="1" t="s">
        <v>2405</v>
      </c>
      <c r="BS29" s="1" t="s">
        <v>1788</v>
      </c>
      <c r="BT29" s="1" t="s">
        <v>2406</v>
      </c>
      <c r="BU29" s="1" t="s">
        <v>1790</v>
      </c>
      <c r="BV29" s="1" t="s">
        <v>2407</v>
      </c>
      <c r="BW29" s="1" t="s">
        <v>1790</v>
      </c>
      <c r="BX29" s="1" t="s">
        <v>2407</v>
      </c>
      <c r="BY29" s="1" t="s">
        <v>2234</v>
      </c>
      <c r="BZ29" s="1" t="s">
        <v>2408</v>
      </c>
      <c r="CA29" s="1" t="s">
        <v>1794</v>
      </c>
      <c r="CB29" s="1" t="s">
        <v>1795</v>
      </c>
      <c r="CC29" s="1" t="s">
        <v>1796</v>
      </c>
      <c r="CD29" s="1" t="s">
        <v>1797</v>
      </c>
      <c r="CE29" s="1" t="s">
        <v>1798</v>
      </c>
      <c r="CF29" s="1" t="s">
        <v>1799</v>
      </c>
      <c r="CG29" s="1" t="s">
        <v>1800</v>
      </c>
      <c r="CH29" s="1" t="s">
        <v>1794</v>
      </c>
      <c r="CI29" s="1" t="s">
        <v>1801</v>
      </c>
      <c r="CJ29" s="1" t="s">
        <v>1794</v>
      </c>
      <c r="CK29" s="1" t="s">
        <v>1802</v>
      </c>
      <c r="CL29" s="1" t="s">
        <v>1803</v>
      </c>
      <c r="CM29" s="1" t="s">
        <v>1804</v>
      </c>
      <c r="CN29" s="1" t="s">
        <v>1805</v>
      </c>
      <c r="CO29" s="1" t="s">
        <v>1794</v>
      </c>
      <c r="CP29" s="1" t="s">
        <v>1806</v>
      </c>
      <c r="CQ29" s="1" t="s">
        <v>1807</v>
      </c>
      <c r="CR29" s="1" t="s">
        <v>1808</v>
      </c>
      <c r="CS29" s="1" t="s">
        <v>1809</v>
      </c>
      <c r="CT29" s="1" t="s">
        <v>1810</v>
      </c>
      <c r="CU29" s="1" t="s">
        <v>1811</v>
      </c>
      <c r="CV29" s="1" t="s">
        <v>1812</v>
      </c>
      <c r="CW29" s="1" t="s">
        <v>1813</v>
      </c>
      <c r="CX29" s="1" t="s">
        <v>1814</v>
      </c>
      <c r="CY29" s="1" t="s">
        <v>1813</v>
      </c>
      <c r="CZ29" s="1" t="s">
        <v>1813</v>
      </c>
      <c r="DA29" s="1" t="s">
        <v>1775</v>
      </c>
      <c r="DB29" s="1" t="s">
        <v>1776</v>
      </c>
      <c r="DC29" s="1" t="s">
        <v>1752</v>
      </c>
      <c r="DD29" s="1" t="s">
        <v>1765</v>
      </c>
      <c r="DE29" s="1" t="s">
        <v>1815</v>
      </c>
      <c r="DF29" s="1" t="s">
        <v>1816</v>
      </c>
      <c r="DG29" s="1" t="s">
        <v>1817</v>
      </c>
      <c r="DH29" s="1" t="s">
        <v>1818</v>
      </c>
      <c r="DI29" s="1" t="s">
        <v>1819</v>
      </c>
      <c r="DJ29" s="1" t="s">
        <v>1820</v>
      </c>
      <c r="DK29" s="1" t="s">
        <v>1821</v>
      </c>
      <c r="DL29" s="1" t="s">
        <v>1822</v>
      </c>
      <c r="DM29" s="1" t="s">
        <v>1765</v>
      </c>
      <c r="DN29" s="1" t="s">
        <v>1765</v>
      </c>
      <c r="DO29" s="1" t="s">
        <v>1823</v>
      </c>
      <c r="DP29" s="1" t="s">
        <v>1824</v>
      </c>
      <c r="DQ29" s="1" t="s">
        <v>1824</v>
      </c>
      <c r="DR29" s="1" t="s">
        <v>1765</v>
      </c>
      <c r="DS29" s="1" t="s">
        <v>1825</v>
      </c>
      <c r="DT29" s="1" t="s">
        <v>1816</v>
      </c>
      <c r="DU29" s="1" t="s">
        <v>1826</v>
      </c>
      <c r="DV29" s="1" t="s">
        <v>2409</v>
      </c>
      <c r="DW29" s="1" t="s">
        <v>1828</v>
      </c>
      <c r="DX29" s="1" t="s">
        <v>2410</v>
      </c>
      <c r="DY29" s="1" t="s">
        <v>424</v>
      </c>
      <c r="DZ29" s="1" t="s">
        <v>1752</v>
      </c>
      <c r="EA29" s="1" t="s">
        <v>218</v>
      </c>
      <c r="EB29" s="1" t="s">
        <v>892</v>
      </c>
      <c r="EC29" s="1" t="s">
        <v>1984</v>
      </c>
      <c r="ED29" s="1" t="s">
        <v>2411</v>
      </c>
      <c r="EE29" s="1" t="s">
        <v>2411</v>
      </c>
      <c r="EF29" s="1" t="s">
        <v>2412</v>
      </c>
      <c r="EG29" s="1" t="s">
        <v>2034</v>
      </c>
      <c r="EH29" s="1" t="s">
        <v>2413</v>
      </c>
      <c r="EI29" s="1" t="s">
        <v>2414</v>
      </c>
      <c r="EJ29" s="1" t="s">
        <v>2415</v>
      </c>
      <c r="EK29" s="1" t="s">
        <v>1836</v>
      </c>
      <c r="EL29" s="1" t="s">
        <v>1837</v>
      </c>
      <c r="EM29" s="1" t="s">
        <v>1838</v>
      </c>
      <c r="EN29" s="1" t="s">
        <v>2416</v>
      </c>
      <c r="EO29" s="1" t="s">
        <v>1840</v>
      </c>
      <c r="EP29" s="1" t="s">
        <v>2000</v>
      </c>
      <c r="EQ29" s="1" t="s">
        <v>1782</v>
      </c>
      <c r="ER29" s="1" t="s">
        <v>1802</v>
      </c>
      <c r="ES29" s="1" t="s">
        <v>1802</v>
      </c>
      <c r="ET29" s="1" t="s">
        <v>1802</v>
      </c>
      <c r="EU29" s="1" t="s">
        <v>1802</v>
      </c>
      <c r="EV29" s="1" t="s">
        <v>1802</v>
      </c>
      <c r="EW29" s="1" t="s">
        <v>1802</v>
      </c>
      <c r="EX29" s="1" t="s">
        <v>1802</v>
      </c>
      <c r="EY29" s="1" t="s">
        <v>1802</v>
      </c>
      <c r="EZ29" s="1" t="s">
        <v>1802</v>
      </c>
      <c r="FA29" s="1" t="s">
        <v>1802</v>
      </c>
      <c r="FB29" s="1" t="s">
        <v>1802</v>
      </c>
      <c r="FC29" s="1" t="s">
        <v>1802</v>
      </c>
      <c r="FD29" s="1" t="s">
        <v>1802</v>
      </c>
      <c r="FE29" s="1" t="s">
        <v>1802</v>
      </c>
      <c r="FF29" s="1" t="s">
        <v>1802</v>
      </c>
      <c r="FG29" s="1" t="s">
        <v>1802</v>
      </c>
      <c r="FH29" s="1" t="s">
        <v>1802</v>
      </c>
      <c r="FI29" s="1" t="s">
        <v>1802</v>
      </c>
      <c r="FJ29" s="1" t="s">
        <v>1802</v>
      </c>
      <c r="FK29" s="1" t="s">
        <v>1802</v>
      </c>
      <c r="FL29" s="1" t="s">
        <v>1802</v>
      </c>
      <c r="FM29" s="1" t="s">
        <v>1802</v>
      </c>
      <c r="FN29" s="1" t="s">
        <v>1802</v>
      </c>
      <c r="FO29" s="1" t="s">
        <v>1802</v>
      </c>
      <c r="FP29" s="1" t="s">
        <v>1802</v>
      </c>
      <c r="FQ29" s="1" t="s">
        <v>1802</v>
      </c>
      <c r="FR29" s="2"/>
      <c r="FS29" s="1" t="s">
        <v>1802</v>
      </c>
    </row>
    <row r="30" spans="1:175" x14ac:dyDescent="0.3">
      <c r="A30" s="1" t="s">
        <v>2417</v>
      </c>
      <c r="B30" s="1" t="s">
        <v>1739</v>
      </c>
      <c r="C30" s="1" t="s">
        <v>603</v>
      </c>
      <c r="D30" s="1" t="s">
        <v>1740</v>
      </c>
      <c r="E30" s="1" t="s">
        <v>2002</v>
      </c>
      <c r="F30" s="1" t="s">
        <v>2418</v>
      </c>
      <c r="G30" s="1" t="s">
        <v>2418</v>
      </c>
      <c r="H30" s="1" t="s">
        <v>1915</v>
      </c>
      <c r="I30" s="1" t="s">
        <v>1744</v>
      </c>
      <c r="J30" s="1" t="s">
        <v>1745</v>
      </c>
      <c r="K30" s="1" t="s">
        <v>1746</v>
      </c>
      <c r="L30" s="1" t="s">
        <v>1747</v>
      </c>
      <c r="M30" s="1" t="s">
        <v>1748</v>
      </c>
      <c r="N30" s="1" t="s">
        <v>1749</v>
      </c>
      <c r="O30" s="1" t="s">
        <v>1750</v>
      </c>
      <c r="P30" s="1" t="s">
        <v>1751</v>
      </c>
      <c r="Q30">
        <v>49</v>
      </c>
      <c r="R30" s="1" t="s">
        <v>1752</v>
      </c>
      <c r="S30" s="1" t="s">
        <v>1753</v>
      </c>
      <c r="T30" s="1" t="s">
        <v>1754</v>
      </c>
      <c r="U30" s="1" t="s">
        <v>1755</v>
      </c>
      <c r="V30" s="1" t="s">
        <v>1756</v>
      </c>
      <c r="W30">
        <v>72</v>
      </c>
      <c r="X30">
        <v>72</v>
      </c>
      <c r="Y30" s="1" t="s">
        <v>1757</v>
      </c>
      <c r="Z30" s="2">
        <v>36999</v>
      </c>
      <c r="AA30" s="1" t="s">
        <v>2419</v>
      </c>
      <c r="AB30" s="1" t="s">
        <v>1755</v>
      </c>
      <c r="AC30" s="1" t="s">
        <v>1984</v>
      </c>
      <c r="AD30" s="1" t="s">
        <v>424</v>
      </c>
      <c r="AE30" s="1" t="s">
        <v>1760</v>
      </c>
      <c r="AF30" s="1" t="s">
        <v>1761</v>
      </c>
      <c r="AG30" s="1" t="s">
        <v>1762</v>
      </c>
      <c r="AH30" s="1" t="s">
        <v>2419</v>
      </c>
      <c r="AI30" s="1" t="s">
        <v>2419</v>
      </c>
      <c r="AJ30" s="1" t="s">
        <v>1763</v>
      </c>
      <c r="AK30" s="1" t="s">
        <v>1763</v>
      </c>
      <c r="AL30" s="1" t="s">
        <v>1763</v>
      </c>
      <c r="AM30" s="1" t="s">
        <v>1984</v>
      </c>
      <c r="AN30" s="1" t="s">
        <v>424</v>
      </c>
      <c r="AO30" s="1" t="s">
        <v>2420</v>
      </c>
      <c r="AP30" s="1" t="s">
        <v>1765</v>
      </c>
      <c r="AQ30" s="1" t="s">
        <v>1766</v>
      </c>
      <c r="AR30" s="1" t="s">
        <v>1767</v>
      </c>
      <c r="AS30" s="1" t="s">
        <v>1768</v>
      </c>
      <c r="AT30">
        <v>2010150922131390</v>
      </c>
      <c r="AU30" s="1" t="s">
        <v>1769</v>
      </c>
      <c r="AV30">
        <v>45465258054333</v>
      </c>
      <c r="AW30" s="1" t="s">
        <v>1770</v>
      </c>
      <c r="AX30" s="1" t="s">
        <v>1765</v>
      </c>
      <c r="AY30" s="1" t="s">
        <v>2421</v>
      </c>
      <c r="AZ30" s="1" t="s">
        <v>1897</v>
      </c>
      <c r="BA30" s="1" t="s">
        <v>2422</v>
      </c>
      <c r="BB30">
        <v>633</v>
      </c>
      <c r="BC30" s="1" t="s">
        <v>1774</v>
      </c>
      <c r="BD30" s="1" t="s">
        <v>1775</v>
      </c>
      <c r="BE30" s="1" t="s">
        <v>1776</v>
      </c>
      <c r="BF30" s="1" t="s">
        <v>1777</v>
      </c>
      <c r="BG30" s="1" t="s">
        <v>1778</v>
      </c>
      <c r="BH30" s="1" t="s">
        <v>1779</v>
      </c>
      <c r="BI30" s="1" t="s">
        <v>1779</v>
      </c>
      <c r="BJ30" s="1" t="s">
        <v>1780</v>
      </c>
      <c r="BK30" s="1" t="s">
        <v>1781</v>
      </c>
      <c r="BL30" s="1" t="s">
        <v>1754</v>
      </c>
      <c r="BM30" s="1" t="s">
        <v>1782</v>
      </c>
      <c r="BN30" s="1" t="s">
        <v>1783</v>
      </c>
      <c r="BO30" s="1" t="s">
        <v>1784</v>
      </c>
      <c r="BP30" s="1" t="s">
        <v>1785</v>
      </c>
      <c r="BQ30" s="1" t="s">
        <v>1786</v>
      </c>
      <c r="BR30" s="1" t="s">
        <v>2423</v>
      </c>
      <c r="BS30" s="1" t="s">
        <v>1788</v>
      </c>
      <c r="BT30" s="1" t="s">
        <v>1765</v>
      </c>
      <c r="BU30" s="1" t="s">
        <v>1790</v>
      </c>
      <c r="BV30" s="1" t="s">
        <v>2424</v>
      </c>
      <c r="BW30" s="1" t="s">
        <v>1790</v>
      </c>
      <c r="BX30" s="1" t="s">
        <v>2424</v>
      </c>
      <c r="BY30" s="1" t="s">
        <v>2234</v>
      </c>
      <c r="BZ30" s="1" t="s">
        <v>2425</v>
      </c>
      <c r="CA30" s="1" t="s">
        <v>1794</v>
      </c>
      <c r="CB30" s="1" t="s">
        <v>1795</v>
      </c>
      <c r="CC30" s="1" t="s">
        <v>1796</v>
      </c>
      <c r="CD30" s="1" t="s">
        <v>1797</v>
      </c>
      <c r="CE30" s="1" t="s">
        <v>1798</v>
      </c>
      <c r="CF30" s="1" t="s">
        <v>1799</v>
      </c>
      <c r="CG30" s="1" t="s">
        <v>1800</v>
      </c>
      <c r="CH30" s="1" t="s">
        <v>1794</v>
      </c>
      <c r="CI30" s="1" t="s">
        <v>1801</v>
      </c>
      <c r="CJ30" s="1" t="s">
        <v>1794</v>
      </c>
      <c r="CK30" s="1" t="s">
        <v>1802</v>
      </c>
      <c r="CL30" s="1" t="s">
        <v>1803</v>
      </c>
      <c r="CM30" s="1" t="s">
        <v>1804</v>
      </c>
      <c r="CN30" s="1" t="s">
        <v>1805</v>
      </c>
      <c r="CO30" s="1" t="s">
        <v>1794</v>
      </c>
      <c r="CP30" s="1" t="s">
        <v>1806</v>
      </c>
      <c r="CQ30" s="1" t="s">
        <v>1807</v>
      </c>
      <c r="CR30" s="1" t="s">
        <v>1808</v>
      </c>
      <c r="CS30" s="1" t="s">
        <v>1809</v>
      </c>
      <c r="CT30" s="1" t="s">
        <v>1810</v>
      </c>
      <c r="CU30" s="1" t="s">
        <v>1811</v>
      </c>
      <c r="CV30" s="1" t="s">
        <v>1812</v>
      </c>
      <c r="CW30" s="1" t="s">
        <v>1813</v>
      </c>
      <c r="CX30" s="1" t="s">
        <v>1814</v>
      </c>
      <c r="CY30" s="1" t="s">
        <v>1813</v>
      </c>
      <c r="CZ30" s="1" t="s">
        <v>1813</v>
      </c>
      <c r="DA30" s="1" t="s">
        <v>1775</v>
      </c>
      <c r="DB30" s="1" t="s">
        <v>1776</v>
      </c>
      <c r="DC30" s="1" t="s">
        <v>1752</v>
      </c>
      <c r="DD30" s="1" t="s">
        <v>1765</v>
      </c>
      <c r="DE30" s="1" t="s">
        <v>1815</v>
      </c>
      <c r="DF30" s="1" t="s">
        <v>1816</v>
      </c>
      <c r="DG30" s="1" t="s">
        <v>1817</v>
      </c>
      <c r="DH30" s="1" t="s">
        <v>1818</v>
      </c>
      <c r="DI30" s="1" t="s">
        <v>1819</v>
      </c>
      <c r="DJ30" s="1" t="s">
        <v>1820</v>
      </c>
      <c r="DK30" s="1" t="s">
        <v>1821</v>
      </c>
      <c r="DL30" s="1" t="s">
        <v>1822</v>
      </c>
      <c r="DM30" s="1" t="s">
        <v>1765</v>
      </c>
      <c r="DN30" s="1" t="s">
        <v>1765</v>
      </c>
      <c r="DO30" s="1" t="s">
        <v>1823</v>
      </c>
      <c r="DP30" s="1" t="s">
        <v>1824</v>
      </c>
      <c r="DQ30" s="1" t="s">
        <v>1824</v>
      </c>
      <c r="DR30" s="1" t="s">
        <v>1765</v>
      </c>
      <c r="DS30" s="1" t="s">
        <v>1825</v>
      </c>
      <c r="DT30" s="1" t="s">
        <v>1816</v>
      </c>
      <c r="DU30" s="1" t="s">
        <v>1826</v>
      </c>
      <c r="DV30" s="1" t="s">
        <v>2426</v>
      </c>
      <c r="DW30" s="1" t="s">
        <v>1828</v>
      </c>
      <c r="DX30" s="1" t="s">
        <v>2427</v>
      </c>
      <c r="DY30" s="1" t="s">
        <v>424</v>
      </c>
      <c r="DZ30" s="1" t="s">
        <v>1752</v>
      </c>
      <c r="EA30" s="1" t="s">
        <v>218</v>
      </c>
      <c r="EB30" s="1" t="s">
        <v>892</v>
      </c>
      <c r="EC30" s="1" t="s">
        <v>1984</v>
      </c>
      <c r="ED30" s="1" t="s">
        <v>2428</v>
      </c>
      <c r="EE30" s="1" t="s">
        <v>2428</v>
      </c>
      <c r="EF30" s="1" t="s">
        <v>2429</v>
      </c>
      <c r="EG30" s="1" t="s">
        <v>2034</v>
      </c>
      <c r="EH30" s="1" t="s">
        <v>2430</v>
      </c>
      <c r="EI30" s="1" t="s">
        <v>2414</v>
      </c>
      <c r="EJ30" s="1" t="s">
        <v>2415</v>
      </c>
      <c r="EK30" s="1" t="s">
        <v>1836</v>
      </c>
      <c r="EL30" s="1" t="s">
        <v>1837</v>
      </c>
      <c r="EM30" s="1" t="s">
        <v>1838</v>
      </c>
      <c r="EN30" s="1" t="s">
        <v>2416</v>
      </c>
      <c r="EO30" s="1" t="s">
        <v>1840</v>
      </c>
      <c r="EP30" s="1" t="s">
        <v>2000</v>
      </c>
      <c r="EQ30" s="1" t="s">
        <v>1782</v>
      </c>
      <c r="ER30" s="1" t="s">
        <v>1802</v>
      </c>
      <c r="ES30" s="1" t="s">
        <v>1802</v>
      </c>
      <c r="ET30" s="1" t="s">
        <v>1802</v>
      </c>
      <c r="EU30" s="1" t="s">
        <v>1802</v>
      </c>
      <c r="EV30" s="1" t="s">
        <v>1802</v>
      </c>
      <c r="EW30" s="1" t="s">
        <v>1802</v>
      </c>
      <c r="EX30" s="1" t="s">
        <v>1802</v>
      </c>
      <c r="EY30" s="1" t="s">
        <v>1802</v>
      </c>
      <c r="EZ30" s="1" t="s">
        <v>1802</v>
      </c>
      <c r="FA30" s="1" t="s">
        <v>1802</v>
      </c>
      <c r="FB30" s="1" t="s">
        <v>1802</v>
      </c>
      <c r="FC30" s="1" t="s">
        <v>1802</v>
      </c>
      <c r="FD30" s="1" t="s">
        <v>1802</v>
      </c>
      <c r="FE30" s="1" t="s">
        <v>1802</v>
      </c>
      <c r="FF30" s="1" t="s">
        <v>1802</v>
      </c>
      <c r="FG30" s="1" t="s">
        <v>1802</v>
      </c>
      <c r="FH30" s="1" t="s">
        <v>1802</v>
      </c>
      <c r="FI30" s="1" t="s">
        <v>1802</v>
      </c>
      <c r="FJ30" s="1" t="s">
        <v>1802</v>
      </c>
      <c r="FK30" s="1" t="s">
        <v>1802</v>
      </c>
      <c r="FL30" s="1" t="s">
        <v>1802</v>
      </c>
      <c r="FM30" s="1" t="s">
        <v>1802</v>
      </c>
      <c r="FN30" s="1" t="s">
        <v>1802</v>
      </c>
      <c r="FO30" s="1" t="s">
        <v>1802</v>
      </c>
      <c r="FP30" s="1" t="s">
        <v>1802</v>
      </c>
      <c r="FQ30" s="1" t="s">
        <v>1802</v>
      </c>
      <c r="FR30" s="2"/>
      <c r="FS30" s="1" t="s">
        <v>1802</v>
      </c>
    </row>
    <row r="31" spans="1:175" x14ac:dyDescent="0.3">
      <c r="A31" s="1" t="s">
        <v>2431</v>
      </c>
      <c r="B31" s="1" t="s">
        <v>1739</v>
      </c>
      <c r="C31" s="1" t="s">
        <v>613</v>
      </c>
      <c r="D31" s="1" t="s">
        <v>1740</v>
      </c>
      <c r="E31" s="1" t="s">
        <v>1913</v>
      </c>
      <c r="F31" s="1" t="s">
        <v>2432</v>
      </c>
      <c r="G31" s="1" t="s">
        <v>2432</v>
      </c>
      <c r="H31" s="1" t="s">
        <v>2433</v>
      </c>
      <c r="I31" s="1" t="s">
        <v>1744</v>
      </c>
      <c r="J31" s="1" t="s">
        <v>1745</v>
      </c>
      <c r="K31" s="1" t="s">
        <v>1746</v>
      </c>
      <c r="L31" s="1" t="s">
        <v>1747</v>
      </c>
      <c r="M31" s="1" t="s">
        <v>1748</v>
      </c>
      <c r="N31" s="1" t="s">
        <v>1749</v>
      </c>
      <c r="O31" s="1" t="s">
        <v>1750</v>
      </c>
      <c r="P31" s="1" t="s">
        <v>1751</v>
      </c>
      <c r="Q31">
        <v>49</v>
      </c>
      <c r="R31" s="1" t="s">
        <v>1752</v>
      </c>
      <c r="S31" s="1" t="s">
        <v>1753</v>
      </c>
      <c r="T31" s="1" t="s">
        <v>1754</v>
      </c>
      <c r="U31" s="1" t="s">
        <v>1755</v>
      </c>
      <c r="V31" s="1" t="s">
        <v>1756</v>
      </c>
      <c r="W31">
        <v>72</v>
      </c>
      <c r="X31">
        <v>72</v>
      </c>
      <c r="Y31" s="1" t="s">
        <v>1757</v>
      </c>
      <c r="Z31" s="2">
        <v>36999</v>
      </c>
      <c r="AA31" s="1" t="s">
        <v>2434</v>
      </c>
      <c r="AB31" s="1" t="s">
        <v>1755</v>
      </c>
      <c r="AC31" s="1" t="s">
        <v>2435</v>
      </c>
      <c r="AD31" s="1" t="s">
        <v>424</v>
      </c>
      <c r="AE31" s="1" t="s">
        <v>1760</v>
      </c>
      <c r="AF31" s="1" t="s">
        <v>1761</v>
      </c>
      <c r="AG31" s="1" t="s">
        <v>1762</v>
      </c>
      <c r="AH31" s="1" t="s">
        <v>2434</v>
      </c>
      <c r="AI31" s="1" t="s">
        <v>2434</v>
      </c>
      <c r="AJ31" s="1" t="s">
        <v>1763</v>
      </c>
      <c r="AK31" s="1" t="s">
        <v>1763</v>
      </c>
      <c r="AL31" s="1" t="s">
        <v>1763</v>
      </c>
      <c r="AM31" s="1" t="s">
        <v>2435</v>
      </c>
      <c r="AN31" s="1" t="s">
        <v>424</v>
      </c>
      <c r="AO31" s="1" t="s">
        <v>2436</v>
      </c>
      <c r="AP31" s="1" t="s">
        <v>1765</v>
      </c>
      <c r="AQ31" s="1" t="s">
        <v>1766</v>
      </c>
      <c r="AR31" s="1" t="s">
        <v>1767</v>
      </c>
      <c r="AS31" s="1" t="s">
        <v>1768</v>
      </c>
      <c r="AT31">
        <v>2010150922131390</v>
      </c>
      <c r="AU31" s="1" t="s">
        <v>1769</v>
      </c>
      <c r="AV31">
        <v>48069570245208</v>
      </c>
      <c r="AW31" s="1" t="s">
        <v>1770</v>
      </c>
      <c r="AX31" s="1" t="s">
        <v>1765</v>
      </c>
      <c r="AY31" s="1" t="s">
        <v>2437</v>
      </c>
      <c r="AZ31" s="1" t="s">
        <v>1897</v>
      </c>
      <c r="BA31" s="1" t="s">
        <v>2438</v>
      </c>
      <c r="BB31">
        <v>891</v>
      </c>
      <c r="BC31" s="1" t="s">
        <v>1774</v>
      </c>
      <c r="BD31" s="1" t="s">
        <v>1775</v>
      </c>
      <c r="BE31" s="1" t="s">
        <v>1776</v>
      </c>
      <c r="BF31" s="1" t="s">
        <v>1777</v>
      </c>
      <c r="BG31" s="1" t="s">
        <v>1778</v>
      </c>
      <c r="BH31" s="1" t="s">
        <v>1779</v>
      </c>
      <c r="BI31" s="1" t="s">
        <v>1779</v>
      </c>
      <c r="BJ31" s="1" t="s">
        <v>1780</v>
      </c>
      <c r="BK31" s="1" t="s">
        <v>1781</v>
      </c>
      <c r="BL31" s="1" t="s">
        <v>1754</v>
      </c>
      <c r="BM31" s="1" t="s">
        <v>1782</v>
      </c>
      <c r="BN31" s="1" t="s">
        <v>1783</v>
      </c>
      <c r="BO31" s="1" t="s">
        <v>1784</v>
      </c>
      <c r="BP31" s="1" t="s">
        <v>1785</v>
      </c>
      <c r="BQ31" s="1" t="s">
        <v>1786</v>
      </c>
      <c r="BR31" s="1" t="s">
        <v>2439</v>
      </c>
      <c r="BS31" s="1" t="s">
        <v>1788</v>
      </c>
      <c r="BT31" s="1" t="s">
        <v>2440</v>
      </c>
      <c r="BU31" s="1" t="s">
        <v>1790</v>
      </c>
      <c r="BV31" s="1" t="s">
        <v>2441</v>
      </c>
      <c r="BW31" s="1" t="s">
        <v>1790</v>
      </c>
      <c r="BX31" s="1" t="s">
        <v>2441</v>
      </c>
      <c r="BY31" s="1" t="s">
        <v>2234</v>
      </c>
      <c r="BZ31" s="1" t="s">
        <v>2442</v>
      </c>
      <c r="CA31" s="1" t="s">
        <v>1794</v>
      </c>
      <c r="CB31" s="1" t="s">
        <v>1795</v>
      </c>
      <c r="CC31" s="1" t="s">
        <v>1796</v>
      </c>
      <c r="CD31" s="1" t="s">
        <v>1797</v>
      </c>
      <c r="CE31" s="1" t="s">
        <v>1798</v>
      </c>
      <c r="CF31" s="1" t="s">
        <v>1799</v>
      </c>
      <c r="CG31" s="1" t="s">
        <v>1800</v>
      </c>
      <c r="CH31" s="1" t="s">
        <v>1794</v>
      </c>
      <c r="CI31" s="1" t="s">
        <v>1801</v>
      </c>
      <c r="CJ31" s="1" t="s">
        <v>1794</v>
      </c>
      <c r="CK31" s="1" t="s">
        <v>1802</v>
      </c>
      <c r="CL31" s="1" t="s">
        <v>1803</v>
      </c>
      <c r="CM31" s="1" t="s">
        <v>1804</v>
      </c>
      <c r="CN31" s="1" t="s">
        <v>1805</v>
      </c>
      <c r="CO31" s="1" t="s">
        <v>1794</v>
      </c>
      <c r="CP31" s="1" t="s">
        <v>1806</v>
      </c>
      <c r="CQ31" s="1" t="s">
        <v>1807</v>
      </c>
      <c r="CR31" s="1" t="s">
        <v>1808</v>
      </c>
      <c r="CS31" s="1" t="s">
        <v>1809</v>
      </c>
      <c r="CT31" s="1" t="s">
        <v>1810</v>
      </c>
      <c r="CU31" s="1" t="s">
        <v>1811</v>
      </c>
      <c r="CV31" s="1" t="s">
        <v>1812</v>
      </c>
      <c r="CW31" s="1" t="s">
        <v>1813</v>
      </c>
      <c r="CX31" s="1" t="s">
        <v>1814</v>
      </c>
      <c r="CY31" s="1" t="s">
        <v>1813</v>
      </c>
      <c r="CZ31" s="1" t="s">
        <v>1813</v>
      </c>
      <c r="DA31" s="1" t="s">
        <v>1775</v>
      </c>
      <c r="DB31" s="1" t="s">
        <v>1776</v>
      </c>
      <c r="DC31" s="1" t="s">
        <v>1752</v>
      </c>
      <c r="DD31" s="1" t="s">
        <v>1765</v>
      </c>
      <c r="DE31" s="1" t="s">
        <v>1815</v>
      </c>
      <c r="DF31" s="1" t="s">
        <v>1816</v>
      </c>
      <c r="DG31" s="1" t="s">
        <v>1817</v>
      </c>
      <c r="DH31" s="1" t="s">
        <v>1818</v>
      </c>
      <c r="DI31" s="1" t="s">
        <v>1819</v>
      </c>
      <c r="DJ31" s="1" t="s">
        <v>1820</v>
      </c>
      <c r="DK31" s="1" t="s">
        <v>1821</v>
      </c>
      <c r="DL31" s="1" t="s">
        <v>1822</v>
      </c>
      <c r="DM31" s="1" t="s">
        <v>1765</v>
      </c>
      <c r="DN31" s="1" t="s">
        <v>1765</v>
      </c>
      <c r="DO31" s="1" t="s">
        <v>1823</v>
      </c>
      <c r="DP31" s="1" t="s">
        <v>1824</v>
      </c>
      <c r="DQ31" s="1" t="s">
        <v>1824</v>
      </c>
      <c r="DR31" s="1" t="s">
        <v>1765</v>
      </c>
      <c r="DS31" s="1" t="s">
        <v>1825</v>
      </c>
      <c r="DT31" s="1" t="s">
        <v>1816</v>
      </c>
      <c r="DU31" s="1" t="s">
        <v>1826</v>
      </c>
      <c r="DV31" s="1" t="s">
        <v>2443</v>
      </c>
      <c r="DW31" s="1" t="s">
        <v>1828</v>
      </c>
      <c r="DX31" s="1" t="s">
        <v>2444</v>
      </c>
      <c r="DY31" s="1" t="s">
        <v>424</v>
      </c>
      <c r="DZ31" s="1" t="s">
        <v>1752</v>
      </c>
      <c r="EA31" s="1" t="s">
        <v>218</v>
      </c>
      <c r="EB31" s="1" t="s">
        <v>892</v>
      </c>
      <c r="EC31" s="1" t="s">
        <v>2435</v>
      </c>
      <c r="ED31" s="1" t="s">
        <v>2445</v>
      </c>
      <c r="EE31" s="1" t="s">
        <v>2445</v>
      </c>
      <c r="EF31" s="1" t="s">
        <v>2446</v>
      </c>
      <c r="EG31" s="1" t="s">
        <v>1973</v>
      </c>
      <c r="EH31" s="1" t="s">
        <v>2447</v>
      </c>
      <c r="EI31" s="1" t="s">
        <v>2448</v>
      </c>
      <c r="EJ31" s="1" t="s">
        <v>2449</v>
      </c>
      <c r="EK31" s="1" t="s">
        <v>1836</v>
      </c>
      <c r="EL31" s="1" t="s">
        <v>1837</v>
      </c>
      <c r="EM31" s="1" t="s">
        <v>1838</v>
      </c>
      <c r="EN31" s="1" t="s">
        <v>2450</v>
      </c>
      <c r="EO31" s="1" t="s">
        <v>1840</v>
      </c>
      <c r="EP31" s="1" t="s">
        <v>597</v>
      </c>
      <c r="EQ31" s="1" t="s">
        <v>1782</v>
      </c>
      <c r="ER31" s="1" t="s">
        <v>1802</v>
      </c>
      <c r="ES31" s="1" t="s">
        <v>1802</v>
      </c>
      <c r="ET31" s="1" t="s">
        <v>1802</v>
      </c>
      <c r="EU31" s="1" t="s">
        <v>1802</v>
      </c>
      <c r="EV31" s="1" t="s">
        <v>1802</v>
      </c>
      <c r="EW31" s="1" t="s">
        <v>1802</v>
      </c>
      <c r="EX31" s="1" t="s">
        <v>1802</v>
      </c>
      <c r="EY31" s="1" t="s">
        <v>1802</v>
      </c>
      <c r="EZ31" s="1" t="s">
        <v>1802</v>
      </c>
      <c r="FA31" s="1" t="s">
        <v>1802</v>
      </c>
      <c r="FB31" s="1" t="s">
        <v>1802</v>
      </c>
      <c r="FC31" s="1" t="s">
        <v>1802</v>
      </c>
      <c r="FD31" s="1" t="s">
        <v>1802</v>
      </c>
      <c r="FE31" s="1" t="s">
        <v>1802</v>
      </c>
      <c r="FF31" s="1" t="s">
        <v>1802</v>
      </c>
      <c r="FG31" s="1" t="s">
        <v>1802</v>
      </c>
      <c r="FH31" s="1" t="s">
        <v>1802</v>
      </c>
      <c r="FI31" s="1" t="s">
        <v>1802</v>
      </c>
      <c r="FJ31" s="1" t="s">
        <v>1802</v>
      </c>
      <c r="FK31" s="1" t="s">
        <v>1802</v>
      </c>
      <c r="FL31" s="1" t="s">
        <v>1802</v>
      </c>
      <c r="FM31" s="1" t="s">
        <v>1802</v>
      </c>
      <c r="FN31" s="1" t="s">
        <v>1802</v>
      </c>
      <c r="FO31" s="1" t="s">
        <v>1802</v>
      </c>
      <c r="FP31" s="1" t="s">
        <v>1802</v>
      </c>
      <c r="FQ31" s="1" t="s">
        <v>1802</v>
      </c>
      <c r="FR31" s="2"/>
      <c r="FS31" s="1" t="s">
        <v>1802</v>
      </c>
    </row>
    <row r="32" spans="1:175" x14ac:dyDescent="0.3">
      <c r="A32" s="1" t="s">
        <v>2451</v>
      </c>
      <c r="B32" s="1" t="s">
        <v>1739</v>
      </c>
      <c r="C32" s="1" t="s">
        <v>625</v>
      </c>
      <c r="D32" s="1" t="s">
        <v>1740</v>
      </c>
      <c r="E32" s="1" t="s">
        <v>2452</v>
      </c>
      <c r="F32" s="1" t="s">
        <v>2453</v>
      </c>
      <c r="G32" s="1" t="s">
        <v>2453</v>
      </c>
      <c r="H32" s="1" t="s">
        <v>2454</v>
      </c>
      <c r="I32" s="1" t="s">
        <v>1744</v>
      </c>
      <c r="J32" s="1" t="s">
        <v>1745</v>
      </c>
      <c r="K32" s="1" t="s">
        <v>1746</v>
      </c>
      <c r="L32" s="1" t="s">
        <v>1747</v>
      </c>
      <c r="M32" s="1" t="s">
        <v>1748</v>
      </c>
      <c r="N32" s="1" t="s">
        <v>1749</v>
      </c>
      <c r="O32" s="1" t="s">
        <v>1750</v>
      </c>
      <c r="P32" s="1" t="s">
        <v>1751</v>
      </c>
      <c r="Q32">
        <v>49</v>
      </c>
      <c r="R32" s="1" t="s">
        <v>1752</v>
      </c>
      <c r="S32" s="1" t="s">
        <v>1753</v>
      </c>
      <c r="T32" s="1" t="s">
        <v>1754</v>
      </c>
      <c r="U32" s="1" t="s">
        <v>1755</v>
      </c>
      <c r="V32" s="1" t="s">
        <v>1756</v>
      </c>
      <c r="W32">
        <v>72</v>
      </c>
      <c r="X32">
        <v>72</v>
      </c>
      <c r="Y32" s="1" t="s">
        <v>1757</v>
      </c>
      <c r="Z32" s="2">
        <v>36999</v>
      </c>
      <c r="AA32" s="1" t="s">
        <v>2455</v>
      </c>
      <c r="AB32" s="1" t="s">
        <v>1755</v>
      </c>
      <c r="AC32" s="1" t="s">
        <v>2456</v>
      </c>
      <c r="AD32" s="1" t="s">
        <v>424</v>
      </c>
      <c r="AE32" s="1" t="s">
        <v>1760</v>
      </c>
      <c r="AF32" s="1" t="s">
        <v>1761</v>
      </c>
      <c r="AG32" s="1" t="s">
        <v>1762</v>
      </c>
      <c r="AH32" s="1" t="s">
        <v>2455</v>
      </c>
      <c r="AI32" s="1" t="s">
        <v>2455</v>
      </c>
      <c r="AJ32" s="1" t="s">
        <v>1763</v>
      </c>
      <c r="AK32" s="1" t="s">
        <v>1763</v>
      </c>
      <c r="AL32" s="1" t="s">
        <v>1763</v>
      </c>
      <c r="AM32" s="1" t="s">
        <v>2456</v>
      </c>
      <c r="AN32" s="1" t="s">
        <v>424</v>
      </c>
      <c r="AO32" s="1" t="s">
        <v>2457</v>
      </c>
      <c r="AP32" s="1" t="s">
        <v>1765</v>
      </c>
      <c r="AQ32" s="1" t="s">
        <v>1766</v>
      </c>
      <c r="AR32" s="1" t="s">
        <v>1767</v>
      </c>
      <c r="AS32" s="1" t="s">
        <v>1768</v>
      </c>
      <c r="AT32">
        <v>2010150922131390</v>
      </c>
      <c r="AU32" s="1" t="s">
        <v>1769</v>
      </c>
      <c r="AV32">
        <v>54688780393541</v>
      </c>
      <c r="AW32" s="1" t="s">
        <v>1770</v>
      </c>
      <c r="AX32" s="1" t="s">
        <v>1765</v>
      </c>
      <c r="AY32" s="1" t="s">
        <v>2458</v>
      </c>
      <c r="AZ32" s="1" t="s">
        <v>1897</v>
      </c>
      <c r="BA32" s="1" t="s">
        <v>2459</v>
      </c>
      <c r="BB32">
        <v>313</v>
      </c>
      <c r="BC32" s="1" t="s">
        <v>1774</v>
      </c>
      <c r="BD32" s="1" t="s">
        <v>1775</v>
      </c>
      <c r="BE32" s="1" t="s">
        <v>1776</v>
      </c>
      <c r="BF32" s="1" t="s">
        <v>1777</v>
      </c>
      <c r="BG32" s="1" t="s">
        <v>1778</v>
      </c>
      <c r="BH32" s="1" t="s">
        <v>1779</v>
      </c>
      <c r="BI32" s="1" t="s">
        <v>1779</v>
      </c>
      <c r="BJ32" s="1" t="s">
        <v>1780</v>
      </c>
      <c r="BK32" s="1" t="s">
        <v>1781</v>
      </c>
      <c r="BL32" s="1" t="s">
        <v>1754</v>
      </c>
      <c r="BM32" s="1" t="s">
        <v>1782</v>
      </c>
      <c r="BN32" s="1" t="s">
        <v>1783</v>
      </c>
      <c r="BO32" s="1" t="s">
        <v>1784</v>
      </c>
      <c r="BP32" s="1" t="s">
        <v>1785</v>
      </c>
      <c r="BQ32" s="1" t="s">
        <v>1786</v>
      </c>
      <c r="BR32" s="1" t="s">
        <v>2460</v>
      </c>
      <c r="BS32" s="1" t="s">
        <v>1788</v>
      </c>
      <c r="BT32" s="1" t="s">
        <v>2461</v>
      </c>
      <c r="BU32" s="1" t="s">
        <v>1790</v>
      </c>
      <c r="BV32" s="1" t="s">
        <v>2462</v>
      </c>
      <c r="BW32" s="1" t="s">
        <v>1790</v>
      </c>
      <c r="BX32" s="1" t="s">
        <v>2462</v>
      </c>
      <c r="BY32" s="1" t="s">
        <v>2234</v>
      </c>
      <c r="BZ32" s="1" t="s">
        <v>2144</v>
      </c>
      <c r="CA32" s="1" t="s">
        <v>1794</v>
      </c>
      <c r="CB32" s="1" t="s">
        <v>1795</v>
      </c>
      <c r="CC32" s="1" t="s">
        <v>1796</v>
      </c>
      <c r="CD32" s="1" t="s">
        <v>1797</v>
      </c>
      <c r="CE32" s="1" t="s">
        <v>1798</v>
      </c>
      <c r="CF32" s="1" t="s">
        <v>1799</v>
      </c>
      <c r="CG32" s="1" t="s">
        <v>1800</v>
      </c>
      <c r="CH32" s="1" t="s">
        <v>1794</v>
      </c>
      <c r="CI32" s="1" t="s">
        <v>1801</v>
      </c>
      <c r="CJ32" s="1" t="s">
        <v>1794</v>
      </c>
      <c r="CK32" s="1" t="s">
        <v>1802</v>
      </c>
      <c r="CL32" s="1" t="s">
        <v>1803</v>
      </c>
      <c r="CM32" s="1" t="s">
        <v>1804</v>
      </c>
      <c r="CN32" s="1" t="s">
        <v>1805</v>
      </c>
      <c r="CO32" s="1" t="s">
        <v>1794</v>
      </c>
      <c r="CP32" s="1" t="s">
        <v>1806</v>
      </c>
      <c r="CQ32" s="1" t="s">
        <v>1807</v>
      </c>
      <c r="CR32" s="1" t="s">
        <v>1808</v>
      </c>
      <c r="CS32" s="1" t="s">
        <v>1809</v>
      </c>
      <c r="CT32" s="1" t="s">
        <v>1810</v>
      </c>
      <c r="CU32" s="1" t="s">
        <v>1811</v>
      </c>
      <c r="CV32" s="1" t="s">
        <v>1812</v>
      </c>
      <c r="CW32" s="1" t="s">
        <v>1813</v>
      </c>
      <c r="CX32" s="1" t="s">
        <v>1814</v>
      </c>
      <c r="CY32" s="1" t="s">
        <v>1813</v>
      </c>
      <c r="CZ32" s="1" t="s">
        <v>1813</v>
      </c>
      <c r="DA32" s="1" t="s">
        <v>1775</v>
      </c>
      <c r="DB32" s="1" t="s">
        <v>1776</v>
      </c>
      <c r="DC32" s="1" t="s">
        <v>1752</v>
      </c>
      <c r="DD32" s="1" t="s">
        <v>1765</v>
      </c>
      <c r="DE32" s="1" t="s">
        <v>1815</v>
      </c>
      <c r="DF32" s="1" t="s">
        <v>1816</v>
      </c>
      <c r="DG32" s="1" t="s">
        <v>1817</v>
      </c>
      <c r="DH32" s="1" t="s">
        <v>1818</v>
      </c>
      <c r="DI32" s="1" t="s">
        <v>1819</v>
      </c>
      <c r="DJ32" s="1" t="s">
        <v>1820</v>
      </c>
      <c r="DK32" s="1" t="s">
        <v>1821</v>
      </c>
      <c r="DL32" s="1" t="s">
        <v>1822</v>
      </c>
      <c r="DM32" s="1" t="s">
        <v>1765</v>
      </c>
      <c r="DN32" s="1" t="s">
        <v>1765</v>
      </c>
      <c r="DO32" s="1" t="s">
        <v>1823</v>
      </c>
      <c r="DP32" s="1" t="s">
        <v>1824</v>
      </c>
      <c r="DQ32" s="1" t="s">
        <v>1824</v>
      </c>
      <c r="DR32" s="1" t="s">
        <v>1765</v>
      </c>
      <c r="DS32" s="1" t="s">
        <v>1825</v>
      </c>
      <c r="DT32" s="1" t="s">
        <v>1816</v>
      </c>
      <c r="DU32" s="1" t="s">
        <v>1826</v>
      </c>
      <c r="DV32" s="1" t="s">
        <v>2463</v>
      </c>
      <c r="DW32" s="1" t="s">
        <v>1828</v>
      </c>
      <c r="DX32" s="1" t="s">
        <v>2464</v>
      </c>
      <c r="DY32" s="1" t="s">
        <v>424</v>
      </c>
      <c r="DZ32" s="1" t="s">
        <v>1752</v>
      </c>
      <c r="EA32" s="1" t="s">
        <v>218</v>
      </c>
      <c r="EB32" s="1" t="s">
        <v>892</v>
      </c>
      <c r="EC32" s="1" t="s">
        <v>2456</v>
      </c>
      <c r="ED32" s="1" t="s">
        <v>2465</v>
      </c>
      <c r="EE32" s="1" t="s">
        <v>2465</v>
      </c>
      <c r="EF32" s="1" t="s">
        <v>2466</v>
      </c>
      <c r="EG32" s="1" t="s">
        <v>2194</v>
      </c>
      <c r="EH32" s="1" t="s">
        <v>2467</v>
      </c>
      <c r="EI32" s="1" t="s">
        <v>2468</v>
      </c>
      <c r="EJ32" s="1" t="s">
        <v>2449</v>
      </c>
      <c r="EK32" s="1" t="s">
        <v>1836</v>
      </c>
      <c r="EL32" s="1" t="s">
        <v>1837</v>
      </c>
      <c r="EM32" s="1" t="s">
        <v>1838</v>
      </c>
      <c r="EN32" s="1" t="s">
        <v>2469</v>
      </c>
      <c r="EO32" s="1" t="s">
        <v>1840</v>
      </c>
      <c r="EP32" s="1" t="s">
        <v>1841</v>
      </c>
      <c r="EQ32" s="1" t="s">
        <v>1782</v>
      </c>
      <c r="ER32" s="1" t="s">
        <v>1802</v>
      </c>
      <c r="ES32" s="1" t="s">
        <v>1802</v>
      </c>
      <c r="ET32" s="1" t="s">
        <v>1802</v>
      </c>
      <c r="EU32" s="1" t="s">
        <v>1802</v>
      </c>
      <c r="EV32" s="1" t="s">
        <v>1802</v>
      </c>
      <c r="EW32" s="1" t="s">
        <v>1802</v>
      </c>
      <c r="EX32" s="1" t="s">
        <v>1802</v>
      </c>
      <c r="EY32" s="1" t="s">
        <v>1802</v>
      </c>
      <c r="EZ32" s="1" t="s">
        <v>1802</v>
      </c>
      <c r="FA32" s="1" t="s">
        <v>1802</v>
      </c>
      <c r="FB32" s="1" t="s">
        <v>1802</v>
      </c>
      <c r="FC32" s="1" t="s">
        <v>1802</v>
      </c>
      <c r="FD32" s="1" t="s">
        <v>1802</v>
      </c>
      <c r="FE32" s="1" t="s">
        <v>1802</v>
      </c>
      <c r="FF32" s="1" t="s">
        <v>1802</v>
      </c>
      <c r="FG32" s="1" t="s">
        <v>1802</v>
      </c>
      <c r="FH32" s="1" t="s">
        <v>1802</v>
      </c>
      <c r="FI32" s="1" t="s">
        <v>1802</v>
      </c>
      <c r="FJ32" s="1" t="s">
        <v>1802</v>
      </c>
      <c r="FK32" s="1" t="s">
        <v>1802</v>
      </c>
      <c r="FL32" s="1" t="s">
        <v>1802</v>
      </c>
      <c r="FM32" s="1" t="s">
        <v>1802</v>
      </c>
      <c r="FN32" s="1" t="s">
        <v>1802</v>
      </c>
      <c r="FO32" s="1" t="s">
        <v>1802</v>
      </c>
      <c r="FP32" s="1" t="s">
        <v>1802</v>
      </c>
      <c r="FQ32" s="1" t="s">
        <v>1802</v>
      </c>
      <c r="FR32" s="2"/>
      <c r="FS32" s="1" t="s">
        <v>1802</v>
      </c>
    </row>
    <row r="33" spans="1:175" x14ac:dyDescent="0.3">
      <c r="A33" s="1" t="s">
        <v>2470</v>
      </c>
      <c r="B33" s="1" t="s">
        <v>1739</v>
      </c>
      <c r="C33" s="1" t="s">
        <v>643</v>
      </c>
      <c r="D33" s="1" t="s">
        <v>1740</v>
      </c>
      <c r="E33" s="1" t="s">
        <v>2471</v>
      </c>
      <c r="F33" s="1" t="s">
        <v>2472</v>
      </c>
      <c r="G33" s="1" t="s">
        <v>2472</v>
      </c>
      <c r="H33" s="1" t="s">
        <v>2473</v>
      </c>
      <c r="I33" s="1" t="s">
        <v>1744</v>
      </c>
      <c r="J33" s="1" t="s">
        <v>1745</v>
      </c>
      <c r="K33" s="1" t="s">
        <v>1746</v>
      </c>
      <c r="L33" s="1" t="s">
        <v>1747</v>
      </c>
      <c r="M33" s="1" t="s">
        <v>1748</v>
      </c>
      <c r="N33" s="1" t="s">
        <v>1749</v>
      </c>
      <c r="O33" s="1" t="s">
        <v>1750</v>
      </c>
      <c r="P33" s="1" t="s">
        <v>1751</v>
      </c>
      <c r="Q33">
        <v>49</v>
      </c>
      <c r="R33" s="1" t="s">
        <v>1752</v>
      </c>
      <c r="S33" s="1" t="s">
        <v>1753</v>
      </c>
      <c r="T33" s="1" t="s">
        <v>1754</v>
      </c>
      <c r="U33" s="1" t="s">
        <v>1755</v>
      </c>
      <c r="V33" s="1" t="s">
        <v>1756</v>
      </c>
      <c r="W33">
        <v>72</v>
      </c>
      <c r="X33">
        <v>72</v>
      </c>
      <c r="Y33" s="1" t="s">
        <v>1757</v>
      </c>
      <c r="Z33" s="2">
        <v>36999</v>
      </c>
      <c r="AA33" s="1" t="s">
        <v>2474</v>
      </c>
      <c r="AB33" s="1" t="s">
        <v>1755</v>
      </c>
      <c r="AC33" s="1" t="s">
        <v>2475</v>
      </c>
      <c r="AD33" s="1" t="s">
        <v>424</v>
      </c>
      <c r="AE33" s="1" t="s">
        <v>1760</v>
      </c>
      <c r="AF33" s="1" t="s">
        <v>1761</v>
      </c>
      <c r="AG33" s="1" t="s">
        <v>1762</v>
      </c>
      <c r="AH33" s="1" t="s">
        <v>2474</v>
      </c>
      <c r="AI33" s="1" t="s">
        <v>2474</v>
      </c>
      <c r="AJ33" s="1" t="s">
        <v>1763</v>
      </c>
      <c r="AK33" s="1" t="s">
        <v>1763</v>
      </c>
      <c r="AL33" s="1" t="s">
        <v>1763</v>
      </c>
      <c r="AM33" s="1" t="s">
        <v>2475</v>
      </c>
      <c r="AN33" s="1" t="s">
        <v>424</v>
      </c>
      <c r="AO33" s="1" t="s">
        <v>2476</v>
      </c>
      <c r="AP33" s="1" t="s">
        <v>1765</v>
      </c>
      <c r="AQ33" s="1" t="s">
        <v>1766</v>
      </c>
      <c r="AR33" s="1" t="s">
        <v>1767</v>
      </c>
      <c r="AS33" s="1" t="s">
        <v>1768</v>
      </c>
      <c r="AT33">
        <v>2010150922131390</v>
      </c>
      <c r="AU33" s="1" t="s">
        <v>1769</v>
      </c>
      <c r="AV33">
        <v>56438602334041</v>
      </c>
      <c r="AW33" s="1" t="s">
        <v>1770</v>
      </c>
      <c r="AX33" s="1" t="s">
        <v>1765</v>
      </c>
      <c r="AY33" s="1" t="s">
        <v>2477</v>
      </c>
      <c r="AZ33" s="1" t="s">
        <v>1897</v>
      </c>
      <c r="BA33" s="1" t="s">
        <v>2478</v>
      </c>
      <c r="BB33">
        <v>402</v>
      </c>
      <c r="BC33" s="1" t="s">
        <v>1774</v>
      </c>
      <c r="BD33" s="1" t="s">
        <v>1775</v>
      </c>
      <c r="BE33" s="1" t="s">
        <v>1776</v>
      </c>
      <c r="BF33" s="1" t="s">
        <v>1777</v>
      </c>
      <c r="BG33" s="1" t="s">
        <v>1778</v>
      </c>
      <c r="BH33" s="1" t="s">
        <v>1779</v>
      </c>
      <c r="BI33" s="1" t="s">
        <v>1779</v>
      </c>
      <c r="BJ33" s="1" t="s">
        <v>1780</v>
      </c>
      <c r="BK33" s="1" t="s">
        <v>1781</v>
      </c>
      <c r="BL33" s="1" t="s">
        <v>1754</v>
      </c>
      <c r="BM33" s="1" t="s">
        <v>1782</v>
      </c>
      <c r="BN33" s="1" t="s">
        <v>1783</v>
      </c>
      <c r="BO33" s="1" t="s">
        <v>1784</v>
      </c>
      <c r="BP33" s="1" t="s">
        <v>1785</v>
      </c>
      <c r="BQ33" s="1" t="s">
        <v>1786</v>
      </c>
      <c r="BR33" s="1" t="s">
        <v>2479</v>
      </c>
      <c r="BS33" s="1" t="s">
        <v>1788</v>
      </c>
      <c r="BT33" s="1" t="s">
        <v>2480</v>
      </c>
      <c r="BU33" s="1" t="s">
        <v>1790</v>
      </c>
      <c r="BV33" s="1" t="s">
        <v>2481</v>
      </c>
      <c r="BW33" s="1" t="s">
        <v>1790</v>
      </c>
      <c r="BX33" s="1" t="s">
        <v>2481</v>
      </c>
      <c r="BY33" s="1" t="s">
        <v>2234</v>
      </c>
      <c r="BZ33" s="1" t="s">
        <v>2482</v>
      </c>
      <c r="CA33" s="1" t="s">
        <v>1794</v>
      </c>
      <c r="CB33" s="1" t="s">
        <v>1795</v>
      </c>
      <c r="CC33" s="1" t="s">
        <v>1796</v>
      </c>
      <c r="CD33" s="1" t="s">
        <v>1797</v>
      </c>
      <c r="CE33" s="1" t="s">
        <v>1798</v>
      </c>
      <c r="CF33" s="1" t="s">
        <v>1799</v>
      </c>
      <c r="CG33" s="1" t="s">
        <v>1800</v>
      </c>
      <c r="CH33" s="1" t="s">
        <v>1794</v>
      </c>
      <c r="CI33" s="1" t="s">
        <v>1801</v>
      </c>
      <c r="CJ33" s="1" t="s">
        <v>1794</v>
      </c>
      <c r="CK33" s="1" t="s">
        <v>1802</v>
      </c>
      <c r="CL33" s="1" t="s">
        <v>1803</v>
      </c>
      <c r="CM33" s="1" t="s">
        <v>1804</v>
      </c>
      <c r="CN33" s="1" t="s">
        <v>1805</v>
      </c>
      <c r="CO33" s="1" t="s">
        <v>1794</v>
      </c>
      <c r="CP33" s="1" t="s">
        <v>1806</v>
      </c>
      <c r="CQ33" s="1" t="s">
        <v>1807</v>
      </c>
      <c r="CR33" s="1" t="s">
        <v>1808</v>
      </c>
      <c r="CS33" s="1" t="s">
        <v>1809</v>
      </c>
      <c r="CT33" s="1" t="s">
        <v>1810</v>
      </c>
      <c r="CU33" s="1" t="s">
        <v>1811</v>
      </c>
      <c r="CV33" s="1" t="s">
        <v>1812</v>
      </c>
      <c r="CW33" s="1" t="s">
        <v>1813</v>
      </c>
      <c r="CX33" s="1" t="s">
        <v>1814</v>
      </c>
      <c r="CY33" s="1" t="s">
        <v>1813</v>
      </c>
      <c r="CZ33" s="1" t="s">
        <v>1813</v>
      </c>
      <c r="DA33" s="1" t="s">
        <v>1775</v>
      </c>
      <c r="DB33" s="1" t="s">
        <v>1776</v>
      </c>
      <c r="DC33" s="1" t="s">
        <v>1752</v>
      </c>
      <c r="DD33" s="1" t="s">
        <v>1765</v>
      </c>
      <c r="DE33" s="1" t="s">
        <v>1815</v>
      </c>
      <c r="DF33" s="1" t="s">
        <v>1816</v>
      </c>
      <c r="DG33" s="1" t="s">
        <v>1817</v>
      </c>
      <c r="DH33" s="1" t="s">
        <v>1818</v>
      </c>
      <c r="DI33" s="1" t="s">
        <v>1819</v>
      </c>
      <c r="DJ33" s="1" t="s">
        <v>1820</v>
      </c>
      <c r="DK33" s="1" t="s">
        <v>1821</v>
      </c>
      <c r="DL33" s="1" t="s">
        <v>1822</v>
      </c>
      <c r="DM33" s="1" t="s">
        <v>1765</v>
      </c>
      <c r="DN33" s="1" t="s">
        <v>1765</v>
      </c>
      <c r="DO33" s="1" t="s">
        <v>1823</v>
      </c>
      <c r="DP33" s="1" t="s">
        <v>1824</v>
      </c>
      <c r="DQ33" s="1" t="s">
        <v>1824</v>
      </c>
      <c r="DR33" s="1" t="s">
        <v>1765</v>
      </c>
      <c r="DS33" s="1" t="s">
        <v>1825</v>
      </c>
      <c r="DT33" s="1" t="s">
        <v>1816</v>
      </c>
      <c r="DU33" s="1" t="s">
        <v>1826</v>
      </c>
      <c r="DV33" s="1" t="s">
        <v>2483</v>
      </c>
      <c r="DW33" s="1" t="s">
        <v>1828</v>
      </c>
      <c r="DX33" s="1" t="s">
        <v>2484</v>
      </c>
      <c r="DY33" s="1" t="s">
        <v>424</v>
      </c>
      <c r="DZ33" s="1" t="s">
        <v>1752</v>
      </c>
      <c r="EA33" s="1" t="s">
        <v>218</v>
      </c>
      <c r="EB33" s="1" t="s">
        <v>892</v>
      </c>
      <c r="EC33" s="1" t="s">
        <v>2475</v>
      </c>
      <c r="ED33" s="1" t="s">
        <v>2485</v>
      </c>
      <c r="EE33" s="1" t="s">
        <v>2485</v>
      </c>
      <c r="EF33" s="1" t="s">
        <v>2486</v>
      </c>
      <c r="EG33" s="1" t="s">
        <v>2218</v>
      </c>
      <c r="EH33" s="1" t="s">
        <v>2487</v>
      </c>
      <c r="EI33" s="1" t="s">
        <v>2488</v>
      </c>
      <c r="EJ33" s="1" t="s">
        <v>2489</v>
      </c>
      <c r="EK33" s="1" t="s">
        <v>1836</v>
      </c>
      <c r="EL33" s="1" t="s">
        <v>1837</v>
      </c>
      <c r="EM33" s="1" t="s">
        <v>1838</v>
      </c>
      <c r="EN33" s="1" t="s">
        <v>2490</v>
      </c>
      <c r="EO33" s="1" t="s">
        <v>1840</v>
      </c>
      <c r="EP33" s="1" t="s">
        <v>2244</v>
      </c>
      <c r="EQ33" s="1" t="s">
        <v>1782</v>
      </c>
      <c r="ER33" s="1" t="s">
        <v>1802</v>
      </c>
      <c r="ES33" s="1" t="s">
        <v>1802</v>
      </c>
      <c r="ET33" s="1" t="s">
        <v>1802</v>
      </c>
      <c r="EU33" s="1" t="s">
        <v>1802</v>
      </c>
      <c r="EV33" s="1" t="s">
        <v>1802</v>
      </c>
      <c r="EW33" s="1" t="s">
        <v>1802</v>
      </c>
      <c r="EX33" s="1" t="s">
        <v>1802</v>
      </c>
      <c r="EY33" s="1" t="s">
        <v>1802</v>
      </c>
      <c r="EZ33" s="1" t="s">
        <v>1802</v>
      </c>
      <c r="FA33" s="1" t="s">
        <v>1802</v>
      </c>
      <c r="FB33" s="1" t="s">
        <v>1802</v>
      </c>
      <c r="FC33" s="1" t="s">
        <v>1802</v>
      </c>
      <c r="FD33" s="1" t="s">
        <v>1802</v>
      </c>
      <c r="FE33" s="1" t="s">
        <v>1802</v>
      </c>
      <c r="FF33" s="1" t="s">
        <v>1802</v>
      </c>
      <c r="FG33" s="1" t="s">
        <v>1802</v>
      </c>
      <c r="FH33" s="1" t="s">
        <v>1802</v>
      </c>
      <c r="FI33" s="1" t="s">
        <v>1802</v>
      </c>
      <c r="FJ33" s="1" t="s">
        <v>1802</v>
      </c>
      <c r="FK33" s="1" t="s">
        <v>1802</v>
      </c>
      <c r="FL33" s="1" t="s">
        <v>1802</v>
      </c>
      <c r="FM33" s="1" t="s">
        <v>1802</v>
      </c>
      <c r="FN33" s="1" t="s">
        <v>1802</v>
      </c>
      <c r="FO33" s="1" t="s">
        <v>1802</v>
      </c>
      <c r="FP33" s="1" t="s">
        <v>1802</v>
      </c>
      <c r="FQ33" s="1" t="s">
        <v>1802</v>
      </c>
      <c r="FR33" s="2"/>
      <c r="FS33" s="1" t="s">
        <v>1802</v>
      </c>
    </row>
    <row r="34" spans="1:175" x14ac:dyDescent="0.3">
      <c r="A34" s="1" t="s">
        <v>2491</v>
      </c>
      <c r="B34" s="1" t="s">
        <v>1739</v>
      </c>
      <c r="C34" s="1" t="s">
        <v>658</v>
      </c>
      <c r="D34" s="1" t="s">
        <v>1740</v>
      </c>
      <c r="E34" s="1" t="s">
        <v>2492</v>
      </c>
      <c r="F34" s="1" t="s">
        <v>2493</v>
      </c>
      <c r="G34" s="1" t="s">
        <v>2493</v>
      </c>
      <c r="H34" s="1" t="s">
        <v>1915</v>
      </c>
      <c r="I34" s="1" t="s">
        <v>1744</v>
      </c>
      <c r="J34" s="1" t="s">
        <v>1745</v>
      </c>
      <c r="K34" s="1" t="s">
        <v>1746</v>
      </c>
      <c r="L34" s="1" t="s">
        <v>1747</v>
      </c>
      <c r="M34" s="1" t="s">
        <v>1748</v>
      </c>
      <c r="N34" s="1" t="s">
        <v>1749</v>
      </c>
      <c r="O34" s="1" t="s">
        <v>1750</v>
      </c>
      <c r="P34" s="1" t="s">
        <v>1751</v>
      </c>
      <c r="Q34">
        <v>49</v>
      </c>
      <c r="R34" s="1" t="s">
        <v>1752</v>
      </c>
      <c r="S34" s="1" t="s">
        <v>1753</v>
      </c>
      <c r="T34" s="1" t="s">
        <v>1754</v>
      </c>
      <c r="U34" s="1" t="s">
        <v>1755</v>
      </c>
      <c r="V34" s="1" t="s">
        <v>1756</v>
      </c>
      <c r="W34">
        <v>72</v>
      </c>
      <c r="X34">
        <v>72</v>
      </c>
      <c r="Y34" s="1" t="s">
        <v>1757</v>
      </c>
      <c r="Z34" s="2">
        <v>36999</v>
      </c>
      <c r="AA34" s="1" t="s">
        <v>2494</v>
      </c>
      <c r="AB34" s="1" t="s">
        <v>1755</v>
      </c>
      <c r="AC34" s="1" t="s">
        <v>2495</v>
      </c>
      <c r="AD34" s="1" t="s">
        <v>424</v>
      </c>
      <c r="AE34" s="1" t="s">
        <v>1760</v>
      </c>
      <c r="AF34" s="1" t="s">
        <v>2137</v>
      </c>
      <c r="AG34" s="1" t="s">
        <v>1762</v>
      </c>
      <c r="AH34" s="1" t="s">
        <v>2494</v>
      </c>
      <c r="AI34" s="1" t="s">
        <v>2494</v>
      </c>
      <c r="AJ34" s="1" t="s">
        <v>1763</v>
      </c>
      <c r="AK34" s="1" t="s">
        <v>1763</v>
      </c>
      <c r="AL34" s="1" t="s">
        <v>1763</v>
      </c>
      <c r="AM34" s="1" t="s">
        <v>2495</v>
      </c>
      <c r="AN34" s="1" t="s">
        <v>424</v>
      </c>
      <c r="AO34" s="1" t="s">
        <v>2496</v>
      </c>
      <c r="AP34" s="1" t="s">
        <v>1765</v>
      </c>
      <c r="AQ34" s="1" t="s">
        <v>1766</v>
      </c>
      <c r="AR34" s="1" t="s">
        <v>1767</v>
      </c>
      <c r="AS34" s="1" t="s">
        <v>1768</v>
      </c>
      <c r="AT34">
        <v>2009150923181390</v>
      </c>
      <c r="AU34" s="1" t="s">
        <v>1769</v>
      </c>
      <c r="AV34">
        <v>58151575425583</v>
      </c>
      <c r="AW34" s="1" t="s">
        <v>1770</v>
      </c>
      <c r="AX34" s="1" t="s">
        <v>1765</v>
      </c>
      <c r="AY34" s="1" t="s">
        <v>2497</v>
      </c>
      <c r="AZ34" s="1" t="s">
        <v>1897</v>
      </c>
      <c r="BA34" s="1" t="s">
        <v>2498</v>
      </c>
      <c r="BB34">
        <v>266</v>
      </c>
      <c r="BC34" s="1" t="s">
        <v>1774</v>
      </c>
      <c r="BD34" s="1" t="s">
        <v>1775</v>
      </c>
      <c r="BE34" s="1" t="s">
        <v>1776</v>
      </c>
      <c r="BF34" s="1" t="s">
        <v>1777</v>
      </c>
      <c r="BG34" s="1" t="s">
        <v>1778</v>
      </c>
      <c r="BH34" s="1" t="s">
        <v>1779</v>
      </c>
      <c r="BI34" s="1" t="s">
        <v>1779</v>
      </c>
      <c r="BJ34" s="1" t="s">
        <v>1780</v>
      </c>
      <c r="BK34" s="1" t="s">
        <v>1781</v>
      </c>
      <c r="BL34" s="1" t="s">
        <v>1754</v>
      </c>
      <c r="BM34" s="1" t="s">
        <v>1782</v>
      </c>
      <c r="BN34" s="1" t="s">
        <v>1783</v>
      </c>
      <c r="BO34" s="1" t="s">
        <v>1784</v>
      </c>
      <c r="BP34" s="1" t="s">
        <v>1785</v>
      </c>
      <c r="BQ34" s="1" t="s">
        <v>1786</v>
      </c>
      <c r="BR34" s="1" t="s">
        <v>2499</v>
      </c>
      <c r="BS34" s="1" t="s">
        <v>1788</v>
      </c>
      <c r="BT34" s="1" t="s">
        <v>2500</v>
      </c>
      <c r="BU34" s="1" t="s">
        <v>1790</v>
      </c>
      <c r="BV34" s="1" t="s">
        <v>2501</v>
      </c>
      <c r="BW34" s="1" t="s">
        <v>1790</v>
      </c>
      <c r="BX34" s="1" t="s">
        <v>2501</v>
      </c>
      <c r="BY34" s="1" t="s">
        <v>2234</v>
      </c>
      <c r="BZ34" s="1" t="s">
        <v>2502</v>
      </c>
      <c r="CA34" s="1" t="s">
        <v>1794</v>
      </c>
      <c r="CB34" s="1" t="s">
        <v>1795</v>
      </c>
      <c r="CC34" s="1" t="s">
        <v>1796</v>
      </c>
      <c r="CD34" s="1" t="s">
        <v>1797</v>
      </c>
      <c r="CE34" s="1" t="s">
        <v>1798</v>
      </c>
      <c r="CF34" s="1" t="s">
        <v>1799</v>
      </c>
      <c r="CG34" s="1" t="s">
        <v>1800</v>
      </c>
      <c r="CH34" s="1" t="s">
        <v>1794</v>
      </c>
      <c r="CI34" s="1" t="s">
        <v>1801</v>
      </c>
      <c r="CJ34" s="1" t="s">
        <v>1794</v>
      </c>
      <c r="CK34" s="1" t="s">
        <v>1802</v>
      </c>
      <c r="CL34" s="1" t="s">
        <v>1803</v>
      </c>
      <c r="CM34" s="1" t="s">
        <v>1804</v>
      </c>
      <c r="CN34" s="1" t="s">
        <v>1805</v>
      </c>
      <c r="CO34" s="1" t="s">
        <v>1794</v>
      </c>
      <c r="CP34" s="1" t="s">
        <v>1806</v>
      </c>
      <c r="CQ34" s="1" t="s">
        <v>1807</v>
      </c>
      <c r="CR34" s="1" t="s">
        <v>1808</v>
      </c>
      <c r="CS34" s="1" t="s">
        <v>1809</v>
      </c>
      <c r="CT34" s="1" t="s">
        <v>1810</v>
      </c>
      <c r="CU34" s="1" t="s">
        <v>1811</v>
      </c>
      <c r="CV34" s="1" t="s">
        <v>1812</v>
      </c>
      <c r="CW34" s="1" t="s">
        <v>1813</v>
      </c>
      <c r="CX34" s="1" t="s">
        <v>1814</v>
      </c>
      <c r="CY34" s="1" t="s">
        <v>1813</v>
      </c>
      <c r="CZ34" s="1" t="s">
        <v>1813</v>
      </c>
      <c r="DA34" s="1" t="s">
        <v>1775</v>
      </c>
      <c r="DB34" s="1" t="s">
        <v>1776</v>
      </c>
      <c r="DC34" s="1" t="s">
        <v>1752</v>
      </c>
      <c r="DD34" s="1" t="s">
        <v>1765</v>
      </c>
      <c r="DE34" s="1" t="s">
        <v>1815</v>
      </c>
      <c r="DF34" s="1" t="s">
        <v>1816</v>
      </c>
      <c r="DG34" s="1" t="s">
        <v>1817</v>
      </c>
      <c r="DH34" s="1" t="s">
        <v>1818</v>
      </c>
      <c r="DI34" s="1" t="s">
        <v>1819</v>
      </c>
      <c r="DJ34" s="1" t="s">
        <v>1820</v>
      </c>
      <c r="DK34" s="1" t="s">
        <v>1821</v>
      </c>
      <c r="DL34" s="1" t="s">
        <v>1822</v>
      </c>
      <c r="DM34" s="1" t="s">
        <v>1765</v>
      </c>
      <c r="DN34" s="1" t="s">
        <v>1765</v>
      </c>
      <c r="DO34" s="1" t="s">
        <v>1823</v>
      </c>
      <c r="DP34" s="1" t="s">
        <v>1824</v>
      </c>
      <c r="DQ34" s="1" t="s">
        <v>1824</v>
      </c>
      <c r="DR34" s="1" t="s">
        <v>1765</v>
      </c>
      <c r="DS34" s="1" t="s">
        <v>1825</v>
      </c>
      <c r="DT34" s="1" t="s">
        <v>1816</v>
      </c>
      <c r="DU34" s="1" t="s">
        <v>1826</v>
      </c>
      <c r="DV34" s="1" t="s">
        <v>2503</v>
      </c>
      <c r="DW34" s="1" t="s">
        <v>1828</v>
      </c>
      <c r="DX34" s="1" t="s">
        <v>2504</v>
      </c>
      <c r="DY34" s="1" t="s">
        <v>424</v>
      </c>
      <c r="DZ34" s="1" t="s">
        <v>1752</v>
      </c>
      <c r="EA34" s="1" t="s">
        <v>218</v>
      </c>
      <c r="EB34" s="1" t="s">
        <v>892</v>
      </c>
      <c r="EC34" s="1" t="s">
        <v>2495</v>
      </c>
      <c r="ED34" s="1" t="s">
        <v>2505</v>
      </c>
      <c r="EE34" s="1" t="s">
        <v>2505</v>
      </c>
      <c r="EF34" s="1" t="s">
        <v>2506</v>
      </c>
      <c r="EG34" s="1" t="s">
        <v>2149</v>
      </c>
      <c r="EH34" s="1" t="s">
        <v>2507</v>
      </c>
      <c r="EI34" s="1" t="s">
        <v>2508</v>
      </c>
      <c r="EJ34" s="1" t="s">
        <v>2509</v>
      </c>
      <c r="EK34" s="1" t="s">
        <v>1836</v>
      </c>
      <c r="EL34" s="1" t="s">
        <v>1837</v>
      </c>
      <c r="EM34" s="1" t="s">
        <v>1838</v>
      </c>
      <c r="EN34" s="1" t="s">
        <v>2510</v>
      </c>
      <c r="EO34" s="1" t="s">
        <v>1840</v>
      </c>
      <c r="EP34" s="1" t="s">
        <v>798</v>
      </c>
      <c r="EQ34" s="1" t="s">
        <v>1782</v>
      </c>
      <c r="ER34" s="1" t="s">
        <v>1802</v>
      </c>
      <c r="ES34" s="1" t="s">
        <v>1802</v>
      </c>
      <c r="ET34" s="1" t="s">
        <v>1802</v>
      </c>
      <c r="EU34" s="1" t="s">
        <v>1802</v>
      </c>
      <c r="EV34" s="1" t="s">
        <v>1802</v>
      </c>
      <c r="EW34" s="1" t="s">
        <v>1802</v>
      </c>
      <c r="EX34" s="1" t="s">
        <v>1802</v>
      </c>
      <c r="EY34" s="1" t="s">
        <v>1802</v>
      </c>
      <c r="EZ34" s="1" t="s">
        <v>1802</v>
      </c>
      <c r="FA34" s="1" t="s">
        <v>1802</v>
      </c>
      <c r="FB34" s="1" t="s">
        <v>1802</v>
      </c>
      <c r="FC34" s="1" t="s">
        <v>1802</v>
      </c>
      <c r="FD34" s="1" t="s">
        <v>1802</v>
      </c>
      <c r="FE34" s="1" t="s">
        <v>1802</v>
      </c>
      <c r="FF34" s="1" t="s">
        <v>1802</v>
      </c>
      <c r="FG34" s="1" t="s">
        <v>1802</v>
      </c>
      <c r="FH34" s="1" t="s">
        <v>1802</v>
      </c>
      <c r="FI34" s="1" t="s">
        <v>1802</v>
      </c>
      <c r="FJ34" s="1" t="s">
        <v>1802</v>
      </c>
      <c r="FK34" s="1" t="s">
        <v>1802</v>
      </c>
      <c r="FL34" s="1" t="s">
        <v>1802</v>
      </c>
      <c r="FM34" s="1" t="s">
        <v>1802</v>
      </c>
      <c r="FN34" s="1" t="s">
        <v>1802</v>
      </c>
      <c r="FO34" s="1" t="s">
        <v>1802</v>
      </c>
      <c r="FP34" s="1" t="s">
        <v>1802</v>
      </c>
      <c r="FQ34" s="1" t="s">
        <v>1802</v>
      </c>
      <c r="FR34" s="2"/>
      <c r="FS34" s="1" t="s">
        <v>1802</v>
      </c>
    </row>
    <row r="35" spans="1:175" x14ac:dyDescent="0.3">
      <c r="A35" s="1" t="s">
        <v>2511</v>
      </c>
      <c r="B35" s="1" t="s">
        <v>1739</v>
      </c>
      <c r="C35" s="1" t="s">
        <v>674</v>
      </c>
      <c r="D35" s="1" t="s">
        <v>1740</v>
      </c>
      <c r="E35" s="1" t="s">
        <v>2512</v>
      </c>
      <c r="F35" s="1" t="s">
        <v>2513</v>
      </c>
      <c r="G35" s="1" t="s">
        <v>2513</v>
      </c>
      <c r="H35" s="1" t="s">
        <v>1915</v>
      </c>
      <c r="I35" s="1" t="s">
        <v>1744</v>
      </c>
      <c r="J35" s="1" t="s">
        <v>1745</v>
      </c>
      <c r="K35" s="1" t="s">
        <v>1746</v>
      </c>
      <c r="L35" s="1" t="s">
        <v>1747</v>
      </c>
      <c r="M35" s="1" t="s">
        <v>1748</v>
      </c>
      <c r="N35" s="1" t="s">
        <v>1749</v>
      </c>
      <c r="O35" s="1" t="s">
        <v>1750</v>
      </c>
      <c r="P35" s="1" t="s">
        <v>1751</v>
      </c>
      <c r="Q35">
        <v>49</v>
      </c>
      <c r="R35" s="1" t="s">
        <v>1752</v>
      </c>
      <c r="S35" s="1" t="s">
        <v>1753</v>
      </c>
      <c r="T35" s="1" t="s">
        <v>1754</v>
      </c>
      <c r="U35" s="1" t="s">
        <v>1755</v>
      </c>
      <c r="V35" s="1" t="s">
        <v>1756</v>
      </c>
      <c r="W35">
        <v>72</v>
      </c>
      <c r="X35">
        <v>72</v>
      </c>
      <c r="Y35" s="1" t="s">
        <v>1757</v>
      </c>
      <c r="Z35" s="2">
        <v>36999</v>
      </c>
      <c r="AA35" s="1" t="s">
        <v>2514</v>
      </c>
      <c r="AB35" s="1" t="s">
        <v>1755</v>
      </c>
      <c r="AC35" s="1" t="s">
        <v>2515</v>
      </c>
      <c r="AD35" s="1" t="s">
        <v>424</v>
      </c>
      <c r="AE35" s="1" t="s">
        <v>1760</v>
      </c>
      <c r="AF35" s="1" t="s">
        <v>2516</v>
      </c>
      <c r="AG35" s="1" t="s">
        <v>1762</v>
      </c>
      <c r="AH35" s="1" t="s">
        <v>2514</v>
      </c>
      <c r="AI35" s="1" t="s">
        <v>2514</v>
      </c>
      <c r="AJ35" s="1" t="s">
        <v>1763</v>
      </c>
      <c r="AK35" s="1" t="s">
        <v>1763</v>
      </c>
      <c r="AL35" s="1" t="s">
        <v>1763</v>
      </c>
      <c r="AM35" s="1" t="s">
        <v>2515</v>
      </c>
      <c r="AN35" s="1" t="s">
        <v>424</v>
      </c>
      <c r="AO35" s="1" t="s">
        <v>2517</v>
      </c>
      <c r="AP35" s="1" t="s">
        <v>2518</v>
      </c>
      <c r="AQ35" s="1" t="s">
        <v>1766</v>
      </c>
      <c r="AR35" s="1" t="s">
        <v>1767</v>
      </c>
      <c r="AS35" s="1" t="s">
        <v>1768</v>
      </c>
      <c r="AT35">
        <v>2009150923181390</v>
      </c>
      <c r="AU35" s="1" t="s">
        <v>1769</v>
      </c>
      <c r="AV35">
        <v>59966153598291</v>
      </c>
      <c r="AW35" s="1" t="s">
        <v>1770</v>
      </c>
      <c r="AX35" s="1" t="s">
        <v>1765</v>
      </c>
      <c r="AY35" s="1" t="s">
        <v>2519</v>
      </c>
      <c r="AZ35" s="1" t="s">
        <v>1772</v>
      </c>
      <c r="BA35" s="1" t="s">
        <v>2520</v>
      </c>
      <c r="BB35">
        <v>115</v>
      </c>
      <c r="BC35" s="1" t="s">
        <v>1774</v>
      </c>
      <c r="BD35" s="1" t="s">
        <v>1775</v>
      </c>
      <c r="BE35" s="1" t="s">
        <v>1776</v>
      </c>
      <c r="BF35" s="1" t="s">
        <v>1777</v>
      </c>
      <c r="BG35" s="1" t="s">
        <v>1778</v>
      </c>
      <c r="BH35" s="1" t="s">
        <v>1779</v>
      </c>
      <c r="BI35" s="1" t="s">
        <v>1779</v>
      </c>
      <c r="BJ35" s="1" t="s">
        <v>1780</v>
      </c>
      <c r="BK35" s="1" t="s">
        <v>1781</v>
      </c>
      <c r="BL35" s="1" t="s">
        <v>1754</v>
      </c>
      <c r="BM35" s="1" t="s">
        <v>1782</v>
      </c>
      <c r="BN35" s="1" t="s">
        <v>2521</v>
      </c>
      <c r="BO35" s="1" t="s">
        <v>2522</v>
      </c>
      <c r="BP35" s="1" t="s">
        <v>2523</v>
      </c>
      <c r="BQ35" s="1" t="s">
        <v>1784</v>
      </c>
      <c r="BR35" s="1" t="s">
        <v>1785</v>
      </c>
      <c r="BS35" s="1" t="s">
        <v>1786</v>
      </c>
      <c r="BT35" s="1" t="s">
        <v>2524</v>
      </c>
      <c r="BU35" s="1" t="s">
        <v>1788</v>
      </c>
      <c r="BV35" s="1" t="s">
        <v>1765</v>
      </c>
      <c r="BW35" s="1" t="s">
        <v>1790</v>
      </c>
      <c r="BX35" s="1" t="s">
        <v>2525</v>
      </c>
      <c r="BY35" s="1" t="s">
        <v>1790</v>
      </c>
      <c r="BZ35" s="1" t="s">
        <v>2525</v>
      </c>
      <c r="CA35" s="1" t="s">
        <v>2234</v>
      </c>
      <c r="CB35" s="1" t="s">
        <v>2526</v>
      </c>
      <c r="CC35" s="1" t="s">
        <v>1794</v>
      </c>
      <c r="CD35" s="1" t="s">
        <v>1795</v>
      </c>
      <c r="CE35" s="1" t="s">
        <v>1796</v>
      </c>
      <c r="CF35" s="1" t="s">
        <v>1797</v>
      </c>
      <c r="CG35" s="1" t="s">
        <v>1798</v>
      </c>
      <c r="CH35" s="1" t="s">
        <v>1799</v>
      </c>
      <c r="CI35" s="1" t="s">
        <v>1800</v>
      </c>
      <c r="CJ35" s="1" t="s">
        <v>1794</v>
      </c>
      <c r="CK35" s="1" t="s">
        <v>1801</v>
      </c>
      <c r="CL35" s="1" t="s">
        <v>1794</v>
      </c>
      <c r="CM35" s="1" t="s">
        <v>1802</v>
      </c>
      <c r="CN35" s="1" t="s">
        <v>1803</v>
      </c>
      <c r="CO35" s="1" t="s">
        <v>1804</v>
      </c>
      <c r="CP35" s="1" t="s">
        <v>1805</v>
      </c>
      <c r="CQ35" s="1" t="s">
        <v>1794</v>
      </c>
      <c r="CR35" s="1" t="s">
        <v>1806</v>
      </c>
      <c r="CS35" s="1" t="s">
        <v>1807</v>
      </c>
      <c r="CT35" s="1" t="s">
        <v>1808</v>
      </c>
      <c r="CU35" s="1" t="s">
        <v>1809</v>
      </c>
      <c r="CV35" s="1" t="s">
        <v>1810</v>
      </c>
      <c r="CW35" s="1" t="s">
        <v>1811</v>
      </c>
      <c r="CX35" s="1" t="s">
        <v>1812</v>
      </c>
      <c r="CY35" s="1" t="s">
        <v>1813</v>
      </c>
      <c r="CZ35" s="1" t="s">
        <v>1814</v>
      </c>
      <c r="DA35" s="1" t="s">
        <v>1813</v>
      </c>
      <c r="DB35" s="1" t="s">
        <v>1813</v>
      </c>
      <c r="DC35" s="1" t="s">
        <v>1775</v>
      </c>
      <c r="DD35" s="1" t="s">
        <v>1776</v>
      </c>
      <c r="DE35" s="1" t="s">
        <v>1752</v>
      </c>
      <c r="DF35" s="1" t="s">
        <v>1765</v>
      </c>
      <c r="DG35" s="1" t="s">
        <v>1815</v>
      </c>
      <c r="DH35" s="1" t="s">
        <v>1816</v>
      </c>
      <c r="DI35" s="1" t="s">
        <v>1817</v>
      </c>
      <c r="DJ35" s="1" t="s">
        <v>1818</v>
      </c>
      <c r="DK35" s="1" t="s">
        <v>1819</v>
      </c>
      <c r="DL35" s="1" t="s">
        <v>1820</v>
      </c>
      <c r="DM35" s="1" t="s">
        <v>1821</v>
      </c>
      <c r="DN35" s="1" t="s">
        <v>1822</v>
      </c>
      <c r="DO35" s="1" t="s">
        <v>1765</v>
      </c>
      <c r="DP35" s="1" t="s">
        <v>1765</v>
      </c>
      <c r="DQ35" s="1" t="s">
        <v>1823</v>
      </c>
      <c r="DR35" s="1" t="s">
        <v>1824</v>
      </c>
      <c r="DS35" s="1" t="s">
        <v>1824</v>
      </c>
      <c r="DT35" s="1" t="s">
        <v>1765</v>
      </c>
      <c r="DU35" s="1" t="s">
        <v>1825</v>
      </c>
      <c r="DV35" s="1" t="s">
        <v>1816</v>
      </c>
      <c r="DW35" s="1" t="s">
        <v>1826</v>
      </c>
      <c r="DX35" s="1" t="s">
        <v>2527</v>
      </c>
      <c r="DY35" s="1" t="s">
        <v>2170</v>
      </c>
      <c r="DZ35" s="1" t="s">
        <v>2528</v>
      </c>
      <c r="EA35" s="1" t="s">
        <v>424</v>
      </c>
      <c r="EB35" s="1" t="s">
        <v>1752</v>
      </c>
      <c r="EC35" s="1" t="s">
        <v>218</v>
      </c>
      <c r="ED35" s="1" t="s">
        <v>892</v>
      </c>
      <c r="EE35" s="1" t="s">
        <v>2515</v>
      </c>
      <c r="EF35" s="1" t="s">
        <v>2529</v>
      </c>
      <c r="EG35" s="1" t="s">
        <v>2529</v>
      </c>
      <c r="EH35" s="1" t="s">
        <v>2530</v>
      </c>
      <c r="EI35" s="1" t="s">
        <v>2149</v>
      </c>
      <c r="EJ35" s="1" t="s">
        <v>2531</v>
      </c>
      <c r="EK35" s="1" t="s">
        <v>2532</v>
      </c>
      <c r="EL35" s="1" t="s">
        <v>2533</v>
      </c>
      <c r="EM35" s="1" t="s">
        <v>1836</v>
      </c>
      <c r="EN35" s="1" t="s">
        <v>1837</v>
      </c>
      <c r="EO35" s="1" t="s">
        <v>1838</v>
      </c>
      <c r="EP35" s="1" t="s">
        <v>2534</v>
      </c>
      <c r="EQ35" s="1" t="s">
        <v>1840</v>
      </c>
      <c r="ER35" s="1" t="s">
        <v>699</v>
      </c>
      <c r="ES35" s="1" t="s">
        <v>1782</v>
      </c>
      <c r="ET35" s="1" t="s">
        <v>1802</v>
      </c>
      <c r="EU35" s="1" t="s">
        <v>1802</v>
      </c>
      <c r="EV35" s="1" t="s">
        <v>1802</v>
      </c>
      <c r="EW35" s="1" t="s">
        <v>1802</v>
      </c>
      <c r="EX35" s="1" t="s">
        <v>1802</v>
      </c>
      <c r="EY35" s="1" t="s">
        <v>1802</v>
      </c>
      <c r="EZ35" s="1" t="s">
        <v>1802</v>
      </c>
      <c r="FA35" s="1" t="s">
        <v>1802</v>
      </c>
      <c r="FB35" s="1" t="s">
        <v>1802</v>
      </c>
      <c r="FC35" s="1" t="s">
        <v>1802</v>
      </c>
      <c r="FD35" s="1" t="s">
        <v>1802</v>
      </c>
      <c r="FE35" s="1" t="s">
        <v>1802</v>
      </c>
      <c r="FF35" s="1" t="s">
        <v>1802</v>
      </c>
      <c r="FG35" s="1" t="s">
        <v>1802</v>
      </c>
      <c r="FH35" s="1" t="s">
        <v>1802</v>
      </c>
      <c r="FI35" s="1" t="s">
        <v>1802</v>
      </c>
      <c r="FJ35" s="1" t="s">
        <v>1802</v>
      </c>
      <c r="FK35" s="1" t="s">
        <v>1802</v>
      </c>
      <c r="FL35" s="1" t="s">
        <v>1802</v>
      </c>
      <c r="FM35" s="1" t="s">
        <v>1802</v>
      </c>
      <c r="FN35" s="1" t="s">
        <v>1802</v>
      </c>
      <c r="FO35" s="1" t="s">
        <v>1802</v>
      </c>
      <c r="FP35" s="1" t="s">
        <v>1802</v>
      </c>
      <c r="FQ35" s="1" t="s">
        <v>1802</v>
      </c>
      <c r="FR35" s="2"/>
      <c r="FS35" s="1" t="s">
        <v>1802</v>
      </c>
    </row>
    <row r="36" spans="1:175" x14ac:dyDescent="0.3">
      <c r="A36" s="1" t="s">
        <v>2535</v>
      </c>
      <c r="B36" s="1" t="s">
        <v>1739</v>
      </c>
      <c r="C36" s="1" t="s">
        <v>697</v>
      </c>
      <c r="D36" s="1" t="s">
        <v>1740</v>
      </c>
      <c r="E36" s="1" t="s">
        <v>2536</v>
      </c>
      <c r="F36" s="1" t="s">
        <v>2537</v>
      </c>
      <c r="G36" s="1" t="s">
        <v>2537</v>
      </c>
      <c r="H36" s="1" t="s">
        <v>2538</v>
      </c>
      <c r="I36" s="1" t="s">
        <v>1744</v>
      </c>
      <c r="J36" s="1" t="s">
        <v>1745</v>
      </c>
      <c r="K36" s="1" t="s">
        <v>1746</v>
      </c>
      <c r="L36" s="1" t="s">
        <v>1747</v>
      </c>
      <c r="M36" s="1" t="s">
        <v>1748</v>
      </c>
      <c r="N36" s="1" t="s">
        <v>1749</v>
      </c>
      <c r="O36" s="1" t="s">
        <v>1750</v>
      </c>
      <c r="P36" s="1" t="s">
        <v>1751</v>
      </c>
      <c r="Q36">
        <v>49</v>
      </c>
      <c r="R36" s="1" t="s">
        <v>1752</v>
      </c>
      <c r="S36" s="1" t="s">
        <v>1753</v>
      </c>
      <c r="T36" s="1" t="s">
        <v>1754</v>
      </c>
      <c r="U36" s="1" t="s">
        <v>1755</v>
      </c>
      <c r="V36" s="1" t="s">
        <v>1756</v>
      </c>
      <c r="W36">
        <v>72</v>
      </c>
      <c r="X36">
        <v>72</v>
      </c>
      <c r="Y36" s="1" t="s">
        <v>1757</v>
      </c>
      <c r="Z36" s="2">
        <v>36999</v>
      </c>
      <c r="AA36" s="1" t="s">
        <v>2539</v>
      </c>
      <c r="AB36" s="1" t="s">
        <v>1755</v>
      </c>
      <c r="AC36" s="1" t="s">
        <v>2160</v>
      </c>
      <c r="AD36" s="1" t="s">
        <v>424</v>
      </c>
      <c r="AE36" s="1" t="s">
        <v>1760</v>
      </c>
      <c r="AF36" s="1" t="s">
        <v>2540</v>
      </c>
      <c r="AG36" s="1" t="s">
        <v>1762</v>
      </c>
      <c r="AH36" s="1" t="s">
        <v>2539</v>
      </c>
      <c r="AI36" s="1" t="s">
        <v>2539</v>
      </c>
      <c r="AJ36" s="1" t="s">
        <v>1763</v>
      </c>
      <c r="AK36" s="1" t="s">
        <v>1763</v>
      </c>
      <c r="AL36" s="1" t="s">
        <v>1763</v>
      </c>
      <c r="AM36" s="1" t="s">
        <v>2160</v>
      </c>
      <c r="AN36" s="1" t="s">
        <v>424</v>
      </c>
      <c r="AO36" s="1" t="s">
        <v>2541</v>
      </c>
      <c r="AP36" s="1" t="s">
        <v>1765</v>
      </c>
      <c r="AQ36" s="1" t="s">
        <v>1766</v>
      </c>
      <c r="AR36" s="1" t="s">
        <v>1767</v>
      </c>
      <c r="AS36" s="1" t="s">
        <v>1768</v>
      </c>
      <c r="AT36">
        <v>2009150923181390</v>
      </c>
      <c r="AU36" s="1" t="s">
        <v>1769</v>
      </c>
      <c r="AV36">
        <v>59971197820666</v>
      </c>
      <c r="AW36" s="1" t="s">
        <v>1770</v>
      </c>
      <c r="AX36" s="1" t="s">
        <v>1765</v>
      </c>
      <c r="AY36" s="1" t="s">
        <v>2542</v>
      </c>
      <c r="AZ36" s="1" t="s">
        <v>1897</v>
      </c>
      <c r="BA36" s="1" t="s">
        <v>2543</v>
      </c>
      <c r="BB36">
        <v>549</v>
      </c>
      <c r="BC36" s="1" t="s">
        <v>1774</v>
      </c>
      <c r="BD36" s="1" t="s">
        <v>1775</v>
      </c>
      <c r="BE36" s="1" t="s">
        <v>1776</v>
      </c>
      <c r="BF36" s="1" t="s">
        <v>1777</v>
      </c>
      <c r="BG36" s="1" t="s">
        <v>1778</v>
      </c>
      <c r="BH36" s="1" t="s">
        <v>1779</v>
      </c>
      <c r="BI36" s="1" t="s">
        <v>1779</v>
      </c>
      <c r="BJ36" s="1" t="s">
        <v>1780</v>
      </c>
      <c r="BK36" s="1" t="s">
        <v>1781</v>
      </c>
      <c r="BL36" s="1" t="s">
        <v>1754</v>
      </c>
      <c r="BM36" s="1" t="s">
        <v>1782</v>
      </c>
      <c r="BN36" s="1" t="s">
        <v>1783</v>
      </c>
      <c r="BO36" s="1" t="s">
        <v>1784</v>
      </c>
      <c r="BP36" s="1" t="s">
        <v>1785</v>
      </c>
      <c r="BQ36" s="1" t="s">
        <v>1786</v>
      </c>
      <c r="BR36" s="1" t="s">
        <v>2544</v>
      </c>
      <c r="BS36" s="1" t="s">
        <v>1788</v>
      </c>
      <c r="BT36" s="1" t="s">
        <v>2545</v>
      </c>
      <c r="BU36" s="1" t="s">
        <v>1790</v>
      </c>
      <c r="BV36" s="1" t="s">
        <v>2546</v>
      </c>
      <c r="BW36" s="1" t="s">
        <v>1790</v>
      </c>
      <c r="BX36" s="1" t="s">
        <v>2546</v>
      </c>
      <c r="BY36" s="1" t="s">
        <v>2234</v>
      </c>
      <c r="BZ36" s="1" t="s">
        <v>2144</v>
      </c>
      <c r="CA36" s="1" t="s">
        <v>1794</v>
      </c>
      <c r="CB36" s="1" t="s">
        <v>1795</v>
      </c>
      <c r="CC36" s="1" t="s">
        <v>1796</v>
      </c>
      <c r="CD36" s="1" t="s">
        <v>1797</v>
      </c>
      <c r="CE36" s="1" t="s">
        <v>1798</v>
      </c>
      <c r="CF36" s="1" t="s">
        <v>1799</v>
      </c>
      <c r="CG36" s="1" t="s">
        <v>1800</v>
      </c>
      <c r="CH36" s="1" t="s">
        <v>1794</v>
      </c>
      <c r="CI36" s="1" t="s">
        <v>1801</v>
      </c>
      <c r="CJ36" s="1" t="s">
        <v>1794</v>
      </c>
      <c r="CK36" s="1" t="s">
        <v>1802</v>
      </c>
      <c r="CL36" s="1" t="s">
        <v>1803</v>
      </c>
      <c r="CM36" s="1" t="s">
        <v>1804</v>
      </c>
      <c r="CN36" s="1" t="s">
        <v>1805</v>
      </c>
      <c r="CO36" s="1" t="s">
        <v>1794</v>
      </c>
      <c r="CP36" s="1" t="s">
        <v>1806</v>
      </c>
      <c r="CQ36" s="1" t="s">
        <v>1807</v>
      </c>
      <c r="CR36" s="1" t="s">
        <v>1808</v>
      </c>
      <c r="CS36" s="1" t="s">
        <v>1809</v>
      </c>
      <c r="CT36" s="1" t="s">
        <v>1810</v>
      </c>
      <c r="CU36" s="1" t="s">
        <v>1811</v>
      </c>
      <c r="CV36" s="1" t="s">
        <v>1812</v>
      </c>
      <c r="CW36" s="1" t="s">
        <v>1813</v>
      </c>
      <c r="CX36" s="1" t="s">
        <v>1814</v>
      </c>
      <c r="CY36" s="1" t="s">
        <v>1813</v>
      </c>
      <c r="CZ36" s="1" t="s">
        <v>1813</v>
      </c>
      <c r="DA36" s="1" t="s">
        <v>1775</v>
      </c>
      <c r="DB36" s="1" t="s">
        <v>1776</v>
      </c>
      <c r="DC36" s="1" t="s">
        <v>1752</v>
      </c>
      <c r="DD36" s="1" t="s">
        <v>1765</v>
      </c>
      <c r="DE36" s="1" t="s">
        <v>1815</v>
      </c>
      <c r="DF36" s="1" t="s">
        <v>1816</v>
      </c>
      <c r="DG36" s="1" t="s">
        <v>1817</v>
      </c>
      <c r="DH36" s="1" t="s">
        <v>1818</v>
      </c>
      <c r="DI36" s="1" t="s">
        <v>1819</v>
      </c>
      <c r="DJ36" s="1" t="s">
        <v>1820</v>
      </c>
      <c r="DK36" s="1" t="s">
        <v>1821</v>
      </c>
      <c r="DL36" s="1" t="s">
        <v>1822</v>
      </c>
      <c r="DM36" s="1" t="s">
        <v>1765</v>
      </c>
      <c r="DN36" s="1" t="s">
        <v>1765</v>
      </c>
      <c r="DO36" s="1" t="s">
        <v>1823</v>
      </c>
      <c r="DP36" s="1" t="s">
        <v>1824</v>
      </c>
      <c r="DQ36" s="1" t="s">
        <v>1824</v>
      </c>
      <c r="DR36" s="1" t="s">
        <v>1765</v>
      </c>
      <c r="DS36" s="1" t="s">
        <v>1825</v>
      </c>
      <c r="DT36" s="1" t="s">
        <v>1816</v>
      </c>
      <c r="DU36" s="1" t="s">
        <v>1826</v>
      </c>
      <c r="DV36" s="1" t="s">
        <v>2547</v>
      </c>
      <c r="DW36" s="1" t="s">
        <v>2170</v>
      </c>
      <c r="DX36" s="1" t="s">
        <v>2548</v>
      </c>
      <c r="DY36" s="1" t="s">
        <v>424</v>
      </c>
      <c r="DZ36" s="1" t="s">
        <v>1752</v>
      </c>
      <c r="EA36" s="1" t="s">
        <v>218</v>
      </c>
      <c r="EB36" s="1" t="s">
        <v>892</v>
      </c>
      <c r="EC36" s="1" t="s">
        <v>2160</v>
      </c>
      <c r="ED36" s="1" t="s">
        <v>2549</v>
      </c>
      <c r="EE36" s="1" t="s">
        <v>2549</v>
      </c>
      <c r="EF36" s="1" t="s">
        <v>2550</v>
      </c>
      <c r="EG36" s="1" t="s">
        <v>2034</v>
      </c>
      <c r="EH36" s="1" t="s">
        <v>2551</v>
      </c>
      <c r="EI36" s="1" t="s">
        <v>2552</v>
      </c>
      <c r="EJ36" s="1" t="s">
        <v>2553</v>
      </c>
      <c r="EK36" s="1" t="s">
        <v>1836</v>
      </c>
      <c r="EL36" s="1" t="s">
        <v>1837</v>
      </c>
      <c r="EM36" s="1" t="s">
        <v>1838</v>
      </c>
      <c r="EN36" s="1" t="s">
        <v>2554</v>
      </c>
      <c r="EO36" s="1" t="s">
        <v>1840</v>
      </c>
      <c r="EP36" s="1" t="s">
        <v>699</v>
      </c>
      <c r="EQ36" s="1" t="s">
        <v>1782</v>
      </c>
      <c r="ER36" s="1" t="s">
        <v>1802</v>
      </c>
      <c r="ES36" s="1" t="s">
        <v>1802</v>
      </c>
      <c r="ET36" s="1" t="s">
        <v>1802</v>
      </c>
      <c r="EU36" s="1" t="s">
        <v>1802</v>
      </c>
      <c r="EV36" s="1" t="s">
        <v>1802</v>
      </c>
      <c r="EW36" s="1" t="s">
        <v>1802</v>
      </c>
      <c r="EX36" s="1" t="s">
        <v>1802</v>
      </c>
      <c r="EY36" s="1" t="s">
        <v>1802</v>
      </c>
      <c r="EZ36" s="1" t="s">
        <v>1802</v>
      </c>
      <c r="FA36" s="1" t="s">
        <v>1802</v>
      </c>
      <c r="FB36" s="1" t="s">
        <v>1802</v>
      </c>
      <c r="FC36" s="1" t="s">
        <v>1802</v>
      </c>
      <c r="FD36" s="1" t="s">
        <v>1802</v>
      </c>
      <c r="FE36" s="1" t="s">
        <v>1802</v>
      </c>
      <c r="FF36" s="1" t="s">
        <v>1802</v>
      </c>
      <c r="FG36" s="1" t="s">
        <v>1802</v>
      </c>
      <c r="FH36" s="1" t="s">
        <v>1802</v>
      </c>
      <c r="FI36" s="1" t="s">
        <v>1802</v>
      </c>
      <c r="FJ36" s="1" t="s">
        <v>1802</v>
      </c>
      <c r="FK36" s="1" t="s">
        <v>1802</v>
      </c>
      <c r="FL36" s="1" t="s">
        <v>1802</v>
      </c>
      <c r="FM36" s="1" t="s">
        <v>1802</v>
      </c>
      <c r="FN36" s="1" t="s">
        <v>1802</v>
      </c>
      <c r="FO36" s="1" t="s">
        <v>1802</v>
      </c>
      <c r="FP36" s="1" t="s">
        <v>1802</v>
      </c>
      <c r="FQ36" s="1" t="s">
        <v>1802</v>
      </c>
      <c r="FR36" s="2"/>
      <c r="FS36" s="1" t="s">
        <v>1802</v>
      </c>
    </row>
    <row r="37" spans="1:175" x14ac:dyDescent="0.3">
      <c r="A37" s="1" t="s">
        <v>2555</v>
      </c>
      <c r="B37" s="1" t="s">
        <v>1739</v>
      </c>
      <c r="C37" s="1" t="s">
        <v>723</v>
      </c>
      <c r="D37" s="1" t="s">
        <v>1740</v>
      </c>
      <c r="E37" s="1" t="s">
        <v>2556</v>
      </c>
      <c r="F37" s="1" t="s">
        <v>2557</v>
      </c>
      <c r="G37" s="1" t="s">
        <v>2557</v>
      </c>
      <c r="H37" s="1" t="s">
        <v>1915</v>
      </c>
      <c r="I37" s="1" t="s">
        <v>1744</v>
      </c>
      <c r="J37" s="1" t="s">
        <v>1745</v>
      </c>
      <c r="K37" s="1" t="s">
        <v>1746</v>
      </c>
      <c r="L37" s="1" t="s">
        <v>1747</v>
      </c>
      <c r="M37" s="1" t="s">
        <v>1748</v>
      </c>
      <c r="N37" s="1" t="s">
        <v>1749</v>
      </c>
      <c r="O37" s="1" t="s">
        <v>1750</v>
      </c>
      <c r="P37" s="1" t="s">
        <v>1751</v>
      </c>
      <c r="Q37">
        <v>49</v>
      </c>
      <c r="R37" s="1" t="s">
        <v>1752</v>
      </c>
      <c r="S37" s="1" t="s">
        <v>1753</v>
      </c>
      <c r="T37" s="1" t="s">
        <v>1754</v>
      </c>
      <c r="U37" s="1" t="s">
        <v>1755</v>
      </c>
      <c r="V37" s="1" t="s">
        <v>1756</v>
      </c>
      <c r="W37">
        <v>72</v>
      </c>
      <c r="X37">
        <v>72</v>
      </c>
      <c r="Y37" s="1" t="s">
        <v>1757</v>
      </c>
      <c r="Z37" s="2">
        <v>36999</v>
      </c>
      <c r="AA37" s="1" t="s">
        <v>2558</v>
      </c>
      <c r="AB37" s="1" t="s">
        <v>1755</v>
      </c>
      <c r="AC37" s="1" t="s">
        <v>2205</v>
      </c>
      <c r="AD37" s="1" t="s">
        <v>424</v>
      </c>
      <c r="AE37" s="1" t="s">
        <v>1760</v>
      </c>
      <c r="AF37" s="1" t="s">
        <v>2559</v>
      </c>
      <c r="AG37" s="1" t="s">
        <v>1762</v>
      </c>
      <c r="AH37" s="1" t="s">
        <v>2558</v>
      </c>
      <c r="AI37" s="1" t="s">
        <v>2558</v>
      </c>
      <c r="AJ37" s="1" t="s">
        <v>1763</v>
      </c>
      <c r="AK37" s="1" t="s">
        <v>1763</v>
      </c>
      <c r="AL37" s="1" t="s">
        <v>1763</v>
      </c>
      <c r="AM37" s="1" t="s">
        <v>2205</v>
      </c>
      <c r="AN37" s="1" t="s">
        <v>424</v>
      </c>
      <c r="AO37" s="1" t="s">
        <v>2560</v>
      </c>
      <c r="AP37" s="1" t="s">
        <v>2561</v>
      </c>
      <c r="AQ37" s="1" t="s">
        <v>1766</v>
      </c>
      <c r="AR37" s="1" t="s">
        <v>1767</v>
      </c>
      <c r="AS37" s="1" t="s">
        <v>1768</v>
      </c>
      <c r="AT37">
        <v>2010150922131390</v>
      </c>
      <c r="AU37" s="1" t="s">
        <v>1769</v>
      </c>
      <c r="AV37">
        <v>62756782063083</v>
      </c>
      <c r="AW37" s="1" t="s">
        <v>1770</v>
      </c>
      <c r="AX37" s="1" t="s">
        <v>1765</v>
      </c>
      <c r="AY37" s="1" t="s">
        <v>2562</v>
      </c>
      <c r="AZ37" s="1" t="s">
        <v>1772</v>
      </c>
      <c r="BA37" s="1" t="s">
        <v>2563</v>
      </c>
      <c r="BB37">
        <v>192</v>
      </c>
      <c r="BC37" s="1" t="s">
        <v>1774</v>
      </c>
      <c r="BD37" s="1" t="s">
        <v>1775</v>
      </c>
      <c r="BE37" s="1" t="s">
        <v>1776</v>
      </c>
      <c r="BF37" s="1" t="s">
        <v>1777</v>
      </c>
      <c r="BG37" s="1" t="s">
        <v>1778</v>
      </c>
      <c r="BH37" s="1" t="s">
        <v>1779</v>
      </c>
      <c r="BI37" s="1" t="s">
        <v>1779</v>
      </c>
      <c r="BJ37" s="1" t="s">
        <v>1780</v>
      </c>
      <c r="BK37" s="1" t="s">
        <v>1781</v>
      </c>
      <c r="BL37" s="1" t="s">
        <v>1754</v>
      </c>
      <c r="BM37" s="1" t="s">
        <v>1782</v>
      </c>
      <c r="BN37" s="1" t="s">
        <v>1784</v>
      </c>
      <c r="BO37" s="1" t="s">
        <v>1785</v>
      </c>
      <c r="BP37" s="1" t="s">
        <v>1786</v>
      </c>
      <c r="BQ37" s="1" t="s">
        <v>2564</v>
      </c>
      <c r="BR37" s="1" t="s">
        <v>1788</v>
      </c>
      <c r="BS37" s="1" t="s">
        <v>2565</v>
      </c>
      <c r="BT37" s="1" t="s">
        <v>1790</v>
      </c>
      <c r="BU37" s="1" t="s">
        <v>2566</v>
      </c>
      <c r="BV37" s="1" t="s">
        <v>1790</v>
      </c>
      <c r="BW37" s="1" t="s">
        <v>2566</v>
      </c>
      <c r="BX37" s="1" t="s">
        <v>2234</v>
      </c>
      <c r="BY37" s="1" t="s">
        <v>2567</v>
      </c>
      <c r="BZ37" s="1" t="s">
        <v>1794</v>
      </c>
      <c r="CA37" s="1" t="s">
        <v>1795</v>
      </c>
      <c r="CB37" s="1" t="s">
        <v>1796</v>
      </c>
      <c r="CC37" s="1" t="s">
        <v>1797</v>
      </c>
      <c r="CD37" s="1" t="s">
        <v>1798</v>
      </c>
      <c r="CE37" s="1" t="s">
        <v>1799</v>
      </c>
      <c r="CF37" s="1" t="s">
        <v>1800</v>
      </c>
      <c r="CG37" s="1" t="s">
        <v>1794</v>
      </c>
      <c r="CH37" s="1" t="s">
        <v>1801</v>
      </c>
      <c r="CI37" s="1" t="s">
        <v>1794</v>
      </c>
      <c r="CJ37" s="1" t="s">
        <v>1802</v>
      </c>
      <c r="CK37" s="1" t="s">
        <v>1803</v>
      </c>
      <c r="CL37" s="1" t="s">
        <v>1804</v>
      </c>
      <c r="CM37" s="1" t="s">
        <v>1805</v>
      </c>
      <c r="CN37" s="1" t="s">
        <v>1794</v>
      </c>
      <c r="CO37" s="1" t="s">
        <v>1806</v>
      </c>
      <c r="CP37" s="1" t="s">
        <v>1807</v>
      </c>
      <c r="CQ37" s="1" t="s">
        <v>1808</v>
      </c>
      <c r="CR37" s="1" t="s">
        <v>1809</v>
      </c>
      <c r="CS37" s="1" t="s">
        <v>1810</v>
      </c>
      <c r="CT37" s="1" t="s">
        <v>1811</v>
      </c>
      <c r="CU37" s="1" t="s">
        <v>1812</v>
      </c>
      <c r="CV37" s="1" t="s">
        <v>1813</v>
      </c>
      <c r="CW37" s="1" t="s">
        <v>1814</v>
      </c>
      <c r="CX37" s="1" t="s">
        <v>1813</v>
      </c>
      <c r="CY37" s="1" t="s">
        <v>1813</v>
      </c>
      <c r="CZ37" s="1" t="s">
        <v>1775</v>
      </c>
      <c r="DA37" s="1" t="s">
        <v>1776</v>
      </c>
      <c r="DB37" s="1" t="s">
        <v>1752</v>
      </c>
      <c r="DC37" s="1" t="s">
        <v>1765</v>
      </c>
      <c r="DD37" s="1" t="s">
        <v>1815</v>
      </c>
      <c r="DE37" s="1" t="s">
        <v>1816</v>
      </c>
      <c r="DF37" s="1" t="s">
        <v>1817</v>
      </c>
      <c r="DG37" s="1" t="s">
        <v>1818</v>
      </c>
      <c r="DH37" s="1" t="s">
        <v>1819</v>
      </c>
      <c r="DI37" s="1" t="s">
        <v>1820</v>
      </c>
      <c r="DJ37" s="1" t="s">
        <v>1821</v>
      </c>
      <c r="DK37" s="1" t="s">
        <v>1822</v>
      </c>
      <c r="DL37" s="1" t="s">
        <v>1765</v>
      </c>
      <c r="DM37" s="1" t="s">
        <v>1765</v>
      </c>
      <c r="DN37" s="1" t="s">
        <v>1823</v>
      </c>
      <c r="DO37" s="1" t="s">
        <v>1824</v>
      </c>
      <c r="DP37" s="1" t="s">
        <v>1824</v>
      </c>
      <c r="DQ37" s="1" t="s">
        <v>1765</v>
      </c>
      <c r="DR37" s="1" t="s">
        <v>1825</v>
      </c>
      <c r="DS37" s="1" t="s">
        <v>1816</v>
      </c>
      <c r="DT37" s="1" t="s">
        <v>1826</v>
      </c>
      <c r="DU37" s="1" t="s">
        <v>2568</v>
      </c>
      <c r="DV37" s="1" t="s">
        <v>2170</v>
      </c>
      <c r="DW37" s="1" t="s">
        <v>2569</v>
      </c>
      <c r="DX37" s="1" t="s">
        <v>424</v>
      </c>
      <c r="DY37" s="1" t="s">
        <v>1752</v>
      </c>
      <c r="DZ37" s="1" t="s">
        <v>218</v>
      </c>
      <c r="EA37" s="1" t="s">
        <v>892</v>
      </c>
      <c r="EB37" s="1" t="s">
        <v>2205</v>
      </c>
      <c r="EC37" s="1" t="s">
        <v>2570</v>
      </c>
      <c r="ED37" s="1" t="s">
        <v>2570</v>
      </c>
      <c r="EE37" s="1" t="s">
        <v>2571</v>
      </c>
      <c r="EF37" s="1" t="s">
        <v>2194</v>
      </c>
      <c r="EG37" s="1" t="s">
        <v>2572</v>
      </c>
      <c r="EH37" s="1" t="s">
        <v>2573</v>
      </c>
      <c r="EI37" s="1" t="s">
        <v>2574</v>
      </c>
      <c r="EJ37" s="1" t="s">
        <v>1836</v>
      </c>
      <c r="EK37" s="1" t="s">
        <v>1837</v>
      </c>
      <c r="EL37" s="1" t="s">
        <v>1838</v>
      </c>
      <c r="EM37" s="1" t="s">
        <v>2575</v>
      </c>
      <c r="EN37" s="1" t="s">
        <v>1840</v>
      </c>
      <c r="EO37" s="1" t="s">
        <v>859</v>
      </c>
      <c r="EP37" s="1" t="s">
        <v>1782</v>
      </c>
      <c r="EQ37" s="1" t="s">
        <v>1802</v>
      </c>
      <c r="ER37" s="1" t="s">
        <v>1802</v>
      </c>
      <c r="ES37" s="1" t="s">
        <v>1802</v>
      </c>
      <c r="ET37" s="1" t="s">
        <v>1802</v>
      </c>
      <c r="EU37" s="1" t="s">
        <v>1802</v>
      </c>
      <c r="EV37" s="1" t="s">
        <v>1802</v>
      </c>
      <c r="EW37" s="1" t="s">
        <v>1802</v>
      </c>
      <c r="EX37" s="1" t="s">
        <v>1802</v>
      </c>
      <c r="EY37" s="1" t="s">
        <v>1802</v>
      </c>
      <c r="EZ37" s="1" t="s">
        <v>1802</v>
      </c>
      <c r="FA37" s="1" t="s">
        <v>1802</v>
      </c>
      <c r="FB37" s="1" t="s">
        <v>1802</v>
      </c>
      <c r="FC37" s="1" t="s">
        <v>1802</v>
      </c>
      <c r="FD37" s="1" t="s">
        <v>1802</v>
      </c>
      <c r="FE37" s="1" t="s">
        <v>1802</v>
      </c>
      <c r="FF37" s="1" t="s">
        <v>1802</v>
      </c>
      <c r="FG37" s="1" t="s">
        <v>1802</v>
      </c>
      <c r="FH37" s="1" t="s">
        <v>1802</v>
      </c>
      <c r="FI37" s="1" t="s">
        <v>1802</v>
      </c>
      <c r="FJ37" s="1" t="s">
        <v>1802</v>
      </c>
      <c r="FK37" s="1" t="s">
        <v>1802</v>
      </c>
      <c r="FL37" s="1" t="s">
        <v>1802</v>
      </c>
      <c r="FM37" s="1" t="s">
        <v>1802</v>
      </c>
      <c r="FN37" s="1" t="s">
        <v>1802</v>
      </c>
      <c r="FO37" s="1" t="s">
        <v>1802</v>
      </c>
      <c r="FP37" s="1" t="s">
        <v>1802</v>
      </c>
      <c r="FQ37" s="1" t="s">
        <v>1802</v>
      </c>
      <c r="FR37" s="2"/>
      <c r="FS37" s="1" t="s">
        <v>1802</v>
      </c>
    </row>
    <row r="38" spans="1:175" x14ac:dyDescent="0.3">
      <c r="A38" s="1" t="s">
        <v>2576</v>
      </c>
      <c r="B38" s="1" t="s">
        <v>1739</v>
      </c>
      <c r="C38" s="1" t="s">
        <v>737</v>
      </c>
      <c r="D38" s="1" t="s">
        <v>1740</v>
      </c>
      <c r="E38" s="1" t="s">
        <v>2577</v>
      </c>
      <c r="F38" s="1" t="s">
        <v>2578</v>
      </c>
      <c r="G38" s="1" t="s">
        <v>2578</v>
      </c>
      <c r="H38" s="1" t="s">
        <v>2579</v>
      </c>
      <c r="I38" s="1" t="s">
        <v>1744</v>
      </c>
      <c r="J38" s="1" t="s">
        <v>1745</v>
      </c>
      <c r="K38" s="1" t="s">
        <v>1746</v>
      </c>
      <c r="L38" s="1" t="s">
        <v>1747</v>
      </c>
      <c r="M38" s="1" t="s">
        <v>1748</v>
      </c>
      <c r="N38" s="1" t="s">
        <v>1749</v>
      </c>
      <c r="O38" s="1" t="s">
        <v>1750</v>
      </c>
      <c r="P38" s="1" t="s">
        <v>1751</v>
      </c>
      <c r="Q38">
        <v>49</v>
      </c>
      <c r="R38" s="1" t="s">
        <v>1752</v>
      </c>
      <c r="S38" s="1" t="s">
        <v>1753</v>
      </c>
      <c r="T38" s="1" t="s">
        <v>1754</v>
      </c>
      <c r="U38" s="1" t="s">
        <v>1755</v>
      </c>
      <c r="V38" s="1" t="s">
        <v>1756</v>
      </c>
      <c r="W38">
        <v>72</v>
      </c>
      <c r="X38">
        <v>72</v>
      </c>
      <c r="Y38" s="1" t="s">
        <v>1757</v>
      </c>
      <c r="Z38" s="2">
        <v>36999</v>
      </c>
      <c r="AA38" s="1" t="s">
        <v>2580</v>
      </c>
      <c r="AB38" s="1" t="s">
        <v>1755</v>
      </c>
      <c r="AC38" s="1" t="s">
        <v>2581</v>
      </c>
      <c r="AD38" s="1" t="s">
        <v>424</v>
      </c>
      <c r="AE38" s="1" t="s">
        <v>1760</v>
      </c>
      <c r="AF38" s="1" t="s">
        <v>1761</v>
      </c>
      <c r="AG38" s="1" t="s">
        <v>1762</v>
      </c>
      <c r="AH38" s="1" t="s">
        <v>2580</v>
      </c>
      <c r="AI38" s="1" t="s">
        <v>2580</v>
      </c>
      <c r="AJ38" s="1" t="s">
        <v>1763</v>
      </c>
      <c r="AK38" s="1" t="s">
        <v>1763</v>
      </c>
      <c r="AL38" s="1" t="s">
        <v>1763</v>
      </c>
      <c r="AM38" s="1" t="s">
        <v>2581</v>
      </c>
      <c r="AN38" s="1" t="s">
        <v>424</v>
      </c>
      <c r="AO38" s="1" t="s">
        <v>2582</v>
      </c>
      <c r="AP38" s="1" t="s">
        <v>1765</v>
      </c>
      <c r="AQ38" s="1" t="s">
        <v>1766</v>
      </c>
      <c r="AR38" s="1" t="s">
        <v>1767</v>
      </c>
      <c r="AS38" s="1" t="s">
        <v>1768</v>
      </c>
      <c r="AT38">
        <v>2010150922131390</v>
      </c>
      <c r="AU38" s="1" t="s">
        <v>1769</v>
      </c>
      <c r="AV38">
        <v>5018034809833</v>
      </c>
      <c r="AW38" s="1" t="s">
        <v>1770</v>
      </c>
      <c r="AX38" s="1" t="s">
        <v>1765</v>
      </c>
      <c r="AY38" s="1" t="s">
        <v>2583</v>
      </c>
      <c r="AZ38" s="1" t="s">
        <v>1897</v>
      </c>
      <c r="BA38" s="1" t="s">
        <v>2584</v>
      </c>
      <c r="BB38">
        <v>388</v>
      </c>
      <c r="BC38" s="1" t="s">
        <v>1774</v>
      </c>
      <c r="BD38" s="1" t="s">
        <v>1775</v>
      </c>
      <c r="BE38" s="1" t="s">
        <v>1776</v>
      </c>
      <c r="BF38" s="1" t="s">
        <v>1777</v>
      </c>
      <c r="BG38" s="1" t="s">
        <v>1778</v>
      </c>
      <c r="BH38" s="1" t="s">
        <v>1779</v>
      </c>
      <c r="BI38" s="1" t="s">
        <v>1779</v>
      </c>
      <c r="BJ38" s="1" t="s">
        <v>1780</v>
      </c>
      <c r="BK38" s="1" t="s">
        <v>1781</v>
      </c>
      <c r="BL38" s="1" t="s">
        <v>1754</v>
      </c>
      <c r="BM38" s="1" t="s">
        <v>1782</v>
      </c>
      <c r="BN38" s="1" t="s">
        <v>1783</v>
      </c>
      <c r="BO38" s="1" t="s">
        <v>1784</v>
      </c>
      <c r="BP38" s="1" t="s">
        <v>1785</v>
      </c>
      <c r="BQ38" s="1" t="s">
        <v>1786</v>
      </c>
      <c r="BR38" s="1" t="s">
        <v>2585</v>
      </c>
      <c r="BS38" s="1" t="s">
        <v>1788</v>
      </c>
      <c r="BT38" s="1" t="s">
        <v>2586</v>
      </c>
      <c r="BU38" s="1" t="s">
        <v>1790</v>
      </c>
      <c r="BV38" s="1" t="s">
        <v>2587</v>
      </c>
      <c r="BW38" s="1" t="s">
        <v>1790</v>
      </c>
      <c r="BX38" s="1" t="s">
        <v>2587</v>
      </c>
      <c r="BY38" s="1" t="s">
        <v>2588</v>
      </c>
      <c r="BZ38" s="1" t="s">
        <v>2589</v>
      </c>
      <c r="CA38" s="1" t="s">
        <v>1794</v>
      </c>
      <c r="CB38" s="1" t="s">
        <v>1795</v>
      </c>
      <c r="CC38" s="1" t="s">
        <v>1796</v>
      </c>
      <c r="CD38" s="1" t="s">
        <v>1797</v>
      </c>
      <c r="CE38" s="1" t="s">
        <v>1798</v>
      </c>
      <c r="CF38" s="1" t="s">
        <v>1799</v>
      </c>
      <c r="CG38" s="1" t="s">
        <v>1800</v>
      </c>
      <c r="CH38" s="1" t="s">
        <v>1794</v>
      </c>
      <c r="CI38" s="1" t="s">
        <v>1801</v>
      </c>
      <c r="CJ38" s="1" t="s">
        <v>1794</v>
      </c>
      <c r="CK38" s="1" t="s">
        <v>1802</v>
      </c>
      <c r="CL38" s="1" t="s">
        <v>1803</v>
      </c>
      <c r="CM38" s="1" t="s">
        <v>1804</v>
      </c>
      <c r="CN38" s="1" t="s">
        <v>1805</v>
      </c>
      <c r="CO38" s="1" t="s">
        <v>1794</v>
      </c>
      <c r="CP38" s="1" t="s">
        <v>1806</v>
      </c>
      <c r="CQ38" s="1" t="s">
        <v>1807</v>
      </c>
      <c r="CR38" s="1" t="s">
        <v>1808</v>
      </c>
      <c r="CS38" s="1" t="s">
        <v>1809</v>
      </c>
      <c r="CT38" s="1" t="s">
        <v>1810</v>
      </c>
      <c r="CU38" s="1" t="s">
        <v>1811</v>
      </c>
      <c r="CV38" s="1" t="s">
        <v>1812</v>
      </c>
      <c r="CW38" s="1" t="s">
        <v>1813</v>
      </c>
      <c r="CX38" s="1" t="s">
        <v>1814</v>
      </c>
      <c r="CY38" s="1" t="s">
        <v>1813</v>
      </c>
      <c r="CZ38" s="1" t="s">
        <v>1813</v>
      </c>
      <c r="DA38" s="1" t="s">
        <v>1775</v>
      </c>
      <c r="DB38" s="1" t="s">
        <v>1776</v>
      </c>
      <c r="DC38" s="1" t="s">
        <v>1752</v>
      </c>
      <c r="DD38" s="1" t="s">
        <v>1765</v>
      </c>
      <c r="DE38" s="1" t="s">
        <v>1815</v>
      </c>
      <c r="DF38" s="1" t="s">
        <v>1816</v>
      </c>
      <c r="DG38" s="1" t="s">
        <v>1817</v>
      </c>
      <c r="DH38" s="1" t="s">
        <v>1818</v>
      </c>
      <c r="DI38" s="1" t="s">
        <v>1819</v>
      </c>
      <c r="DJ38" s="1" t="s">
        <v>1820</v>
      </c>
      <c r="DK38" s="1" t="s">
        <v>1821</v>
      </c>
      <c r="DL38" s="1" t="s">
        <v>1822</v>
      </c>
      <c r="DM38" s="1" t="s">
        <v>1765</v>
      </c>
      <c r="DN38" s="1" t="s">
        <v>1765</v>
      </c>
      <c r="DO38" s="1" t="s">
        <v>1823</v>
      </c>
      <c r="DP38" s="1" t="s">
        <v>1824</v>
      </c>
      <c r="DQ38" s="1" t="s">
        <v>1824</v>
      </c>
      <c r="DR38" s="1" t="s">
        <v>1765</v>
      </c>
      <c r="DS38" s="1" t="s">
        <v>1825</v>
      </c>
      <c r="DT38" s="1" t="s">
        <v>1816</v>
      </c>
      <c r="DU38" s="1" t="s">
        <v>1826</v>
      </c>
      <c r="DV38" s="1" t="s">
        <v>2590</v>
      </c>
      <c r="DW38" s="1" t="s">
        <v>1828</v>
      </c>
      <c r="DX38" s="1" t="s">
        <v>2591</v>
      </c>
      <c r="DY38" s="1" t="s">
        <v>424</v>
      </c>
      <c r="DZ38" s="1" t="s">
        <v>1752</v>
      </c>
      <c r="EA38" s="1" t="s">
        <v>218</v>
      </c>
      <c r="EB38" s="1" t="s">
        <v>892</v>
      </c>
      <c r="EC38" s="1" t="s">
        <v>2581</v>
      </c>
      <c r="ED38" s="1" t="s">
        <v>2592</v>
      </c>
      <c r="EE38" s="1" t="s">
        <v>2592</v>
      </c>
      <c r="EF38" s="1" t="s">
        <v>2593</v>
      </c>
      <c r="EG38" s="1" t="s">
        <v>2594</v>
      </c>
      <c r="EH38" s="1" t="s">
        <v>2595</v>
      </c>
      <c r="EI38" s="1" t="s">
        <v>2300</v>
      </c>
      <c r="EJ38" s="1" t="s">
        <v>1953</v>
      </c>
      <c r="EK38" s="1" t="s">
        <v>1836</v>
      </c>
      <c r="EL38" s="1" t="s">
        <v>1837</v>
      </c>
      <c r="EM38" s="1" t="s">
        <v>1838</v>
      </c>
      <c r="EN38" s="1" t="s">
        <v>2596</v>
      </c>
      <c r="EO38" s="1" t="s">
        <v>1840</v>
      </c>
      <c r="EP38" s="1" t="s">
        <v>504</v>
      </c>
      <c r="EQ38" s="1" t="s">
        <v>1782</v>
      </c>
      <c r="ER38" s="1" t="s">
        <v>1802</v>
      </c>
      <c r="ES38" s="1" t="s">
        <v>1802</v>
      </c>
      <c r="ET38" s="1" t="s">
        <v>1802</v>
      </c>
      <c r="EU38" s="1" t="s">
        <v>1802</v>
      </c>
      <c r="EV38" s="1" t="s">
        <v>1802</v>
      </c>
      <c r="EW38" s="1" t="s">
        <v>1802</v>
      </c>
      <c r="EX38" s="1" t="s">
        <v>1802</v>
      </c>
      <c r="EY38" s="1" t="s">
        <v>1802</v>
      </c>
      <c r="EZ38" s="1" t="s">
        <v>1802</v>
      </c>
      <c r="FA38" s="1" t="s">
        <v>1802</v>
      </c>
      <c r="FB38" s="1" t="s">
        <v>1802</v>
      </c>
      <c r="FC38" s="1" t="s">
        <v>1802</v>
      </c>
      <c r="FD38" s="1" t="s">
        <v>1802</v>
      </c>
      <c r="FE38" s="1" t="s">
        <v>1802</v>
      </c>
      <c r="FF38" s="1" t="s">
        <v>1802</v>
      </c>
      <c r="FG38" s="1" t="s">
        <v>1802</v>
      </c>
      <c r="FH38" s="1" t="s">
        <v>1802</v>
      </c>
      <c r="FI38" s="1" t="s">
        <v>1802</v>
      </c>
      <c r="FJ38" s="1" t="s">
        <v>1802</v>
      </c>
      <c r="FK38" s="1" t="s">
        <v>1802</v>
      </c>
      <c r="FL38" s="1" t="s">
        <v>1802</v>
      </c>
      <c r="FM38" s="1" t="s">
        <v>1802</v>
      </c>
      <c r="FN38" s="1" t="s">
        <v>1802</v>
      </c>
      <c r="FO38" s="1" t="s">
        <v>1802</v>
      </c>
      <c r="FP38" s="1" t="s">
        <v>1802</v>
      </c>
      <c r="FQ38" s="1" t="s">
        <v>1802</v>
      </c>
      <c r="FR38" s="2"/>
      <c r="FS38" s="1" t="s">
        <v>1802</v>
      </c>
    </row>
    <row r="39" spans="1:175" x14ac:dyDescent="0.3">
      <c r="A39" s="1" t="s">
        <v>2597</v>
      </c>
      <c r="B39" s="1" t="s">
        <v>1739</v>
      </c>
      <c r="C39" s="1" t="s">
        <v>763</v>
      </c>
      <c r="D39" s="1" t="s">
        <v>1740</v>
      </c>
      <c r="E39" s="1" t="s">
        <v>2577</v>
      </c>
      <c r="F39" s="1" t="s">
        <v>2598</v>
      </c>
      <c r="G39" s="1" t="s">
        <v>2598</v>
      </c>
      <c r="H39" s="1" t="s">
        <v>2599</v>
      </c>
      <c r="I39" s="1" t="s">
        <v>1744</v>
      </c>
      <c r="J39" s="1" t="s">
        <v>1745</v>
      </c>
      <c r="K39" s="1" t="s">
        <v>1746</v>
      </c>
      <c r="L39" s="1" t="s">
        <v>1747</v>
      </c>
      <c r="M39" s="1" t="s">
        <v>1748</v>
      </c>
      <c r="N39" s="1" t="s">
        <v>1749</v>
      </c>
      <c r="O39" s="1" t="s">
        <v>1750</v>
      </c>
      <c r="P39" s="1" t="s">
        <v>1751</v>
      </c>
      <c r="Q39">
        <v>49</v>
      </c>
      <c r="R39" s="1" t="s">
        <v>1752</v>
      </c>
      <c r="S39" s="1" t="s">
        <v>1753</v>
      </c>
      <c r="T39" s="1" t="s">
        <v>1754</v>
      </c>
      <c r="U39" s="1" t="s">
        <v>1755</v>
      </c>
      <c r="V39" s="1" t="s">
        <v>1756</v>
      </c>
      <c r="W39">
        <v>72</v>
      </c>
      <c r="X39">
        <v>72</v>
      </c>
      <c r="Y39" s="1" t="s">
        <v>1757</v>
      </c>
      <c r="Z39" s="2">
        <v>36999</v>
      </c>
      <c r="AA39" s="1" t="s">
        <v>2600</v>
      </c>
      <c r="AB39" s="1" t="s">
        <v>1755</v>
      </c>
      <c r="AC39" s="1" t="s">
        <v>2601</v>
      </c>
      <c r="AD39" s="1" t="s">
        <v>424</v>
      </c>
      <c r="AE39" s="1" t="s">
        <v>1760</v>
      </c>
      <c r="AF39" s="1" t="s">
        <v>1761</v>
      </c>
      <c r="AG39" s="1" t="s">
        <v>1762</v>
      </c>
      <c r="AH39" s="1" t="s">
        <v>2600</v>
      </c>
      <c r="AI39" s="1" t="s">
        <v>2600</v>
      </c>
      <c r="AJ39" s="1" t="s">
        <v>1763</v>
      </c>
      <c r="AK39" s="1" t="s">
        <v>1763</v>
      </c>
      <c r="AL39" s="1" t="s">
        <v>1763</v>
      </c>
      <c r="AM39" s="1" t="s">
        <v>2601</v>
      </c>
      <c r="AN39" s="1" t="s">
        <v>424</v>
      </c>
      <c r="AO39" s="1" t="s">
        <v>2602</v>
      </c>
      <c r="AP39" s="1" t="s">
        <v>1765</v>
      </c>
      <c r="AQ39" s="1" t="s">
        <v>1766</v>
      </c>
      <c r="AR39" s="1" t="s">
        <v>1767</v>
      </c>
      <c r="AS39" s="1" t="s">
        <v>1768</v>
      </c>
      <c r="AT39">
        <v>2010150922131390</v>
      </c>
      <c r="AU39" s="1" t="s">
        <v>1769</v>
      </c>
      <c r="AV39">
        <v>5523949307958</v>
      </c>
      <c r="AW39" s="1" t="s">
        <v>1770</v>
      </c>
      <c r="AX39" s="1" t="s">
        <v>1765</v>
      </c>
      <c r="AY39" s="1" t="s">
        <v>2603</v>
      </c>
      <c r="AZ39" s="1" t="s">
        <v>1897</v>
      </c>
      <c r="BA39" s="1" t="s">
        <v>2604</v>
      </c>
      <c r="BB39">
        <v>393</v>
      </c>
      <c r="BC39" s="1" t="s">
        <v>1774</v>
      </c>
      <c r="BD39" s="1" t="s">
        <v>1775</v>
      </c>
      <c r="BE39" s="1" t="s">
        <v>1776</v>
      </c>
      <c r="BF39" s="1" t="s">
        <v>1777</v>
      </c>
      <c r="BG39" s="1" t="s">
        <v>1778</v>
      </c>
      <c r="BH39" s="1" t="s">
        <v>1779</v>
      </c>
      <c r="BI39" s="1" t="s">
        <v>1779</v>
      </c>
      <c r="BJ39" s="1" t="s">
        <v>1780</v>
      </c>
      <c r="BK39" s="1" t="s">
        <v>1781</v>
      </c>
      <c r="BL39" s="1" t="s">
        <v>1754</v>
      </c>
      <c r="BM39" s="1" t="s">
        <v>1782</v>
      </c>
      <c r="BN39" s="1" t="s">
        <v>1783</v>
      </c>
      <c r="BO39" s="1" t="s">
        <v>1784</v>
      </c>
      <c r="BP39" s="1" t="s">
        <v>1785</v>
      </c>
      <c r="BQ39" s="1" t="s">
        <v>1786</v>
      </c>
      <c r="BR39" s="1" t="s">
        <v>2605</v>
      </c>
      <c r="BS39" s="1" t="s">
        <v>1788</v>
      </c>
      <c r="BT39" s="1" t="s">
        <v>2606</v>
      </c>
      <c r="BU39" s="1" t="s">
        <v>1790</v>
      </c>
      <c r="BV39" s="1" t="s">
        <v>2607</v>
      </c>
      <c r="BW39" s="1" t="s">
        <v>1790</v>
      </c>
      <c r="BX39" s="1" t="s">
        <v>2607</v>
      </c>
      <c r="BY39" s="1" t="s">
        <v>2588</v>
      </c>
      <c r="BZ39" s="1" t="s">
        <v>2608</v>
      </c>
      <c r="CA39" s="1" t="s">
        <v>1794</v>
      </c>
      <c r="CB39" s="1" t="s">
        <v>1795</v>
      </c>
      <c r="CC39" s="1" t="s">
        <v>1796</v>
      </c>
      <c r="CD39" s="1" t="s">
        <v>1797</v>
      </c>
      <c r="CE39" s="1" t="s">
        <v>1798</v>
      </c>
      <c r="CF39" s="1" t="s">
        <v>1799</v>
      </c>
      <c r="CG39" s="1" t="s">
        <v>1800</v>
      </c>
      <c r="CH39" s="1" t="s">
        <v>1794</v>
      </c>
      <c r="CI39" s="1" t="s">
        <v>1801</v>
      </c>
      <c r="CJ39" s="1" t="s">
        <v>1794</v>
      </c>
      <c r="CK39" s="1" t="s">
        <v>1802</v>
      </c>
      <c r="CL39" s="1" t="s">
        <v>1803</v>
      </c>
      <c r="CM39" s="1" t="s">
        <v>1804</v>
      </c>
      <c r="CN39" s="1" t="s">
        <v>1805</v>
      </c>
      <c r="CO39" s="1" t="s">
        <v>1794</v>
      </c>
      <c r="CP39" s="1" t="s">
        <v>1806</v>
      </c>
      <c r="CQ39" s="1" t="s">
        <v>1807</v>
      </c>
      <c r="CR39" s="1" t="s">
        <v>1808</v>
      </c>
      <c r="CS39" s="1" t="s">
        <v>1809</v>
      </c>
      <c r="CT39" s="1" t="s">
        <v>1810</v>
      </c>
      <c r="CU39" s="1" t="s">
        <v>1811</v>
      </c>
      <c r="CV39" s="1" t="s">
        <v>1812</v>
      </c>
      <c r="CW39" s="1" t="s">
        <v>1813</v>
      </c>
      <c r="CX39" s="1" t="s">
        <v>1814</v>
      </c>
      <c r="CY39" s="1" t="s">
        <v>1813</v>
      </c>
      <c r="CZ39" s="1" t="s">
        <v>1813</v>
      </c>
      <c r="DA39" s="1" t="s">
        <v>1775</v>
      </c>
      <c r="DB39" s="1" t="s">
        <v>1776</v>
      </c>
      <c r="DC39" s="1" t="s">
        <v>1752</v>
      </c>
      <c r="DD39" s="1" t="s">
        <v>1765</v>
      </c>
      <c r="DE39" s="1" t="s">
        <v>1815</v>
      </c>
      <c r="DF39" s="1" t="s">
        <v>1816</v>
      </c>
      <c r="DG39" s="1" t="s">
        <v>1817</v>
      </c>
      <c r="DH39" s="1" t="s">
        <v>1818</v>
      </c>
      <c r="DI39" s="1" t="s">
        <v>1819</v>
      </c>
      <c r="DJ39" s="1" t="s">
        <v>1820</v>
      </c>
      <c r="DK39" s="1" t="s">
        <v>1821</v>
      </c>
      <c r="DL39" s="1" t="s">
        <v>1822</v>
      </c>
      <c r="DM39" s="1" t="s">
        <v>1765</v>
      </c>
      <c r="DN39" s="1" t="s">
        <v>1765</v>
      </c>
      <c r="DO39" s="1" t="s">
        <v>1823</v>
      </c>
      <c r="DP39" s="1" t="s">
        <v>1824</v>
      </c>
      <c r="DQ39" s="1" t="s">
        <v>1824</v>
      </c>
      <c r="DR39" s="1" t="s">
        <v>1765</v>
      </c>
      <c r="DS39" s="1" t="s">
        <v>1825</v>
      </c>
      <c r="DT39" s="1" t="s">
        <v>1816</v>
      </c>
      <c r="DU39" s="1" t="s">
        <v>1826</v>
      </c>
      <c r="DV39" s="1" t="s">
        <v>2609</v>
      </c>
      <c r="DW39" s="1" t="s">
        <v>1828</v>
      </c>
      <c r="DX39" s="1" t="s">
        <v>2610</v>
      </c>
      <c r="DY39" s="1" t="s">
        <v>424</v>
      </c>
      <c r="DZ39" s="1" t="s">
        <v>1752</v>
      </c>
      <c r="EA39" s="1" t="s">
        <v>218</v>
      </c>
      <c r="EB39" s="1" t="s">
        <v>892</v>
      </c>
      <c r="EC39" s="1" t="s">
        <v>2601</v>
      </c>
      <c r="ED39" s="1" t="s">
        <v>2611</v>
      </c>
      <c r="EE39" s="1" t="s">
        <v>2611</v>
      </c>
      <c r="EF39" s="1" t="s">
        <v>2612</v>
      </c>
      <c r="EG39" s="1" t="s">
        <v>2218</v>
      </c>
      <c r="EH39" s="1" t="s">
        <v>2613</v>
      </c>
      <c r="EI39" s="1" t="s">
        <v>2130</v>
      </c>
      <c r="EJ39" s="1" t="s">
        <v>2614</v>
      </c>
      <c r="EK39" s="1" t="s">
        <v>1836</v>
      </c>
      <c r="EL39" s="1" t="s">
        <v>1837</v>
      </c>
      <c r="EM39" s="1" t="s">
        <v>1838</v>
      </c>
      <c r="EN39" s="1" t="s">
        <v>2615</v>
      </c>
      <c r="EO39" s="1" t="s">
        <v>1840</v>
      </c>
      <c r="EP39" s="1" t="s">
        <v>2303</v>
      </c>
      <c r="EQ39" s="1" t="s">
        <v>1782</v>
      </c>
      <c r="ER39" s="1" t="s">
        <v>1802</v>
      </c>
      <c r="ES39" s="1" t="s">
        <v>1802</v>
      </c>
      <c r="ET39" s="1" t="s">
        <v>1802</v>
      </c>
      <c r="EU39" s="1" t="s">
        <v>1802</v>
      </c>
      <c r="EV39" s="1" t="s">
        <v>1802</v>
      </c>
      <c r="EW39" s="1" t="s">
        <v>1802</v>
      </c>
      <c r="EX39" s="1" t="s">
        <v>1802</v>
      </c>
      <c r="EY39" s="1" t="s">
        <v>1802</v>
      </c>
      <c r="EZ39" s="1" t="s">
        <v>1802</v>
      </c>
      <c r="FA39" s="1" t="s">
        <v>1802</v>
      </c>
      <c r="FB39" s="1" t="s">
        <v>1802</v>
      </c>
      <c r="FC39" s="1" t="s">
        <v>1802</v>
      </c>
      <c r="FD39" s="1" t="s">
        <v>1802</v>
      </c>
      <c r="FE39" s="1" t="s">
        <v>1802</v>
      </c>
      <c r="FF39" s="1" t="s">
        <v>1802</v>
      </c>
      <c r="FG39" s="1" t="s">
        <v>1802</v>
      </c>
      <c r="FH39" s="1" t="s">
        <v>1802</v>
      </c>
      <c r="FI39" s="1" t="s">
        <v>1802</v>
      </c>
      <c r="FJ39" s="1" t="s">
        <v>1802</v>
      </c>
      <c r="FK39" s="1" t="s">
        <v>1802</v>
      </c>
      <c r="FL39" s="1" t="s">
        <v>1802</v>
      </c>
      <c r="FM39" s="1" t="s">
        <v>1802</v>
      </c>
      <c r="FN39" s="1" t="s">
        <v>1802</v>
      </c>
      <c r="FO39" s="1" t="s">
        <v>1802</v>
      </c>
      <c r="FP39" s="1" t="s">
        <v>1802</v>
      </c>
      <c r="FQ39" s="1" t="s">
        <v>1802</v>
      </c>
      <c r="FR39" s="2"/>
      <c r="FS39" s="1" t="s">
        <v>1802</v>
      </c>
    </row>
    <row r="40" spans="1:175" x14ac:dyDescent="0.3">
      <c r="A40" s="1" t="s">
        <v>2616</v>
      </c>
      <c r="B40" s="1" t="s">
        <v>1739</v>
      </c>
      <c r="C40" s="1" t="s">
        <v>781</v>
      </c>
      <c r="D40" s="1" t="s">
        <v>1740</v>
      </c>
      <c r="E40" s="1" t="s">
        <v>1913</v>
      </c>
      <c r="F40" s="1" t="s">
        <v>2617</v>
      </c>
      <c r="G40" s="1" t="s">
        <v>2617</v>
      </c>
      <c r="H40" s="1" t="s">
        <v>2618</v>
      </c>
      <c r="I40" s="1" t="s">
        <v>1744</v>
      </c>
      <c r="J40" s="1" t="s">
        <v>1745</v>
      </c>
      <c r="K40" s="1" t="s">
        <v>1746</v>
      </c>
      <c r="L40" s="1" t="s">
        <v>1747</v>
      </c>
      <c r="M40" s="1" t="s">
        <v>1748</v>
      </c>
      <c r="N40" s="1" t="s">
        <v>1749</v>
      </c>
      <c r="O40" s="1" t="s">
        <v>1750</v>
      </c>
      <c r="P40" s="1" t="s">
        <v>1751</v>
      </c>
      <c r="Q40">
        <v>49</v>
      </c>
      <c r="R40" s="1" t="s">
        <v>1752</v>
      </c>
      <c r="S40" s="1" t="s">
        <v>1753</v>
      </c>
      <c r="T40" s="1" t="s">
        <v>1754</v>
      </c>
      <c r="U40" s="1" t="s">
        <v>1755</v>
      </c>
      <c r="V40" s="1" t="s">
        <v>1756</v>
      </c>
      <c r="W40">
        <v>72</v>
      </c>
      <c r="X40">
        <v>72</v>
      </c>
      <c r="Y40" s="1" t="s">
        <v>1757</v>
      </c>
      <c r="Z40" s="2">
        <v>36999</v>
      </c>
      <c r="AA40" s="1" t="s">
        <v>2619</v>
      </c>
      <c r="AB40" s="1" t="s">
        <v>1755</v>
      </c>
      <c r="AC40" s="1" t="s">
        <v>2620</v>
      </c>
      <c r="AD40" s="1" t="s">
        <v>424</v>
      </c>
      <c r="AE40" s="1" t="s">
        <v>1760</v>
      </c>
      <c r="AF40" s="1" t="s">
        <v>1761</v>
      </c>
      <c r="AG40" s="1" t="s">
        <v>1762</v>
      </c>
      <c r="AH40" s="1" t="s">
        <v>2619</v>
      </c>
      <c r="AI40" s="1" t="s">
        <v>2619</v>
      </c>
      <c r="AJ40" s="1" t="s">
        <v>1763</v>
      </c>
      <c r="AK40" s="1" t="s">
        <v>1763</v>
      </c>
      <c r="AL40" s="1" t="s">
        <v>1763</v>
      </c>
      <c r="AM40" s="1" t="s">
        <v>2620</v>
      </c>
      <c r="AN40" s="1" t="s">
        <v>424</v>
      </c>
      <c r="AO40" s="1" t="s">
        <v>2621</v>
      </c>
      <c r="AP40" s="1" t="s">
        <v>1765</v>
      </c>
      <c r="AQ40" s="1" t="s">
        <v>1766</v>
      </c>
      <c r="AR40" s="1" t="s">
        <v>1767</v>
      </c>
      <c r="AS40" s="1" t="s">
        <v>1768</v>
      </c>
      <c r="AT40">
        <v>2009150923181390</v>
      </c>
      <c r="AU40" s="1" t="s">
        <v>1769</v>
      </c>
      <c r="AV40">
        <v>6108010518541</v>
      </c>
      <c r="AW40" s="1" t="s">
        <v>1770</v>
      </c>
      <c r="AX40" s="1" t="s">
        <v>1765</v>
      </c>
      <c r="AY40" s="1" t="s">
        <v>2622</v>
      </c>
      <c r="AZ40" s="1" t="s">
        <v>1897</v>
      </c>
      <c r="BA40" s="1" t="s">
        <v>2623</v>
      </c>
      <c r="BB40">
        <v>764</v>
      </c>
      <c r="BC40" s="1" t="s">
        <v>1774</v>
      </c>
      <c r="BD40" s="1" t="s">
        <v>1775</v>
      </c>
      <c r="BE40" s="1" t="s">
        <v>1776</v>
      </c>
      <c r="BF40" s="1" t="s">
        <v>1777</v>
      </c>
      <c r="BG40" s="1" t="s">
        <v>1778</v>
      </c>
      <c r="BH40" s="1" t="s">
        <v>1779</v>
      </c>
      <c r="BI40" s="1" t="s">
        <v>1779</v>
      </c>
      <c r="BJ40" s="1" t="s">
        <v>1780</v>
      </c>
      <c r="BK40" s="1" t="s">
        <v>1781</v>
      </c>
      <c r="BL40" s="1" t="s">
        <v>1754</v>
      </c>
      <c r="BM40" s="1" t="s">
        <v>1782</v>
      </c>
      <c r="BN40" s="1" t="s">
        <v>1783</v>
      </c>
      <c r="BO40" s="1" t="s">
        <v>1784</v>
      </c>
      <c r="BP40" s="1" t="s">
        <v>1785</v>
      </c>
      <c r="BQ40" s="1" t="s">
        <v>1786</v>
      </c>
      <c r="BR40" s="1" t="s">
        <v>2624</v>
      </c>
      <c r="BS40" s="1" t="s">
        <v>1788</v>
      </c>
      <c r="BT40" s="1" t="s">
        <v>2625</v>
      </c>
      <c r="BU40" s="1" t="s">
        <v>1790</v>
      </c>
      <c r="BV40" s="1" t="s">
        <v>2626</v>
      </c>
      <c r="BW40" s="1" t="s">
        <v>1790</v>
      </c>
      <c r="BX40" s="1" t="s">
        <v>2626</v>
      </c>
      <c r="BY40" s="1" t="s">
        <v>2588</v>
      </c>
      <c r="BZ40" s="1" t="s">
        <v>2627</v>
      </c>
      <c r="CA40" s="1" t="s">
        <v>1794</v>
      </c>
      <c r="CB40" s="1" t="s">
        <v>1795</v>
      </c>
      <c r="CC40" s="1" t="s">
        <v>1796</v>
      </c>
      <c r="CD40" s="1" t="s">
        <v>1797</v>
      </c>
      <c r="CE40" s="1" t="s">
        <v>1798</v>
      </c>
      <c r="CF40" s="1" t="s">
        <v>1799</v>
      </c>
      <c r="CG40" s="1" t="s">
        <v>1800</v>
      </c>
      <c r="CH40" s="1" t="s">
        <v>1794</v>
      </c>
      <c r="CI40" s="1" t="s">
        <v>1801</v>
      </c>
      <c r="CJ40" s="1" t="s">
        <v>1794</v>
      </c>
      <c r="CK40" s="1" t="s">
        <v>1802</v>
      </c>
      <c r="CL40" s="1" t="s">
        <v>1803</v>
      </c>
      <c r="CM40" s="1" t="s">
        <v>1804</v>
      </c>
      <c r="CN40" s="1" t="s">
        <v>1805</v>
      </c>
      <c r="CO40" s="1" t="s">
        <v>1794</v>
      </c>
      <c r="CP40" s="1" t="s">
        <v>1806</v>
      </c>
      <c r="CQ40" s="1" t="s">
        <v>1807</v>
      </c>
      <c r="CR40" s="1" t="s">
        <v>1808</v>
      </c>
      <c r="CS40" s="1" t="s">
        <v>1809</v>
      </c>
      <c r="CT40" s="1" t="s">
        <v>1810</v>
      </c>
      <c r="CU40" s="1" t="s">
        <v>1811</v>
      </c>
      <c r="CV40" s="1" t="s">
        <v>1812</v>
      </c>
      <c r="CW40" s="1" t="s">
        <v>1813</v>
      </c>
      <c r="CX40" s="1" t="s">
        <v>1814</v>
      </c>
      <c r="CY40" s="1" t="s">
        <v>1813</v>
      </c>
      <c r="CZ40" s="1" t="s">
        <v>1813</v>
      </c>
      <c r="DA40" s="1" t="s">
        <v>1775</v>
      </c>
      <c r="DB40" s="1" t="s">
        <v>1776</v>
      </c>
      <c r="DC40" s="1" t="s">
        <v>1752</v>
      </c>
      <c r="DD40" s="1" t="s">
        <v>1765</v>
      </c>
      <c r="DE40" s="1" t="s">
        <v>1815</v>
      </c>
      <c r="DF40" s="1" t="s">
        <v>1816</v>
      </c>
      <c r="DG40" s="1" t="s">
        <v>1817</v>
      </c>
      <c r="DH40" s="1" t="s">
        <v>1818</v>
      </c>
      <c r="DI40" s="1" t="s">
        <v>1819</v>
      </c>
      <c r="DJ40" s="1" t="s">
        <v>1820</v>
      </c>
      <c r="DK40" s="1" t="s">
        <v>1821</v>
      </c>
      <c r="DL40" s="1" t="s">
        <v>1822</v>
      </c>
      <c r="DM40" s="1" t="s">
        <v>1765</v>
      </c>
      <c r="DN40" s="1" t="s">
        <v>1765</v>
      </c>
      <c r="DO40" s="1" t="s">
        <v>1823</v>
      </c>
      <c r="DP40" s="1" t="s">
        <v>1824</v>
      </c>
      <c r="DQ40" s="1" t="s">
        <v>1824</v>
      </c>
      <c r="DR40" s="1" t="s">
        <v>1765</v>
      </c>
      <c r="DS40" s="1" t="s">
        <v>1825</v>
      </c>
      <c r="DT40" s="1" t="s">
        <v>1816</v>
      </c>
      <c r="DU40" s="1" t="s">
        <v>1826</v>
      </c>
      <c r="DV40" s="1" t="s">
        <v>2628</v>
      </c>
      <c r="DW40" s="1" t="s">
        <v>1828</v>
      </c>
      <c r="DX40" s="1" t="s">
        <v>2629</v>
      </c>
      <c r="DY40" s="1" t="s">
        <v>424</v>
      </c>
      <c r="DZ40" s="1" t="s">
        <v>1752</v>
      </c>
      <c r="EA40" s="1" t="s">
        <v>218</v>
      </c>
      <c r="EB40" s="1" t="s">
        <v>892</v>
      </c>
      <c r="EC40" s="1" t="s">
        <v>2620</v>
      </c>
      <c r="ED40" s="1" t="s">
        <v>2630</v>
      </c>
      <c r="EE40" s="1" t="s">
        <v>2630</v>
      </c>
      <c r="EF40" s="1" t="s">
        <v>2631</v>
      </c>
      <c r="EG40" s="1" t="s">
        <v>2632</v>
      </c>
      <c r="EH40" s="1" t="s">
        <v>2633</v>
      </c>
      <c r="EI40" s="1" t="s">
        <v>2175</v>
      </c>
      <c r="EJ40" s="1" t="s">
        <v>2634</v>
      </c>
      <c r="EK40" s="1" t="s">
        <v>1836</v>
      </c>
      <c r="EL40" s="1" t="s">
        <v>1837</v>
      </c>
      <c r="EM40" s="1" t="s">
        <v>1838</v>
      </c>
      <c r="EN40" s="1" t="s">
        <v>2635</v>
      </c>
      <c r="EO40" s="1" t="s">
        <v>1840</v>
      </c>
      <c r="EP40" s="1" t="s">
        <v>920</v>
      </c>
      <c r="EQ40" s="1" t="s">
        <v>1782</v>
      </c>
      <c r="ER40" s="1" t="s">
        <v>1802</v>
      </c>
      <c r="ES40" s="1" t="s">
        <v>1802</v>
      </c>
      <c r="ET40" s="1" t="s">
        <v>1802</v>
      </c>
      <c r="EU40" s="1" t="s">
        <v>1802</v>
      </c>
      <c r="EV40" s="1" t="s">
        <v>1802</v>
      </c>
      <c r="EW40" s="1" t="s">
        <v>1802</v>
      </c>
      <c r="EX40" s="1" t="s">
        <v>1802</v>
      </c>
      <c r="EY40" s="1" t="s">
        <v>1802</v>
      </c>
      <c r="EZ40" s="1" t="s">
        <v>1802</v>
      </c>
      <c r="FA40" s="1" t="s">
        <v>1802</v>
      </c>
      <c r="FB40" s="1" t="s">
        <v>1802</v>
      </c>
      <c r="FC40" s="1" t="s">
        <v>1802</v>
      </c>
      <c r="FD40" s="1" t="s">
        <v>1802</v>
      </c>
      <c r="FE40" s="1" t="s">
        <v>1802</v>
      </c>
      <c r="FF40" s="1" t="s">
        <v>1802</v>
      </c>
      <c r="FG40" s="1" t="s">
        <v>1802</v>
      </c>
      <c r="FH40" s="1" t="s">
        <v>1802</v>
      </c>
      <c r="FI40" s="1" t="s">
        <v>1802</v>
      </c>
      <c r="FJ40" s="1" t="s">
        <v>1802</v>
      </c>
      <c r="FK40" s="1" t="s">
        <v>1802</v>
      </c>
      <c r="FL40" s="1" t="s">
        <v>1802</v>
      </c>
      <c r="FM40" s="1" t="s">
        <v>1802</v>
      </c>
      <c r="FN40" s="1" t="s">
        <v>1802</v>
      </c>
      <c r="FO40" s="1" t="s">
        <v>1802</v>
      </c>
      <c r="FP40" s="1" t="s">
        <v>1802</v>
      </c>
      <c r="FQ40" s="1" t="s">
        <v>1802</v>
      </c>
      <c r="FR40" s="2"/>
      <c r="FS40" s="1" t="s">
        <v>1802</v>
      </c>
    </row>
    <row r="41" spans="1:175" x14ac:dyDescent="0.3">
      <c r="A41" s="1" t="s">
        <v>2636</v>
      </c>
      <c r="B41" s="1" t="s">
        <v>1739</v>
      </c>
      <c r="C41" s="1" t="s">
        <v>796</v>
      </c>
      <c r="D41" s="1" t="s">
        <v>1740</v>
      </c>
      <c r="E41" s="1" t="s">
        <v>2091</v>
      </c>
      <c r="F41" s="1" t="s">
        <v>2637</v>
      </c>
      <c r="G41" s="1" t="s">
        <v>2637</v>
      </c>
      <c r="H41" s="1" t="s">
        <v>2638</v>
      </c>
      <c r="I41" s="1" t="s">
        <v>1744</v>
      </c>
      <c r="J41" s="1" t="s">
        <v>1745</v>
      </c>
      <c r="K41" s="1" t="s">
        <v>1746</v>
      </c>
      <c r="L41" s="1" t="s">
        <v>1747</v>
      </c>
      <c r="M41" s="1" t="s">
        <v>1748</v>
      </c>
      <c r="N41" s="1" t="s">
        <v>1749</v>
      </c>
      <c r="O41" s="1" t="s">
        <v>1750</v>
      </c>
      <c r="P41" s="1" t="s">
        <v>1751</v>
      </c>
      <c r="Q41">
        <v>49</v>
      </c>
      <c r="R41" s="1" t="s">
        <v>1752</v>
      </c>
      <c r="S41" s="1" t="s">
        <v>1753</v>
      </c>
      <c r="T41" s="1" t="s">
        <v>1754</v>
      </c>
      <c r="U41" s="1" t="s">
        <v>1755</v>
      </c>
      <c r="V41" s="1" t="s">
        <v>1756</v>
      </c>
      <c r="W41">
        <v>72</v>
      </c>
      <c r="X41">
        <v>72</v>
      </c>
      <c r="Y41" s="1" t="s">
        <v>1757</v>
      </c>
      <c r="Z41" s="2">
        <v>36999</v>
      </c>
      <c r="AA41" s="1" t="s">
        <v>2639</v>
      </c>
      <c r="AB41" s="1" t="s">
        <v>1755</v>
      </c>
      <c r="AC41" s="1" t="s">
        <v>2640</v>
      </c>
      <c r="AD41" s="1" t="s">
        <v>424</v>
      </c>
      <c r="AE41" s="1" t="s">
        <v>1760</v>
      </c>
      <c r="AF41" s="1" t="s">
        <v>1761</v>
      </c>
      <c r="AG41" s="1" t="s">
        <v>1762</v>
      </c>
      <c r="AH41" s="1" t="s">
        <v>2639</v>
      </c>
      <c r="AI41" s="1" t="s">
        <v>2639</v>
      </c>
      <c r="AJ41" s="1" t="s">
        <v>1763</v>
      </c>
      <c r="AK41" s="1" t="s">
        <v>1763</v>
      </c>
      <c r="AL41" s="1" t="s">
        <v>1763</v>
      </c>
      <c r="AM41" s="1" t="s">
        <v>2640</v>
      </c>
      <c r="AN41" s="1" t="s">
        <v>424</v>
      </c>
      <c r="AO41" s="1" t="s">
        <v>2641</v>
      </c>
      <c r="AP41" s="1" t="s">
        <v>1765</v>
      </c>
      <c r="AQ41" s="1" t="s">
        <v>1766</v>
      </c>
      <c r="AR41" s="1" t="s">
        <v>1767</v>
      </c>
      <c r="AS41" s="1" t="s">
        <v>1768</v>
      </c>
      <c r="AT41">
        <v>2009150923181390</v>
      </c>
      <c r="AU41" s="1" t="s">
        <v>1769</v>
      </c>
      <c r="AV41">
        <v>9287667535916</v>
      </c>
      <c r="AW41" s="1" t="s">
        <v>1770</v>
      </c>
      <c r="AX41" s="1" t="s">
        <v>1765</v>
      </c>
      <c r="AY41" s="1" t="s">
        <v>2642</v>
      </c>
      <c r="AZ41" s="1" t="s">
        <v>1897</v>
      </c>
      <c r="BA41" s="1" t="s">
        <v>2643</v>
      </c>
      <c r="BB41">
        <v>823</v>
      </c>
      <c r="BC41" s="1" t="s">
        <v>1774</v>
      </c>
      <c r="BD41" s="1" t="s">
        <v>1775</v>
      </c>
      <c r="BE41" s="1" t="s">
        <v>1776</v>
      </c>
      <c r="BF41" s="1" t="s">
        <v>1777</v>
      </c>
      <c r="BG41" s="1" t="s">
        <v>1778</v>
      </c>
      <c r="BH41" s="1" t="s">
        <v>1779</v>
      </c>
      <c r="BI41" s="1" t="s">
        <v>1779</v>
      </c>
      <c r="BJ41" s="1" t="s">
        <v>1780</v>
      </c>
      <c r="BK41" s="1" t="s">
        <v>1781</v>
      </c>
      <c r="BL41" s="1" t="s">
        <v>1754</v>
      </c>
      <c r="BM41" s="1" t="s">
        <v>1782</v>
      </c>
      <c r="BN41" s="1" t="s">
        <v>1783</v>
      </c>
      <c r="BO41" s="1" t="s">
        <v>1784</v>
      </c>
      <c r="BP41" s="1" t="s">
        <v>1785</v>
      </c>
      <c r="BQ41" s="1" t="s">
        <v>1786</v>
      </c>
      <c r="BR41" s="1" t="s">
        <v>2644</v>
      </c>
      <c r="BS41" s="1" t="s">
        <v>1788</v>
      </c>
      <c r="BT41" s="1" t="s">
        <v>2645</v>
      </c>
      <c r="BU41" s="1" t="s">
        <v>1790</v>
      </c>
      <c r="BV41" s="1" t="s">
        <v>2646</v>
      </c>
      <c r="BW41" s="1" t="s">
        <v>1790</v>
      </c>
      <c r="BX41" s="1" t="s">
        <v>2646</v>
      </c>
      <c r="BY41" s="1" t="s">
        <v>2588</v>
      </c>
      <c r="BZ41" s="1" t="s">
        <v>2647</v>
      </c>
      <c r="CA41" s="1" t="s">
        <v>1794</v>
      </c>
      <c r="CB41" s="1" t="s">
        <v>1795</v>
      </c>
      <c r="CC41" s="1" t="s">
        <v>1796</v>
      </c>
      <c r="CD41" s="1" t="s">
        <v>1797</v>
      </c>
      <c r="CE41" s="1" t="s">
        <v>1798</v>
      </c>
      <c r="CF41" s="1" t="s">
        <v>1799</v>
      </c>
      <c r="CG41" s="1" t="s">
        <v>1800</v>
      </c>
      <c r="CH41" s="1" t="s">
        <v>1794</v>
      </c>
      <c r="CI41" s="1" t="s">
        <v>1801</v>
      </c>
      <c r="CJ41" s="1" t="s">
        <v>1794</v>
      </c>
      <c r="CK41" s="1" t="s">
        <v>1802</v>
      </c>
      <c r="CL41" s="1" t="s">
        <v>1803</v>
      </c>
      <c r="CM41" s="1" t="s">
        <v>1804</v>
      </c>
      <c r="CN41" s="1" t="s">
        <v>1805</v>
      </c>
      <c r="CO41" s="1" t="s">
        <v>1794</v>
      </c>
      <c r="CP41" s="1" t="s">
        <v>1806</v>
      </c>
      <c r="CQ41" s="1" t="s">
        <v>1807</v>
      </c>
      <c r="CR41" s="1" t="s">
        <v>1808</v>
      </c>
      <c r="CS41" s="1" t="s">
        <v>1809</v>
      </c>
      <c r="CT41" s="1" t="s">
        <v>1810</v>
      </c>
      <c r="CU41" s="1" t="s">
        <v>1811</v>
      </c>
      <c r="CV41" s="1" t="s">
        <v>1812</v>
      </c>
      <c r="CW41" s="1" t="s">
        <v>1813</v>
      </c>
      <c r="CX41" s="1" t="s">
        <v>1814</v>
      </c>
      <c r="CY41" s="1" t="s">
        <v>1813</v>
      </c>
      <c r="CZ41" s="1" t="s">
        <v>1813</v>
      </c>
      <c r="DA41" s="1" t="s">
        <v>1775</v>
      </c>
      <c r="DB41" s="1" t="s">
        <v>1776</v>
      </c>
      <c r="DC41" s="1" t="s">
        <v>1752</v>
      </c>
      <c r="DD41" s="1" t="s">
        <v>1765</v>
      </c>
      <c r="DE41" s="1" t="s">
        <v>1815</v>
      </c>
      <c r="DF41" s="1" t="s">
        <v>1816</v>
      </c>
      <c r="DG41" s="1" t="s">
        <v>1817</v>
      </c>
      <c r="DH41" s="1" t="s">
        <v>1818</v>
      </c>
      <c r="DI41" s="1" t="s">
        <v>1819</v>
      </c>
      <c r="DJ41" s="1" t="s">
        <v>1820</v>
      </c>
      <c r="DK41" s="1" t="s">
        <v>1821</v>
      </c>
      <c r="DL41" s="1" t="s">
        <v>1822</v>
      </c>
      <c r="DM41" s="1" t="s">
        <v>1765</v>
      </c>
      <c r="DN41" s="1" t="s">
        <v>1765</v>
      </c>
      <c r="DO41" s="1" t="s">
        <v>1823</v>
      </c>
      <c r="DP41" s="1" t="s">
        <v>1824</v>
      </c>
      <c r="DQ41" s="1" t="s">
        <v>1824</v>
      </c>
      <c r="DR41" s="1" t="s">
        <v>1765</v>
      </c>
      <c r="DS41" s="1" t="s">
        <v>1825</v>
      </c>
      <c r="DT41" s="1" t="s">
        <v>1816</v>
      </c>
      <c r="DU41" s="1" t="s">
        <v>1826</v>
      </c>
      <c r="DV41" s="1" t="s">
        <v>2648</v>
      </c>
      <c r="DW41" s="1" t="s">
        <v>1828</v>
      </c>
      <c r="DX41" s="1" t="s">
        <v>2649</v>
      </c>
      <c r="DY41" s="1" t="s">
        <v>424</v>
      </c>
      <c r="DZ41" s="1" t="s">
        <v>1752</v>
      </c>
      <c r="EA41" s="1" t="s">
        <v>218</v>
      </c>
      <c r="EB41" s="1" t="s">
        <v>892</v>
      </c>
      <c r="EC41" s="1" t="s">
        <v>2640</v>
      </c>
      <c r="ED41" s="1" t="s">
        <v>2650</v>
      </c>
      <c r="EE41" s="1" t="s">
        <v>2650</v>
      </c>
      <c r="EF41" s="1" t="s">
        <v>2651</v>
      </c>
      <c r="EG41" s="1" t="s">
        <v>1832</v>
      </c>
      <c r="EH41" s="1" t="s">
        <v>2652</v>
      </c>
      <c r="EI41" s="1" t="s">
        <v>2573</v>
      </c>
      <c r="EJ41" s="1" t="s">
        <v>2176</v>
      </c>
      <c r="EK41" s="1" t="s">
        <v>1836</v>
      </c>
      <c r="EL41" s="1" t="s">
        <v>1837</v>
      </c>
      <c r="EM41" s="1" t="s">
        <v>1838</v>
      </c>
      <c r="EN41" s="1" t="s">
        <v>2653</v>
      </c>
      <c r="EO41" s="1" t="s">
        <v>1840</v>
      </c>
      <c r="EP41" s="1" t="s">
        <v>1955</v>
      </c>
      <c r="EQ41" s="1" t="s">
        <v>1782</v>
      </c>
      <c r="ER41" s="1" t="s">
        <v>1802</v>
      </c>
      <c r="ES41" s="1" t="s">
        <v>1802</v>
      </c>
      <c r="ET41" s="1" t="s">
        <v>1802</v>
      </c>
      <c r="EU41" s="1" t="s">
        <v>1802</v>
      </c>
      <c r="EV41" s="1" t="s">
        <v>1802</v>
      </c>
      <c r="EW41" s="1" t="s">
        <v>1802</v>
      </c>
      <c r="EX41" s="1" t="s">
        <v>1802</v>
      </c>
      <c r="EY41" s="1" t="s">
        <v>1802</v>
      </c>
      <c r="EZ41" s="1" t="s">
        <v>1802</v>
      </c>
      <c r="FA41" s="1" t="s">
        <v>1802</v>
      </c>
      <c r="FB41" s="1" t="s">
        <v>1802</v>
      </c>
      <c r="FC41" s="1" t="s">
        <v>1802</v>
      </c>
      <c r="FD41" s="1" t="s">
        <v>1802</v>
      </c>
      <c r="FE41" s="1" t="s">
        <v>1802</v>
      </c>
      <c r="FF41" s="1" t="s">
        <v>1802</v>
      </c>
      <c r="FG41" s="1" t="s">
        <v>1802</v>
      </c>
      <c r="FH41" s="1" t="s">
        <v>1802</v>
      </c>
      <c r="FI41" s="1" t="s">
        <v>1802</v>
      </c>
      <c r="FJ41" s="1" t="s">
        <v>1802</v>
      </c>
      <c r="FK41" s="1" t="s">
        <v>1802</v>
      </c>
      <c r="FL41" s="1" t="s">
        <v>1802</v>
      </c>
      <c r="FM41" s="1" t="s">
        <v>1802</v>
      </c>
      <c r="FN41" s="1" t="s">
        <v>1802</v>
      </c>
      <c r="FO41" s="1" t="s">
        <v>1802</v>
      </c>
      <c r="FP41" s="1" t="s">
        <v>1802</v>
      </c>
      <c r="FQ41" s="1" t="s">
        <v>1802</v>
      </c>
      <c r="FR41" s="2"/>
      <c r="FS41" s="1" t="s">
        <v>1802</v>
      </c>
    </row>
    <row r="42" spans="1:175" x14ac:dyDescent="0.3">
      <c r="A42" s="1" t="s">
        <v>2654</v>
      </c>
      <c r="B42" s="1" t="s">
        <v>1739</v>
      </c>
      <c r="C42" s="1" t="s">
        <v>808</v>
      </c>
      <c r="D42" s="1" t="s">
        <v>1740</v>
      </c>
      <c r="E42" s="1" t="s">
        <v>2264</v>
      </c>
      <c r="F42" s="1" t="s">
        <v>2655</v>
      </c>
      <c r="G42" s="1" t="s">
        <v>2655</v>
      </c>
      <c r="H42" s="1" t="s">
        <v>2656</v>
      </c>
      <c r="I42" s="1" t="s">
        <v>1744</v>
      </c>
      <c r="J42" s="1" t="s">
        <v>1745</v>
      </c>
      <c r="K42" s="1" t="s">
        <v>1746</v>
      </c>
      <c r="L42" s="1" t="s">
        <v>1747</v>
      </c>
      <c r="M42" s="1" t="s">
        <v>1748</v>
      </c>
      <c r="N42" s="1" t="s">
        <v>1749</v>
      </c>
      <c r="O42" s="1" t="s">
        <v>1750</v>
      </c>
      <c r="P42" s="1" t="s">
        <v>1751</v>
      </c>
      <c r="Q42">
        <v>49</v>
      </c>
      <c r="R42" s="1" t="s">
        <v>1752</v>
      </c>
      <c r="S42" s="1" t="s">
        <v>1753</v>
      </c>
      <c r="T42" s="1" t="s">
        <v>1754</v>
      </c>
      <c r="U42" s="1" t="s">
        <v>1755</v>
      </c>
      <c r="V42" s="1" t="s">
        <v>1756</v>
      </c>
      <c r="W42">
        <v>72</v>
      </c>
      <c r="X42">
        <v>72</v>
      </c>
      <c r="Y42" s="1" t="s">
        <v>1757</v>
      </c>
      <c r="Z42" s="2">
        <v>36999</v>
      </c>
      <c r="AA42" s="1" t="s">
        <v>2657</v>
      </c>
      <c r="AB42" s="1" t="s">
        <v>1755</v>
      </c>
      <c r="AC42" s="1" t="s">
        <v>2658</v>
      </c>
      <c r="AD42" s="1" t="s">
        <v>424</v>
      </c>
      <c r="AE42" s="1" t="s">
        <v>1760</v>
      </c>
      <c r="AF42" s="1" t="s">
        <v>1761</v>
      </c>
      <c r="AG42" s="1" t="s">
        <v>1762</v>
      </c>
      <c r="AH42" s="1" t="s">
        <v>2657</v>
      </c>
      <c r="AI42" s="1" t="s">
        <v>2657</v>
      </c>
      <c r="AJ42" s="1" t="s">
        <v>1763</v>
      </c>
      <c r="AK42" s="1" t="s">
        <v>1763</v>
      </c>
      <c r="AL42" s="1" t="s">
        <v>1763</v>
      </c>
      <c r="AM42" s="1" t="s">
        <v>2658</v>
      </c>
      <c r="AN42" s="1" t="s">
        <v>424</v>
      </c>
      <c r="AO42" s="1" t="s">
        <v>2659</v>
      </c>
      <c r="AP42" s="1" t="s">
        <v>1765</v>
      </c>
      <c r="AQ42" s="1" t="s">
        <v>1766</v>
      </c>
      <c r="AR42" s="1" t="s">
        <v>1767</v>
      </c>
      <c r="AS42" s="1" t="s">
        <v>1768</v>
      </c>
      <c r="AT42">
        <v>2010150922131390</v>
      </c>
      <c r="AU42" s="1" t="s">
        <v>1769</v>
      </c>
      <c r="AV42">
        <v>11482702845333</v>
      </c>
      <c r="AW42" s="1" t="s">
        <v>1770</v>
      </c>
      <c r="AX42" s="1" t="s">
        <v>1765</v>
      </c>
      <c r="AY42" s="1" t="s">
        <v>2660</v>
      </c>
      <c r="AZ42" s="1" t="s">
        <v>1897</v>
      </c>
      <c r="BA42" s="1" t="s">
        <v>2661</v>
      </c>
      <c r="BB42">
        <v>926</v>
      </c>
      <c r="BC42" s="1" t="s">
        <v>1774</v>
      </c>
      <c r="BD42" s="1" t="s">
        <v>1775</v>
      </c>
      <c r="BE42" s="1" t="s">
        <v>1776</v>
      </c>
      <c r="BF42" s="1" t="s">
        <v>1777</v>
      </c>
      <c r="BG42" s="1" t="s">
        <v>1778</v>
      </c>
      <c r="BH42" s="1" t="s">
        <v>1779</v>
      </c>
      <c r="BI42" s="1" t="s">
        <v>1779</v>
      </c>
      <c r="BJ42" s="1" t="s">
        <v>1780</v>
      </c>
      <c r="BK42" s="1" t="s">
        <v>1781</v>
      </c>
      <c r="BL42" s="1" t="s">
        <v>1754</v>
      </c>
      <c r="BM42" s="1" t="s">
        <v>1782</v>
      </c>
      <c r="BN42" s="1" t="s">
        <v>1783</v>
      </c>
      <c r="BO42" s="1" t="s">
        <v>1784</v>
      </c>
      <c r="BP42" s="1" t="s">
        <v>1785</v>
      </c>
      <c r="BQ42" s="1" t="s">
        <v>1786</v>
      </c>
      <c r="BR42" s="1" t="s">
        <v>2662</v>
      </c>
      <c r="BS42" s="1" t="s">
        <v>1788</v>
      </c>
      <c r="BT42" s="1" t="s">
        <v>2663</v>
      </c>
      <c r="BU42" s="1" t="s">
        <v>1790</v>
      </c>
      <c r="BV42" s="1" t="s">
        <v>2664</v>
      </c>
      <c r="BW42" s="1" t="s">
        <v>1790</v>
      </c>
      <c r="BX42" s="1" t="s">
        <v>2664</v>
      </c>
      <c r="BY42" s="1" t="s">
        <v>2588</v>
      </c>
      <c r="BZ42" s="1" t="s">
        <v>2665</v>
      </c>
      <c r="CA42" s="1" t="s">
        <v>1794</v>
      </c>
      <c r="CB42" s="1" t="s">
        <v>1795</v>
      </c>
      <c r="CC42" s="1" t="s">
        <v>1796</v>
      </c>
      <c r="CD42" s="1" t="s">
        <v>1797</v>
      </c>
      <c r="CE42" s="1" t="s">
        <v>1798</v>
      </c>
      <c r="CF42" s="1" t="s">
        <v>1799</v>
      </c>
      <c r="CG42" s="1" t="s">
        <v>1800</v>
      </c>
      <c r="CH42" s="1" t="s">
        <v>1794</v>
      </c>
      <c r="CI42" s="1" t="s">
        <v>1801</v>
      </c>
      <c r="CJ42" s="1" t="s">
        <v>1794</v>
      </c>
      <c r="CK42" s="1" t="s">
        <v>1802</v>
      </c>
      <c r="CL42" s="1" t="s">
        <v>1803</v>
      </c>
      <c r="CM42" s="1" t="s">
        <v>1804</v>
      </c>
      <c r="CN42" s="1" t="s">
        <v>1805</v>
      </c>
      <c r="CO42" s="1" t="s">
        <v>1794</v>
      </c>
      <c r="CP42" s="1" t="s">
        <v>1806</v>
      </c>
      <c r="CQ42" s="1" t="s">
        <v>1807</v>
      </c>
      <c r="CR42" s="1" t="s">
        <v>1808</v>
      </c>
      <c r="CS42" s="1" t="s">
        <v>1809</v>
      </c>
      <c r="CT42" s="1" t="s">
        <v>1810</v>
      </c>
      <c r="CU42" s="1" t="s">
        <v>1811</v>
      </c>
      <c r="CV42" s="1" t="s">
        <v>1812</v>
      </c>
      <c r="CW42" s="1" t="s">
        <v>1813</v>
      </c>
      <c r="CX42" s="1" t="s">
        <v>1814</v>
      </c>
      <c r="CY42" s="1" t="s">
        <v>1813</v>
      </c>
      <c r="CZ42" s="1" t="s">
        <v>1813</v>
      </c>
      <c r="DA42" s="1" t="s">
        <v>1775</v>
      </c>
      <c r="DB42" s="1" t="s">
        <v>1776</v>
      </c>
      <c r="DC42" s="1" t="s">
        <v>1752</v>
      </c>
      <c r="DD42" s="1" t="s">
        <v>1765</v>
      </c>
      <c r="DE42" s="1" t="s">
        <v>1815</v>
      </c>
      <c r="DF42" s="1" t="s">
        <v>1816</v>
      </c>
      <c r="DG42" s="1" t="s">
        <v>1817</v>
      </c>
      <c r="DH42" s="1" t="s">
        <v>1818</v>
      </c>
      <c r="DI42" s="1" t="s">
        <v>1819</v>
      </c>
      <c r="DJ42" s="1" t="s">
        <v>1820</v>
      </c>
      <c r="DK42" s="1" t="s">
        <v>1821</v>
      </c>
      <c r="DL42" s="1" t="s">
        <v>1822</v>
      </c>
      <c r="DM42" s="1" t="s">
        <v>1765</v>
      </c>
      <c r="DN42" s="1" t="s">
        <v>1765</v>
      </c>
      <c r="DO42" s="1" t="s">
        <v>1823</v>
      </c>
      <c r="DP42" s="1" t="s">
        <v>1824</v>
      </c>
      <c r="DQ42" s="1" t="s">
        <v>1824</v>
      </c>
      <c r="DR42" s="1" t="s">
        <v>1765</v>
      </c>
      <c r="DS42" s="1" t="s">
        <v>1825</v>
      </c>
      <c r="DT42" s="1" t="s">
        <v>1816</v>
      </c>
      <c r="DU42" s="1" t="s">
        <v>1826</v>
      </c>
      <c r="DV42" s="1" t="s">
        <v>2666</v>
      </c>
      <c r="DW42" s="1" t="s">
        <v>1828</v>
      </c>
      <c r="DX42" s="1" t="s">
        <v>2667</v>
      </c>
      <c r="DY42" s="1" t="s">
        <v>424</v>
      </c>
      <c r="DZ42" s="1" t="s">
        <v>1752</v>
      </c>
      <c r="EA42" s="1" t="s">
        <v>218</v>
      </c>
      <c r="EB42" s="1" t="s">
        <v>892</v>
      </c>
      <c r="EC42" s="1" t="s">
        <v>2658</v>
      </c>
      <c r="ED42" s="1" t="s">
        <v>2668</v>
      </c>
      <c r="EE42" s="1" t="s">
        <v>2668</v>
      </c>
      <c r="EF42" s="1" t="s">
        <v>2669</v>
      </c>
      <c r="EG42" s="1" t="s">
        <v>2218</v>
      </c>
      <c r="EH42" s="1" t="s">
        <v>2670</v>
      </c>
      <c r="EI42" s="1" t="s">
        <v>2671</v>
      </c>
      <c r="EJ42" s="1" t="s">
        <v>2672</v>
      </c>
      <c r="EK42" s="1" t="s">
        <v>1836</v>
      </c>
      <c r="EL42" s="1" t="s">
        <v>1837</v>
      </c>
      <c r="EM42" s="1" t="s">
        <v>1838</v>
      </c>
      <c r="EN42" s="1" t="s">
        <v>2673</v>
      </c>
      <c r="EO42" s="1" t="s">
        <v>1840</v>
      </c>
      <c r="EP42" s="1" t="s">
        <v>597</v>
      </c>
      <c r="EQ42" s="1" t="s">
        <v>1782</v>
      </c>
      <c r="ER42" s="1" t="s">
        <v>1802</v>
      </c>
      <c r="ES42" s="1" t="s">
        <v>1802</v>
      </c>
      <c r="ET42" s="1" t="s">
        <v>1802</v>
      </c>
      <c r="EU42" s="1" t="s">
        <v>1802</v>
      </c>
      <c r="EV42" s="1" t="s">
        <v>1802</v>
      </c>
      <c r="EW42" s="1" t="s">
        <v>1802</v>
      </c>
      <c r="EX42" s="1" t="s">
        <v>1802</v>
      </c>
      <c r="EY42" s="1" t="s">
        <v>1802</v>
      </c>
      <c r="EZ42" s="1" t="s">
        <v>1802</v>
      </c>
      <c r="FA42" s="1" t="s">
        <v>1802</v>
      </c>
      <c r="FB42" s="1" t="s">
        <v>1802</v>
      </c>
      <c r="FC42" s="1" t="s">
        <v>1802</v>
      </c>
      <c r="FD42" s="1" t="s">
        <v>1802</v>
      </c>
      <c r="FE42" s="1" t="s">
        <v>1802</v>
      </c>
      <c r="FF42" s="1" t="s">
        <v>1802</v>
      </c>
      <c r="FG42" s="1" t="s">
        <v>1802</v>
      </c>
      <c r="FH42" s="1" t="s">
        <v>1802</v>
      </c>
      <c r="FI42" s="1" t="s">
        <v>1802</v>
      </c>
      <c r="FJ42" s="1" t="s">
        <v>1802</v>
      </c>
      <c r="FK42" s="1" t="s">
        <v>1802</v>
      </c>
      <c r="FL42" s="1" t="s">
        <v>1802</v>
      </c>
      <c r="FM42" s="1" t="s">
        <v>1802</v>
      </c>
      <c r="FN42" s="1" t="s">
        <v>1802</v>
      </c>
      <c r="FO42" s="1" t="s">
        <v>1802</v>
      </c>
      <c r="FP42" s="1" t="s">
        <v>1802</v>
      </c>
      <c r="FQ42" s="1" t="s">
        <v>1802</v>
      </c>
      <c r="FR42" s="2"/>
      <c r="FS42" s="1" t="s">
        <v>1802</v>
      </c>
    </row>
    <row r="43" spans="1:175" x14ac:dyDescent="0.3">
      <c r="A43" s="1" t="s">
        <v>2674</v>
      </c>
      <c r="B43" s="1" t="s">
        <v>1739</v>
      </c>
      <c r="C43" s="1" t="s">
        <v>824</v>
      </c>
      <c r="D43" s="1" t="s">
        <v>1740</v>
      </c>
      <c r="E43" s="1" t="s">
        <v>2577</v>
      </c>
      <c r="F43" s="1" t="s">
        <v>2675</v>
      </c>
      <c r="G43" s="1" t="s">
        <v>2675</v>
      </c>
      <c r="H43" s="1" t="s">
        <v>2676</v>
      </c>
      <c r="I43" s="1" t="s">
        <v>1744</v>
      </c>
      <c r="J43" s="1" t="s">
        <v>1745</v>
      </c>
      <c r="K43" s="1" t="s">
        <v>1746</v>
      </c>
      <c r="L43" s="1" t="s">
        <v>1747</v>
      </c>
      <c r="M43" s="1" t="s">
        <v>1748</v>
      </c>
      <c r="N43" s="1" t="s">
        <v>1749</v>
      </c>
      <c r="O43" s="1" t="s">
        <v>1750</v>
      </c>
      <c r="P43" s="1" t="s">
        <v>1751</v>
      </c>
      <c r="Q43">
        <v>49</v>
      </c>
      <c r="R43" s="1" t="s">
        <v>1752</v>
      </c>
      <c r="S43" s="1" t="s">
        <v>1753</v>
      </c>
      <c r="T43" s="1" t="s">
        <v>1754</v>
      </c>
      <c r="U43" s="1" t="s">
        <v>1755</v>
      </c>
      <c r="V43" s="1" t="s">
        <v>1756</v>
      </c>
      <c r="W43">
        <v>72</v>
      </c>
      <c r="X43">
        <v>72</v>
      </c>
      <c r="Y43" s="1" t="s">
        <v>1757</v>
      </c>
      <c r="Z43" s="2">
        <v>36999</v>
      </c>
      <c r="AA43" s="1" t="s">
        <v>2677</v>
      </c>
      <c r="AB43" s="1" t="s">
        <v>1755</v>
      </c>
      <c r="AC43" s="1" t="s">
        <v>2678</v>
      </c>
      <c r="AD43" s="1" t="s">
        <v>424</v>
      </c>
      <c r="AE43" s="1" t="s">
        <v>1760</v>
      </c>
      <c r="AF43" s="1" t="s">
        <v>1761</v>
      </c>
      <c r="AG43" s="1" t="s">
        <v>1762</v>
      </c>
      <c r="AH43" s="1" t="s">
        <v>2677</v>
      </c>
      <c r="AI43" s="1" t="s">
        <v>2677</v>
      </c>
      <c r="AJ43" s="1" t="s">
        <v>1763</v>
      </c>
      <c r="AK43" s="1" t="s">
        <v>1763</v>
      </c>
      <c r="AL43" s="1" t="s">
        <v>1763</v>
      </c>
      <c r="AM43" s="1" t="s">
        <v>2678</v>
      </c>
      <c r="AN43" s="1" t="s">
        <v>424</v>
      </c>
      <c r="AO43" s="1" t="s">
        <v>2679</v>
      </c>
      <c r="AP43" s="1" t="s">
        <v>1765</v>
      </c>
      <c r="AQ43" s="1" t="s">
        <v>1766</v>
      </c>
      <c r="AR43" s="1" t="s">
        <v>1767</v>
      </c>
      <c r="AS43" s="1" t="s">
        <v>1768</v>
      </c>
      <c r="AT43">
        <v>2010150922131390</v>
      </c>
      <c r="AU43" s="1" t="s">
        <v>1769</v>
      </c>
      <c r="AV43">
        <v>13858418224541</v>
      </c>
      <c r="AW43" s="1" t="s">
        <v>1770</v>
      </c>
      <c r="AX43" s="1" t="s">
        <v>1765</v>
      </c>
      <c r="AY43" s="1" t="s">
        <v>2680</v>
      </c>
      <c r="AZ43" s="1" t="s">
        <v>1897</v>
      </c>
      <c r="BA43" s="1" t="s">
        <v>2681</v>
      </c>
      <c r="BB43">
        <v>147</v>
      </c>
      <c r="BC43" s="1" t="s">
        <v>1774</v>
      </c>
      <c r="BD43" s="1" t="s">
        <v>1775</v>
      </c>
      <c r="BE43" s="1" t="s">
        <v>1776</v>
      </c>
      <c r="BF43" s="1" t="s">
        <v>1777</v>
      </c>
      <c r="BG43" s="1" t="s">
        <v>1778</v>
      </c>
      <c r="BH43" s="1" t="s">
        <v>1779</v>
      </c>
      <c r="BI43" s="1" t="s">
        <v>1779</v>
      </c>
      <c r="BJ43" s="1" t="s">
        <v>1780</v>
      </c>
      <c r="BK43" s="1" t="s">
        <v>1781</v>
      </c>
      <c r="BL43" s="1" t="s">
        <v>1754</v>
      </c>
      <c r="BM43" s="1" t="s">
        <v>1782</v>
      </c>
      <c r="BN43" s="1" t="s">
        <v>1783</v>
      </c>
      <c r="BO43" s="1" t="s">
        <v>1784</v>
      </c>
      <c r="BP43" s="1" t="s">
        <v>1785</v>
      </c>
      <c r="BQ43" s="1" t="s">
        <v>1786</v>
      </c>
      <c r="BR43" s="1" t="s">
        <v>2682</v>
      </c>
      <c r="BS43" s="1" t="s">
        <v>1788</v>
      </c>
      <c r="BT43" s="1" t="s">
        <v>2683</v>
      </c>
      <c r="BU43" s="1" t="s">
        <v>1790</v>
      </c>
      <c r="BV43" s="1" t="s">
        <v>2684</v>
      </c>
      <c r="BW43" s="1" t="s">
        <v>1790</v>
      </c>
      <c r="BX43" s="1" t="s">
        <v>2684</v>
      </c>
      <c r="BY43" s="1" t="s">
        <v>2588</v>
      </c>
      <c r="BZ43" s="1" t="s">
        <v>2685</v>
      </c>
      <c r="CA43" s="1" t="s">
        <v>1794</v>
      </c>
      <c r="CB43" s="1" t="s">
        <v>1795</v>
      </c>
      <c r="CC43" s="1" t="s">
        <v>1796</v>
      </c>
      <c r="CD43" s="1" t="s">
        <v>1797</v>
      </c>
      <c r="CE43" s="1" t="s">
        <v>1798</v>
      </c>
      <c r="CF43" s="1" t="s">
        <v>1799</v>
      </c>
      <c r="CG43" s="1" t="s">
        <v>1800</v>
      </c>
      <c r="CH43" s="1" t="s">
        <v>1794</v>
      </c>
      <c r="CI43" s="1" t="s">
        <v>1801</v>
      </c>
      <c r="CJ43" s="1" t="s">
        <v>1794</v>
      </c>
      <c r="CK43" s="1" t="s">
        <v>1802</v>
      </c>
      <c r="CL43" s="1" t="s">
        <v>1803</v>
      </c>
      <c r="CM43" s="1" t="s">
        <v>1804</v>
      </c>
      <c r="CN43" s="1" t="s">
        <v>1805</v>
      </c>
      <c r="CO43" s="1" t="s">
        <v>1794</v>
      </c>
      <c r="CP43" s="1" t="s">
        <v>1806</v>
      </c>
      <c r="CQ43" s="1" t="s">
        <v>1807</v>
      </c>
      <c r="CR43" s="1" t="s">
        <v>1808</v>
      </c>
      <c r="CS43" s="1" t="s">
        <v>1809</v>
      </c>
      <c r="CT43" s="1" t="s">
        <v>1810</v>
      </c>
      <c r="CU43" s="1" t="s">
        <v>1811</v>
      </c>
      <c r="CV43" s="1" t="s">
        <v>1812</v>
      </c>
      <c r="CW43" s="1" t="s">
        <v>1813</v>
      </c>
      <c r="CX43" s="1" t="s">
        <v>1814</v>
      </c>
      <c r="CY43" s="1" t="s">
        <v>1813</v>
      </c>
      <c r="CZ43" s="1" t="s">
        <v>1813</v>
      </c>
      <c r="DA43" s="1" t="s">
        <v>1775</v>
      </c>
      <c r="DB43" s="1" t="s">
        <v>1776</v>
      </c>
      <c r="DC43" s="1" t="s">
        <v>1752</v>
      </c>
      <c r="DD43" s="1" t="s">
        <v>1765</v>
      </c>
      <c r="DE43" s="1" t="s">
        <v>1815</v>
      </c>
      <c r="DF43" s="1" t="s">
        <v>1816</v>
      </c>
      <c r="DG43" s="1" t="s">
        <v>1817</v>
      </c>
      <c r="DH43" s="1" t="s">
        <v>1818</v>
      </c>
      <c r="DI43" s="1" t="s">
        <v>1819</v>
      </c>
      <c r="DJ43" s="1" t="s">
        <v>1820</v>
      </c>
      <c r="DK43" s="1" t="s">
        <v>1821</v>
      </c>
      <c r="DL43" s="1" t="s">
        <v>1822</v>
      </c>
      <c r="DM43" s="1" t="s">
        <v>1765</v>
      </c>
      <c r="DN43" s="1" t="s">
        <v>1765</v>
      </c>
      <c r="DO43" s="1" t="s">
        <v>1823</v>
      </c>
      <c r="DP43" s="1" t="s">
        <v>1824</v>
      </c>
      <c r="DQ43" s="1" t="s">
        <v>1824</v>
      </c>
      <c r="DR43" s="1" t="s">
        <v>1765</v>
      </c>
      <c r="DS43" s="1" t="s">
        <v>1825</v>
      </c>
      <c r="DT43" s="1" t="s">
        <v>1816</v>
      </c>
      <c r="DU43" s="1" t="s">
        <v>1826</v>
      </c>
      <c r="DV43" s="1" t="s">
        <v>2686</v>
      </c>
      <c r="DW43" s="1" t="s">
        <v>1828</v>
      </c>
      <c r="DX43" s="1" t="s">
        <v>2687</v>
      </c>
      <c r="DY43" s="1" t="s">
        <v>424</v>
      </c>
      <c r="DZ43" s="1" t="s">
        <v>1752</v>
      </c>
      <c r="EA43" s="1" t="s">
        <v>218</v>
      </c>
      <c r="EB43" s="1" t="s">
        <v>892</v>
      </c>
      <c r="EC43" s="1" t="s">
        <v>2678</v>
      </c>
      <c r="ED43" s="1" t="s">
        <v>2688</v>
      </c>
      <c r="EE43" s="1" t="s">
        <v>2688</v>
      </c>
      <c r="EF43" s="1" t="s">
        <v>2689</v>
      </c>
      <c r="EG43" s="1" t="s">
        <v>1832</v>
      </c>
      <c r="EH43" s="1" t="s">
        <v>2690</v>
      </c>
      <c r="EI43" s="1" t="s">
        <v>2691</v>
      </c>
      <c r="EJ43" s="1" t="s">
        <v>2574</v>
      </c>
      <c r="EK43" s="1" t="s">
        <v>1836</v>
      </c>
      <c r="EL43" s="1" t="s">
        <v>1837</v>
      </c>
      <c r="EM43" s="1" t="s">
        <v>1838</v>
      </c>
      <c r="EN43" s="1" t="s">
        <v>2692</v>
      </c>
      <c r="EO43" s="1" t="s">
        <v>1840</v>
      </c>
      <c r="EP43" s="1" t="s">
        <v>2693</v>
      </c>
      <c r="EQ43" s="1" t="s">
        <v>1782</v>
      </c>
      <c r="ER43" s="1" t="s">
        <v>1802</v>
      </c>
      <c r="ES43" s="1" t="s">
        <v>1802</v>
      </c>
      <c r="ET43" s="1" t="s">
        <v>1802</v>
      </c>
      <c r="EU43" s="1" t="s">
        <v>1802</v>
      </c>
      <c r="EV43" s="1" t="s">
        <v>1802</v>
      </c>
      <c r="EW43" s="1" t="s">
        <v>1802</v>
      </c>
      <c r="EX43" s="1" t="s">
        <v>1802</v>
      </c>
      <c r="EY43" s="1" t="s">
        <v>1802</v>
      </c>
      <c r="EZ43" s="1" t="s">
        <v>1802</v>
      </c>
      <c r="FA43" s="1" t="s">
        <v>1802</v>
      </c>
      <c r="FB43" s="1" t="s">
        <v>1802</v>
      </c>
      <c r="FC43" s="1" t="s">
        <v>1802</v>
      </c>
      <c r="FD43" s="1" t="s">
        <v>1802</v>
      </c>
      <c r="FE43" s="1" t="s">
        <v>1802</v>
      </c>
      <c r="FF43" s="1" t="s">
        <v>1802</v>
      </c>
      <c r="FG43" s="1" t="s">
        <v>1802</v>
      </c>
      <c r="FH43" s="1" t="s">
        <v>1802</v>
      </c>
      <c r="FI43" s="1" t="s">
        <v>1802</v>
      </c>
      <c r="FJ43" s="1" t="s">
        <v>1802</v>
      </c>
      <c r="FK43" s="1" t="s">
        <v>1802</v>
      </c>
      <c r="FL43" s="1" t="s">
        <v>1802</v>
      </c>
      <c r="FM43" s="1" t="s">
        <v>1802</v>
      </c>
      <c r="FN43" s="1" t="s">
        <v>1802</v>
      </c>
      <c r="FO43" s="1" t="s">
        <v>1802</v>
      </c>
      <c r="FP43" s="1" t="s">
        <v>1802</v>
      </c>
      <c r="FQ43" s="1" t="s">
        <v>1802</v>
      </c>
      <c r="FR43" s="2"/>
      <c r="FS43" s="1" t="s">
        <v>1802</v>
      </c>
    </row>
    <row r="44" spans="1:175" x14ac:dyDescent="0.3">
      <c r="A44" s="1" t="s">
        <v>2694</v>
      </c>
      <c r="B44" s="1" t="s">
        <v>1739</v>
      </c>
      <c r="C44" s="1" t="s">
        <v>835</v>
      </c>
      <c r="D44" s="1" t="s">
        <v>1740</v>
      </c>
      <c r="E44" s="1" t="s">
        <v>1957</v>
      </c>
      <c r="F44" s="1" t="s">
        <v>2695</v>
      </c>
      <c r="G44" s="1" t="s">
        <v>2695</v>
      </c>
      <c r="H44" s="1" t="s">
        <v>2696</v>
      </c>
      <c r="I44" s="1" t="s">
        <v>1744</v>
      </c>
      <c r="J44" s="1" t="s">
        <v>1745</v>
      </c>
      <c r="K44" s="1" t="s">
        <v>1746</v>
      </c>
      <c r="L44" s="1" t="s">
        <v>1747</v>
      </c>
      <c r="M44" s="1" t="s">
        <v>1748</v>
      </c>
      <c r="N44" s="1" t="s">
        <v>1749</v>
      </c>
      <c r="O44" s="1" t="s">
        <v>1750</v>
      </c>
      <c r="P44" s="1" t="s">
        <v>1751</v>
      </c>
      <c r="Q44">
        <v>49</v>
      </c>
      <c r="R44" s="1" t="s">
        <v>1752</v>
      </c>
      <c r="S44" s="1" t="s">
        <v>1753</v>
      </c>
      <c r="T44" s="1" t="s">
        <v>1754</v>
      </c>
      <c r="U44" s="1" t="s">
        <v>1755</v>
      </c>
      <c r="V44" s="1" t="s">
        <v>1756</v>
      </c>
      <c r="W44">
        <v>72</v>
      </c>
      <c r="X44">
        <v>72</v>
      </c>
      <c r="Y44" s="1" t="s">
        <v>1757</v>
      </c>
      <c r="Z44" s="2">
        <v>36999</v>
      </c>
      <c r="AA44" s="1" t="s">
        <v>2697</v>
      </c>
      <c r="AB44" s="1" t="s">
        <v>1755</v>
      </c>
      <c r="AC44" s="1" t="s">
        <v>2698</v>
      </c>
      <c r="AD44" s="1" t="s">
        <v>424</v>
      </c>
      <c r="AE44" s="1" t="s">
        <v>1760</v>
      </c>
      <c r="AF44" s="1" t="s">
        <v>1761</v>
      </c>
      <c r="AG44" s="1" t="s">
        <v>1762</v>
      </c>
      <c r="AH44" s="1" t="s">
        <v>2697</v>
      </c>
      <c r="AI44" s="1" t="s">
        <v>2697</v>
      </c>
      <c r="AJ44" s="1" t="s">
        <v>1763</v>
      </c>
      <c r="AK44" s="1" t="s">
        <v>1763</v>
      </c>
      <c r="AL44" s="1" t="s">
        <v>1763</v>
      </c>
      <c r="AM44" s="1" t="s">
        <v>2698</v>
      </c>
      <c r="AN44" s="1" t="s">
        <v>424</v>
      </c>
      <c r="AO44" s="1" t="s">
        <v>2699</v>
      </c>
      <c r="AP44" s="1" t="s">
        <v>1765</v>
      </c>
      <c r="AQ44" s="1" t="s">
        <v>1766</v>
      </c>
      <c r="AR44" s="1" t="s">
        <v>1767</v>
      </c>
      <c r="AS44" s="1" t="s">
        <v>1768</v>
      </c>
      <c r="AT44">
        <v>2009150923181390</v>
      </c>
      <c r="AU44" s="1" t="s">
        <v>1769</v>
      </c>
      <c r="AV44">
        <v>16079221544375</v>
      </c>
      <c r="AW44" s="1" t="s">
        <v>1770</v>
      </c>
      <c r="AX44" s="1" t="s">
        <v>1765</v>
      </c>
      <c r="AY44" s="1" t="s">
        <v>2700</v>
      </c>
      <c r="AZ44" s="1" t="s">
        <v>1897</v>
      </c>
      <c r="BA44" s="1" t="s">
        <v>2701</v>
      </c>
      <c r="BB44">
        <v>118</v>
      </c>
      <c r="BC44" s="1" t="s">
        <v>1774</v>
      </c>
      <c r="BD44" s="1" t="s">
        <v>1775</v>
      </c>
      <c r="BE44" s="1" t="s">
        <v>1776</v>
      </c>
      <c r="BF44" s="1" t="s">
        <v>1777</v>
      </c>
      <c r="BG44" s="1" t="s">
        <v>1778</v>
      </c>
      <c r="BH44" s="1" t="s">
        <v>1779</v>
      </c>
      <c r="BI44" s="1" t="s">
        <v>1779</v>
      </c>
      <c r="BJ44" s="1" t="s">
        <v>1780</v>
      </c>
      <c r="BK44" s="1" t="s">
        <v>1781</v>
      </c>
      <c r="BL44" s="1" t="s">
        <v>1754</v>
      </c>
      <c r="BM44" s="1" t="s">
        <v>1782</v>
      </c>
      <c r="BN44" s="1" t="s">
        <v>1783</v>
      </c>
      <c r="BO44" s="1" t="s">
        <v>1784</v>
      </c>
      <c r="BP44" s="1" t="s">
        <v>1785</v>
      </c>
      <c r="BQ44" s="1" t="s">
        <v>1786</v>
      </c>
      <c r="BR44" s="1" t="s">
        <v>2702</v>
      </c>
      <c r="BS44" s="1" t="s">
        <v>1788</v>
      </c>
      <c r="BT44" s="1" t="s">
        <v>2703</v>
      </c>
      <c r="BU44" s="1" t="s">
        <v>1790</v>
      </c>
      <c r="BV44" s="1" t="s">
        <v>2704</v>
      </c>
      <c r="BW44" s="1" t="s">
        <v>1790</v>
      </c>
      <c r="BX44" s="1" t="s">
        <v>2704</v>
      </c>
      <c r="BY44" s="1" t="s">
        <v>2588</v>
      </c>
      <c r="BZ44" s="1" t="s">
        <v>2705</v>
      </c>
      <c r="CA44" s="1" t="s">
        <v>1794</v>
      </c>
      <c r="CB44" s="1" t="s">
        <v>1795</v>
      </c>
      <c r="CC44" s="1" t="s">
        <v>1796</v>
      </c>
      <c r="CD44" s="1" t="s">
        <v>1797</v>
      </c>
      <c r="CE44" s="1" t="s">
        <v>1798</v>
      </c>
      <c r="CF44" s="1" t="s">
        <v>1799</v>
      </c>
      <c r="CG44" s="1" t="s">
        <v>1800</v>
      </c>
      <c r="CH44" s="1" t="s">
        <v>1794</v>
      </c>
      <c r="CI44" s="1" t="s">
        <v>1801</v>
      </c>
      <c r="CJ44" s="1" t="s">
        <v>1794</v>
      </c>
      <c r="CK44" s="1" t="s">
        <v>1802</v>
      </c>
      <c r="CL44" s="1" t="s">
        <v>1803</v>
      </c>
      <c r="CM44" s="1" t="s">
        <v>1804</v>
      </c>
      <c r="CN44" s="1" t="s">
        <v>1805</v>
      </c>
      <c r="CO44" s="1" t="s">
        <v>1794</v>
      </c>
      <c r="CP44" s="1" t="s">
        <v>1806</v>
      </c>
      <c r="CQ44" s="1" t="s">
        <v>1807</v>
      </c>
      <c r="CR44" s="1" t="s">
        <v>1808</v>
      </c>
      <c r="CS44" s="1" t="s">
        <v>1809</v>
      </c>
      <c r="CT44" s="1" t="s">
        <v>1810</v>
      </c>
      <c r="CU44" s="1" t="s">
        <v>1811</v>
      </c>
      <c r="CV44" s="1" t="s">
        <v>1812</v>
      </c>
      <c r="CW44" s="1" t="s">
        <v>1813</v>
      </c>
      <c r="CX44" s="1" t="s">
        <v>1814</v>
      </c>
      <c r="CY44" s="1" t="s">
        <v>1813</v>
      </c>
      <c r="CZ44" s="1" t="s">
        <v>1813</v>
      </c>
      <c r="DA44" s="1" t="s">
        <v>1775</v>
      </c>
      <c r="DB44" s="1" t="s">
        <v>1776</v>
      </c>
      <c r="DC44" s="1" t="s">
        <v>1752</v>
      </c>
      <c r="DD44" s="1" t="s">
        <v>1765</v>
      </c>
      <c r="DE44" s="1" t="s">
        <v>1815</v>
      </c>
      <c r="DF44" s="1" t="s">
        <v>1816</v>
      </c>
      <c r="DG44" s="1" t="s">
        <v>1817</v>
      </c>
      <c r="DH44" s="1" t="s">
        <v>1818</v>
      </c>
      <c r="DI44" s="1" t="s">
        <v>1819</v>
      </c>
      <c r="DJ44" s="1" t="s">
        <v>1820</v>
      </c>
      <c r="DK44" s="1" t="s">
        <v>1821</v>
      </c>
      <c r="DL44" s="1" t="s">
        <v>1822</v>
      </c>
      <c r="DM44" s="1" t="s">
        <v>1765</v>
      </c>
      <c r="DN44" s="1" t="s">
        <v>1765</v>
      </c>
      <c r="DO44" s="1" t="s">
        <v>1823</v>
      </c>
      <c r="DP44" s="1" t="s">
        <v>1824</v>
      </c>
      <c r="DQ44" s="1" t="s">
        <v>1824</v>
      </c>
      <c r="DR44" s="1" t="s">
        <v>1765</v>
      </c>
      <c r="DS44" s="1" t="s">
        <v>1825</v>
      </c>
      <c r="DT44" s="1" t="s">
        <v>1816</v>
      </c>
      <c r="DU44" s="1" t="s">
        <v>1826</v>
      </c>
      <c r="DV44" s="1" t="s">
        <v>2706</v>
      </c>
      <c r="DW44" s="1" t="s">
        <v>1828</v>
      </c>
      <c r="DX44" s="1" t="s">
        <v>2707</v>
      </c>
      <c r="DY44" s="1" t="s">
        <v>424</v>
      </c>
      <c r="DZ44" s="1" t="s">
        <v>1752</v>
      </c>
      <c r="EA44" s="1" t="s">
        <v>218</v>
      </c>
      <c r="EB44" s="1" t="s">
        <v>892</v>
      </c>
      <c r="EC44" s="1" t="s">
        <v>2698</v>
      </c>
      <c r="ED44" s="1" t="s">
        <v>2708</v>
      </c>
      <c r="EE44" s="1" t="s">
        <v>2708</v>
      </c>
      <c r="EF44" s="1" t="s">
        <v>2709</v>
      </c>
      <c r="EG44" s="1" t="s">
        <v>2149</v>
      </c>
      <c r="EH44" s="1" t="s">
        <v>2710</v>
      </c>
      <c r="EI44" s="1" t="s">
        <v>2711</v>
      </c>
      <c r="EJ44" s="1" t="s">
        <v>2712</v>
      </c>
      <c r="EK44" s="1" t="s">
        <v>1836</v>
      </c>
      <c r="EL44" s="1" t="s">
        <v>1837</v>
      </c>
      <c r="EM44" s="1" t="s">
        <v>1838</v>
      </c>
      <c r="EN44" s="1" t="s">
        <v>2713</v>
      </c>
      <c r="EO44" s="1" t="s">
        <v>1840</v>
      </c>
      <c r="EP44" s="1" t="s">
        <v>2361</v>
      </c>
      <c r="EQ44" s="1" t="s">
        <v>1782</v>
      </c>
      <c r="ER44" s="1" t="s">
        <v>1802</v>
      </c>
      <c r="ES44" s="1" t="s">
        <v>1802</v>
      </c>
      <c r="ET44" s="1" t="s">
        <v>1802</v>
      </c>
      <c r="EU44" s="1" t="s">
        <v>1802</v>
      </c>
      <c r="EV44" s="1" t="s">
        <v>1802</v>
      </c>
      <c r="EW44" s="1" t="s">
        <v>1802</v>
      </c>
      <c r="EX44" s="1" t="s">
        <v>1802</v>
      </c>
      <c r="EY44" s="1" t="s">
        <v>1802</v>
      </c>
      <c r="EZ44" s="1" t="s">
        <v>1802</v>
      </c>
      <c r="FA44" s="1" t="s">
        <v>1802</v>
      </c>
      <c r="FB44" s="1" t="s">
        <v>1802</v>
      </c>
      <c r="FC44" s="1" t="s">
        <v>1802</v>
      </c>
      <c r="FD44" s="1" t="s">
        <v>1802</v>
      </c>
      <c r="FE44" s="1" t="s">
        <v>1802</v>
      </c>
      <c r="FF44" s="1" t="s">
        <v>1802</v>
      </c>
      <c r="FG44" s="1" t="s">
        <v>1802</v>
      </c>
      <c r="FH44" s="1" t="s">
        <v>1802</v>
      </c>
      <c r="FI44" s="1" t="s">
        <v>1802</v>
      </c>
      <c r="FJ44" s="1" t="s">
        <v>1802</v>
      </c>
      <c r="FK44" s="1" t="s">
        <v>1802</v>
      </c>
      <c r="FL44" s="1" t="s">
        <v>1802</v>
      </c>
      <c r="FM44" s="1" t="s">
        <v>1802</v>
      </c>
      <c r="FN44" s="1" t="s">
        <v>1802</v>
      </c>
      <c r="FO44" s="1" t="s">
        <v>1802</v>
      </c>
      <c r="FP44" s="1" t="s">
        <v>1802</v>
      </c>
      <c r="FQ44" s="1" t="s">
        <v>1802</v>
      </c>
      <c r="FR44" s="2"/>
      <c r="FS44" s="1" t="s">
        <v>1802</v>
      </c>
    </row>
    <row r="45" spans="1:175" x14ac:dyDescent="0.3">
      <c r="A45" s="1" t="s">
        <v>2714</v>
      </c>
      <c r="B45" s="1" t="s">
        <v>1739</v>
      </c>
      <c r="C45" s="1" t="s">
        <v>860</v>
      </c>
      <c r="D45" s="1" t="s">
        <v>1740</v>
      </c>
      <c r="E45" s="1" t="s">
        <v>2715</v>
      </c>
      <c r="F45" s="1" t="s">
        <v>2716</v>
      </c>
      <c r="G45" s="1" t="s">
        <v>2716</v>
      </c>
      <c r="H45" s="1" t="s">
        <v>1915</v>
      </c>
      <c r="I45" s="1" t="s">
        <v>1744</v>
      </c>
      <c r="J45" s="1" t="s">
        <v>1745</v>
      </c>
      <c r="K45" s="1" t="s">
        <v>1746</v>
      </c>
      <c r="L45" s="1" t="s">
        <v>1747</v>
      </c>
      <c r="M45" s="1" t="s">
        <v>1748</v>
      </c>
      <c r="N45" s="1" t="s">
        <v>1749</v>
      </c>
      <c r="O45" s="1" t="s">
        <v>1750</v>
      </c>
      <c r="P45" s="1" t="s">
        <v>1751</v>
      </c>
      <c r="Q45">
        <v>49</v>
      </c>
      <c r="R45" s="1" t="s">
        <v>1752</v>
      </c>
      <c r="S45" s="1" t="s">
        <v>1753</v>
      </c>
      <c r="T45" s="1" t="s">
        <v>1754</v>
      </c>
      <c r="U45" s="1" t="s">
        <v>1755</v>
      </c>
      <c r="V45" s="1" t="s">
        <v>1756</v>
      </c>
      <c r="W45">
        <v>72</v>
      </c>
      <c r="X45">
        <v>72</v>
      </c>
      <c r="Y45" s="1" t="s">
        <v>1757</v>
      </c>
      <c r="Z45" s="2">
        <v>36999</v>
      </c>
      <c r="AA45" s="1" t="s">
        <v>2717</v>
      </c>
      <c r="AB45" s="1" t="s">
        <v>1755</v>
      </c>
      <c r="AC45" s="1" t="s">
        <v>2718</v>
      </c>
      <c r="AD45" s="1" t="s">
        <v>424</v>
      </c>
      <c r="AE45" s="1" t="s">
        <v>1760</v>
      </c>
      <c r="AF45" s="1" t="s">
        <v>1761</v>
      </c>
      <c r="AG45" s="1" t="s">
        <v>1762</v>
      </c>
      <c r="AH45" s="1" t="s">
        <v>2717</v>
      </c>
      <c r="AI45" s="1" t="s">
        <v>2717</v>
      </c>
      <c r="AJ45" s="1" t="s">
        <v>1763</v>
      </c>
      <c r="AK45" s="1" t="s">
        <v>1763</v>
      </c>
      <c r="AL45" s="1" t="s">
        <v>1763</v>
      </c>
      <c r="AM45" s="1" t="s">
        <v>2718</v>
      </c>
      <c r="AN45" s="1" t="s">
        <v>424</v>
      </c>
      <c r="AO45" s="1" t="s">
        <v>2719</v>
      </c>
      <c r="AP45" s="1" t="s">
        <v>1765</v>
      </c>
      <c r="AQ45" s="1" t="s">
        <v>1766</v>
      </c>
      <c r="AR45" s="1" t="s">
        <v>1767</v>
      </c>
      <c r="AS45" s="1" t="s">
        <v>1768</v>
      </c>
      <c r="AT45">
        <v>2010150922131390</v>
      </c>
      <c r="AU45" s="1" t="s">
        <v>1769</v>
      </c>
      <c r="AV45">
        <v>16907930719708</v>
      </c>
      <c r="AW45" s="1" t="s">
        <v>1770</v>
      </c>
      <c r="AX45" s="1" t="s">
        <v>1765</v>
      </c>
      <c r="AY45" s="1" t="s">
        <v>2720</v>
      </c>
      <c r="AZ45" s="1" t="s">
        <v>1897</v>
      </c>
      <c r="BA45" s="1" t="s">
        <v>2721</v>
      </c>
      <c r="BB45">
        <v>996</v>
      </c>
      <c r="BC45" s="1" t="s">
        <v>1774</v>
      </c>
      <c r="BD45" s="1" t="s">
        <v>1775</v>
      </c>
      <c r="BE45" s="1" t="s">
        <v>1776</v>
      </c>
      <c r="BF45" s="1" t="s">
        <v>1777</v>
      </c>
      <c r="BG45" s="1" t="s">
        <v>1778</v>
      </c>
      <c r="BH45" s="1" t="s">
        <v>1779</v>
      </c>
      <c r="BI45" s="1" t="s">
        <v>1779</v>
      </c>
      <c r="BJ45" s="1" t="s">
        <v>1780</v>
      </c>
      <c r="BK45" s="1" t="s">
        <v>1781</v>
      </c>
      <c r="BL45" s="1" t="s">
        <v>1754</v>
      </c>
      <c r="BM45" s="1" t="s">
        <v>1782</v>
      </c>
      <c r="BN45" s="1" t="s">
        <v>1783</v>
      </c>
      <c r="BO45" s="1" t="s">
        <v>1784</v>
      </c>
      <c r="BP45" s="1" t="s">
        <v>1785</v>
      </c>
      <c r="BQ45" s="1" t="s">
        <v>1786</v>
      </c>
      <c r="BR45" s="1" t="s">
        <v>2722</v>
      </c>
      <c r="BS45" s="1" t="s">
        <v>1788</v>
      </c>
      <c r="BT45" s="1" t="s">
        <v>2723</v>
      </c>
      <c r="BU45" s="1" t="s">
        <v>1790</v>
      </c>
      <c r="BV45" s="1" t="s">
        <v>2724</v>
      </c>
      <c r="BW45" s="1" t="s">
        <v>1790</v>
      </c>
      <c r="BX45" s="1" t="s">
        <v>2724</v>
      </c>
      <c r="BY45" s="1" t="s">
        <v>2588</v>
      </c>
      <c r="BZ45" s="1" t="s">
        <v>2725</v>
      </c>
      <c r="CA45" s="1" t="s">
        <v>1794</v>
      </c>
      <c r="CB45" s="1" t="s">
        <v>1795</v>
      </c>
      <c r="CC45" s="1" t="s">
        <v>1796</v>
      </c>
      <c r="CD45" s="1" t="s">
        <v>1797</v>
      </c>
      <c r="CE45" s="1" t="s">
        <v>1798</v>
      </c>
      <c r="CF45" s="1" t="s">
        <v>1799</v>
      </c>
      <c r="CG45" s="1" t="s">
        <v>1800</v>
      </c>
      <c r="CH45" s="1" t="s">
        <v>1794</v>
      </c>
      <c r="CI45" s="1" t="s">
        <v>1801</v>
      </c>
      <c r="CJ45" s="1" t="s">
        <v>1794</v>
      </c>
      <c r="CK45" s="1" t="s">
        <v>1802</v>
      </c>
      <c r="CL45" s="1" t="s">
        <v>1803</v>
      </c>
      <c r="CM45" s="1" t="s">
        <v>1804</v>
      </c>
      <c r="CN45" s="1" t="s">
        <v>1805</v>
      </c>
      <c r="CO45" s="1" t="s">
        <v>1794</v>
      </c>
      <c r="CP45" s="1" t="s">
        <v>1806</v>
      </c>
      <c r="CQ45" s="1" t="s">
        <v>1807</v>
      </c>
      <c r="CR45" s="1" t="s">
        <v>1808</v>
      </c>
      <c r="CS45" s="1" t="s">
        <v>1809</v>
      </c>
      <c r="CT45" s="1" t="s">
        <v>1810</v>
      </c>
      <c r="CU45" s="1" t="s">
        <v>1811</v>
      </c>
      <c r="CV45" s="1" t="s">
        <v>1812</v>
      </c>
      <c r="CW45" s="1" t="s">
        <v>1813</v>
      </c>
      <c r="CX45" s="1" t="s">
        <v>1814</v>
      </c>
      <c r="CY45" s="1" t="s">
        <v>1813</v>
      </c>
      <c r="CZ45" s="1" t="s">
        <v>1813</v>
      </c>
      <c r="DA45" s="1" t="s">
        <v>1775</v>
      </c>
      <c r="DB45" s="1" t="s">
        <v>1776</v>
      </c>
      <c r="DC45" s="1" t="s">
        <v>1752</v>
      </c>
      <c r="DD45" s="1" t="s">
        <v>1765</v>
      </c>
      <c r="DE45" s="1" t="s">
        <v>1815</v>
      </c>
      <c r="DF45" s="1" t="s">
        <v>1816</v>
      </c>
      <c r="DG45" s="1" t="s">
        <v>1817</v>
      </c>
      <c r="DH45" s="1" t="s">
        <v>1818</v>
      </c>
      <c r="DI45" s="1" t="s">
        <v>1819</v>
      </c>
      <c r="DJ45" s="1" t="s">
        <v>1820</v>
      </c>
      <c r="DK45" s="1" t="s">
        <v>1821</v>
      </c>
      <c r="DL45" s="1" t="s">
        <v>1822</v>
      </c>
      <c r="DM45" s="1" t="s">
        <v>1765</v>
      </c>
      <c r="DN45" s="1" t="s">
        <v>1765</v>
      </c>
      <c r="DO45" s="1" t="s">
        <v>1823</v>
      </c>
      <c r="DP45" s="1" t="s">
        <v>1824</v>
      </c>
      <c r="DQ45" s="1" t="s">
        <v>1824</v>
      </c>
      <c r="DR45" s="1" t="s">
        <v>1765</v>
      </c>
      <c r="DS45" s="1" t="s">
        <v>1825</v>
      </c>
      <c r="DT45" s="1" t="s">
        <v>1816</v>
      </c>
      <c r="DU45" s="1" t="s">
        <v>1826</v>
      </c>
      <c r="DV45" s="1" t="s">
        <v>2726</v>
      </c>
      <c r="DW45" s="1" t="s">
        <v>1828</v>
      </c>
      <c r="DX45" s="1" t="s">
        <v>2727</v>
      </c>
      <c r="DY45" s="1" t="s">
        <v>424</v>
      </c>
      <c r="DZ45" s="1" t="s">
        <v>1752</v>
      </c>
      <c r="EA45" s="1" t="s">
        <v>218</v>
      </c>
      <c r="EB45" s="1" t="s">
        <v>892</v>
      </c>
      <c r="EC45" s="1" t="s">
        <v>2718</v>
      </c>
      <c r="ED45" s="1" t="s">
        <v>2728</v>
      </c>
      <c r="EE45" s="1" t="s">
        <v>2728</v>
      </c>
      <c r="EF45" s="1" t="s">
        <v>2729</v>
      </c>
      <c r="EG45" s="1" t="s">
        <v>1832</v>
      </c>
      <c r="EH45" s="1" t="s">
        <v>2730</v>
      </c>
      <c r="EI45" s="1" t="s">
        <v>2731</v>
      </c>
      <c r="EJ45" s="1" t="s">
        <v>2732</v>
      </c>
      <c r="EK45" s="1" t="s">
        <v>1836</v>
      </c>
      <c r="EL45" s="1" t="s">
        <v>1837</v>
      </c>
      <c r="EM45" s="1" t="s">
        <v>1838</v>
      </c>
      <c r="EN45" s="1" t="s">
        <v>2733</v>
      </c>
      <c r="EO45" s="1" t="s">
        <v>1840</v>
      </c>
      <c r="EP45" s="1" t="s">
        <v>920</v>
      </c>
      <c r="EQ45" s="1" t="s">
        <v>1782</v>
      </c>
      <c r="ER45" s="1" t="s">
        <v>1802</v>
      </c>
      <c r="ES45" s="1" t="s">
        <v>1802</v>
      </c>
      <c r="ET45" s="1" t="s">
        <v>1802</v>
      </c>
      <c r="EU45" s="1" t="s">
        <v>1802</v>
      </c>
      <c r="EV45" s="1" t="s">
        <v>1802</v>
      </c>
      <c r="EW45" s="1" t="s">
        <v>1802</v>
      </c>
      <c r="EX45" s="1" t="s">
        <v>1802</v>
      </c>
      <c r="EY45" s="1" t="s">
        <v>1802</v>
      </c>
      <c r="EZ45" s="1" t="s">
        <v>1802</v>
      </c>
      <c r="FA45" s="1" t="s">
        <v>1802</v>
      </c>
      <c r="FB45" s="1" t="s">
        <v>1802</v>
      </c>
      <c r="FC45" s="1" t="s">
        <v>1802</v>
      </c>
      <c r="FD45" s="1" t="s">
        <v>1802</v>
      </c>
      <c r="FE45" s="1" t="s">
        <v>1802</v>
      </c>
      <c r="FF45" s="1" t="s">
        <v>1802</v>
      </c>
      <c r="FG45" s="1" t="s">
        <v>1802</v>
      </c>
      <c r="FH45" s="1" t="s">
        <v>1802</v>
      </c>
      <c r="FI45" s="1" t="s">
        <v>1802</v>
      </c>
      <c r="FJ45" s="1" t="s">
        <v>1802</v>
      </c>
      <c r="FK45" s="1" t="s">
        <v>1802</v>
      </c>
      <c r="FL45" s="1" t="s">
        <v>1802</v>
      </c>
      <c r="FM45" s="1" t="s">
        <v>1802</v>
      </c>
      <c r="FN45" s="1" t="s">
        <v>1802</v>
      </c>
      <c r="FO45" s="1" t="s">
        <v>1802</v>
      </c>
      <c r="FP45" s="1" t="s">
        <v>1802</v>
      </c>
      <c r="FQ45" s="1" t="s">
        <v>1802</v>
      </c>
      <c r="FR45" s="2"/>
      <c r="FS45" s="1" t="s">
        <v>1802</v>
      </c>
    </row>
    <row r="46" spans="1:175" x14ac:dyDescent="0.3">
      <c r="A46" s="1" t="s">
        <v>2734</v>
      </c>
      <c r="B46" s="1" t="s">
        <v>1739</v>
      </c>
      <c r="C46" s="1" t="s">
        <v>871</v>
      </c>
      <c r="D46" s="1" t="s">
        <v>1740</v>
      </c>
      <c r="E46" s="1" t="s">
        <v>2002</v>
      </c>
      <c r="F46" s="1" t="s">
        <v>2735</v>
      </c>
      <c r="G46" s="1" t="s">
        <v>2735</v>
      </c>
      <c r="H46" s="1" t="s">
        <v>2736</v>
      </c>
      <c r="I46" s="1" t="s">
        <v>1744</v>
      </c>
      <c r="J46" s="1" t="s">
        <v>1745</v>
      </c>
      <c r="K46" s="1" t="s">
        <v>1746</v>
      </c>
      <c r="L46" s="1" t="s">
        <v>1747</v>
      </c>
      <c r="M46" s="1" t="s">
        <v>1748</v>
      </c>
      <c r="N46" s="1" t="s">
        <v>1749</v>
      </c>
      <c r="O46" s="1" t="s">
        <v>1750</v>
      </c>
      <c r="P46" s="1" t="s">
        <v>1751</v>
      </c>
      <c r="Q46">
        <v>49</v>
      </c>
      <c r="R46" s="1" t="s">
        <v>1752</v>
      </c>
      <c r="S46" s="1" t="s">
        <v>1753</v>
      </c>
      <c r="T46" s="1" t="s">
        <v>1754</v>
      </c>
      <c r="U46" s="1" t="s">
        <v>1755</v>
      </c>
      <c r="V46" s="1" t="s">
        <v>1756</v>
      </c>
      <c r="W46">
        <v>72</v>
      </c>
      <c r="X46">
        <v>72</v>
      </c>
      <c r="Y46" s="1" t="s">
        <v>1757</v>
      </c>
      <c r="Z46" s="2">
        <v>36999</v>
      </c>
      <c r="AA46" s="1" t="s">
        <v>2737</v>
      </c>
      <c r="AB46" s="1" t="s">
        <v>1755</v>
      </c>
      <c r="AC46" s="1" t="s">
        <v>2738</v>
      </c>
      <c r="AD46" s="1" t="s">
        <v>424</v>
      </c>
      <c r="AE46" s="1" t="s">
        <v>1760</v>
      </c>
      <c r="AF46" s="1" t="s">
        <v>1761</v>
      </c>
      <c r="AG46" s="1" t="s">
        <v>1762</v>
      </c>
      <c r="AH46" s="1" t="s">
        <v>2737</v>
      </c>
      <c r="AI46" s="1" t="s">
        <v>2737</v>
      </c>
      <c r="AJ46" s="1" t="s">
        <v>1763</v>
      </c>
      <c r="AK46" s="1" t="s">
        <v>1763</v>
      </c>
      <c r="AL46" s="1" t="s">
        <v>1763</v>
      </c>
      <c r="AM46" s="1" t="s">
        <v>2738</v>
      </c>
      <c r="AN46" s="1" t="s">
        <v>424</v>
      </c>
      <c r="AO46" s="1" t="s">
        <v>2739</v>
      </c>
      <c r="AP46" s="1" t="s">
        <v>1765</v>
      </c>
      <c r="AQ46" s="1" t="s">
        <v>1766</v>
      </c>
      <c r="AR46" s="1" t="s">
        <v>1767</v>
      </c>
      <c r="AS46" s="1" t="s">
        <v>1768</v>
      </c>
      <c r="AT46">
        <v>2010150922131390</v>
      </c>
      <c r="AU46" s="1" t="s">
        <v>1769</v>
      </c>
      <c r="AV46">
        <v>20435743204958</v>
      </c>
      <c r="AW46" s="1" t="s">
        <v>1770</v>
      </c>
      <c r="AX46" s="1" t="s">
        <v>1765</v>
      </c>
      <c r="AY46" s="1" t="s">
        <v>2740</v>
      </c>
      <c r="AZ46" s="1" t="s">
        <v>1897</v>
      </c>
      <c r="BA46" s="1" t="s">
        <v>2741</v>
      </c>
      <c r="BB46">
        <v>324</v>
      </c>
      <c r="BC46" s="1" t="s">
        <v>1774</v>
      </c>
      <c r="BD46" s="1" t="s">
        <v>1775</v>
      </c>
      <c r="BE46" s="1" t="s">
        <v>1776</v>
      </c>
      <c r="BF46" s="1" t="s">
        <v>1777</v>
      </c>
      <c r="BG46" s="1" t="s">
        <v>1778</v>
      </c>
      <c r="BH46" s="1" t="s">
        <v>1779</v>
      </c>
      <c r="BI46" s="1" t="s">
        <v>1779</v>
      </c>
      <c r="BJ46" s="1" t="s">
        <v>1780</v>
      </c>
      <c r="BK46" s="1" t="s">
        <v>1781</v>
      </c>
      <c r="BL46" s="1" t="s">
        <v>1754</v>
      </c>
      <c r="BM46" s="1" t="s">
        <v>1782</v>
      </c>
      <c r="BN46" s="1" t="s">
        <v>1783</v>
      </c>
      <c r="BO46" s="1" t="s">
        <v>1784</v>
      </c>
      <c r="BP46" s="1" t="s">
        <v>1785</v>
      </c>
      <c r="BQ46" s="1" t="s">
        <v>1786</v>
      </c>
      <c r="BR46" s="1" t="s">
        <v>2742</v>
      </c>
      <c r="BS46" s="1" t="s">
        <v>1788</v>
      </c>
      <c r="BT46" s="1" t="s">
        <v>2743</v>
      </c>
      <c r="BU46" s="1" t="s">
        <v>1790</v>
      </c>
      <c r="BV46" s="1" t="s">
        <v>2744</v>
      </c>
      <c r="BW46" s="1" t="s">
        <v>1790</v>
      </c>
      <c r="BX46" s="1" t="s">
        <v>2744</v>
      </c>
      <c r="BY46" s="1" t="s">
        <v>2588</v>
      </c>
      <c r="BZ46" s="1" t="s">
        <v>2745</v>
      </c>
      <c r="CA46" s="1" t="s">
        <v>1794</v>
      </c>
      <c r="CB46" s="1" t="s">
        <v>1795</v>
      </c>
      <c r="CC46" s="1" t="s">
        <v>1796</v>
      </c>
      <c r="CD46" s="1" t="s">
        <v>1797</v>
      </c>
      <c r="CE46" s="1" t="s">
        <v>1798</v>
      </c>
      <c r="CF46" s="1" t="s">
        <v>1799</v>
      </c>
      <c r="CG46" s="1" t="s">
        <v>1800</v>
      </c>
      <c r="CH46" s="1" t="s">
        <v>1794</v>
      </c>
      <c r="CI46" s="1" t="s">
        <v>1801</v>
      </c>
      <c r="CJ46" s="1" t="s">
        <v>1794</v>
      </c>
      <c r="CK46" s="1" t="s">
        <v>1802</v>
      </c>
      <c r="CL46" s="1" t="s">
        <v>1803</v>
      </c>
      <c r="CM46" s="1" t="s">
        <v>1804</v>
      </c>
      <c r="CN46" s="1" t="s">
        <v>1805</v>
      </c>
      <c r="CO46" s="1" t="s">
        <v>1794</v>
      </c>
      <c r="CP46" s="1" t="s">
        <v>1806</v>
      </c>
      <c r="CQ46" s="1" t="s">
        <v>1807</v>
      </c>
      <c r="CR46" s="1" t="s">
        <v>1808</v>
      </c>
      <c r="CS46" s="1" t="s">
        <v>1809</v>
      </c>
      <c r="CT46" s="1" t="s">
        <v>1810</v>
      </c>
      <c r="CU46" s="1" t="s">
        <v>1811</v>
      </c>
      <c r="CV46" s="1" t="s">
        <v>1812</v>
      </c>
      <c r="CW46" s="1" t="s">
        <v>1813</v>
      </c>
      <c r="CX46" s="1" t="s">
        <v>1814</v>
      </c>
      <c r="CY46" s="1" t="s">
        <v>1813</v>
      </c>
      <c r="CZ46" s="1" t="s">
        <v>1813</v>
      </c>
      <c r="DA46" s="1" t="s">
        <v>1775</v>
      </c>
      <c r="DB46" s="1" t="s">
        <v>1776</v>
      </c>
      <c r="DC46" s="1" t="s">
        <v>1752</v>
      </c>
      <c r="DD46" s="1" t="s">
        <v>1765</v>
      </c>
      <c r="DE46" s="1" t="s">
        <v>1815</v>
      </c>
      <c r="DF46" s="1" t="s">
        <v>1816</v>
      </c>
      <c r="DG46" s="1" t="s">
        <v>1817</v>
      </c>
      <c r="DH46" s="1" t="s">
        <v>1818</v>
      </c>
      <c r="DI46" s="1" t="s">
        <v>1819</v>
      </c>
      <c r="DJ46" s="1" t="s">
        <v>1820</v>
      </c>
      <c r="DK46" s="1" t="s">
        <v>1821</v>
      </c>
      <c r="DL46" s="1" t="s">
        <v>1822</v>
      </c>
      <c r="DM46" s="1" t="s">
        <v>1765</v>
      </c>
      <c r="DN46" s="1" t="s">
        <v>1765</v>
      </c>
      <c r="DO46" s="1" t="s">
        <v>1823</v>
      </c>
      <c r="DP46" s="1" t="s">
        <v>1824</v>
      </c>
      <c r="DQ46" s="1" t="s">
        <v>1824</v>
      </c>
      <c r="DR46" s="1" t="s">
        <v>1765</v>
      </c>
      <c r="DS46" s="1" t="s">
        <v>1825</v>
      </c>
      <c r="DT46" s="1" t="s">
        <v>1816</v>
      </c>
      <c r="DU46" s="1" t="s">
        <v>1826</v>
      </c>
      <c r="DV46" s="1" t="s">
        <v>2746</v>
      </c>
      <c r="DW46" s="1" t="s">
        <v>1828</v>
      </c>
      <c r="DX46" s="1" t="s">
        <v>2747</v>
      </c>
      <c r="DY46" s="1" t="s">
        <v>424</v>
      </c>
      <c r="DZ46" s="1" t="s">
        <v>1752</v>
      </c>
      <c r="EA46" s="1" t="s">
        <v>218</v>
      </c>
      <c r="EB46" s="1" t="s">
        <v>892</v>
      </c>
      <c r="EC46" s="1" t="s">
        <v>2738</v>
      </c>
      <c r="ED46" s="1" t="s">
        <v>2748</v>
      </c>
      <c r="EE46" s="1" t="s">
        <v>2748</v>
      </c>
      <c r="EF46" s="1" t="s">
        <v>2749</v>
      </c>
      <c r="EG46" s="1" t="s">
        <v>2194</v>
      </c>
      <c r="EH46" s="1" t="s">
        <v>2750</v>
      </c>
      <c r="EI46" s="1" t="s">
        <v>2036</v>
      </c>
      <c r="EJ46" s="1" t="s">
        <v>2261</v>
      </c>
      <c r="EK46" s="1" t="s">
        <v>1836</v>
      </c>
      <c r="EL46" s="1" t="s">
        <v>1837</v>
      </c>
      <c r="EM46" s="1" t="s">
        <v>1838</v>
      </c>
      <c r="EN46" s="1" t="s">
        <v>2751</v>
      </c>
      <c r="EO46" s="1" t="s">
        <v>1840</v>
      </c>
      <c r="EP46" s="1" t="s">
        <v>2398</v>
      </c>
      <c r="EQ46" s="1" t="s">
        <v>1782</v>
      </c>
      <c r="ER46" s="1" t="s">
        <v>1802</v>
      </c>
      <c r="ES46" s="1" t="s">
        <v>1802</v>
      </c>
      <c r="ET46" s="1" t="s">
        <v>1802</v>
      </c>
      <c r="EU46" s="1" t="s">
        <v>1802</v>
      </c>
      <c r="EV46" s="1" t="s">
        <v>1802</v>
      </c>
      <c r="EW46" s="1" t="s">
        <v>1802</v>
      </c>
      <c r="EX46" s="1" t="s">
        <v>1802</v>
      </c>
      <c r="EY46" s="1" t="s">
        <v>1802</v>
      </c>
      <c r="EZ46" s="1" t="s">
        <v>1802</v>
      </c>
      <c r="FA46" s="1" t="s">
        <v>1802</v>
      </c>
      <c r="FB46" s="1" t="s">
        <v>1802</v>
      </c>
      <c r="FC46" s="1" t="s">
        <v>1802</v>
      </c>
      <c r="FD46" s="1" t="s">
        <v>1802</v>
      </c>
      <c r="FE46" s="1" t="s">
        <v>1802</v>
      </c>
      <c r="FF46" s="1" t="s">
        <v>1802</v>
      </c>
      <c r="FG46" s="1" t="s">
        <v>1802</v>
      </c>
      <c r="FH46" s="1" t="s">
        <v>1802</v>
      </c>
      <c r="FI46" s="1" t="s">
        <v>1802</v>
      </c>
      <c r="FJ46" s="1" t="s">
        <v>1802</v>
      </c>
      <c r="FK46" s="1" t="s">
        <v>1802</v>
      </c>
      <c r="FL46" s="1" t="s">
        <v>1802</v>
      </c>
      <c r="FM46" s="1" t="s">
        <v>1802</v>
      </c>
      <c r="FN46" s="1" t="s">
        <v>1802</v>
      </c>
      <c r="FO46" s="1" t="s">
        <v>1802</v>
      </c>
      <c r="FP46" s="1" t="s">
        <v>1802</v>
      </c>
      <c r="FQ46" s="1" t="s">
        <v>1802</v>
      </c>
      <c r="FR46" s="2"/>
      <c r="FS46" s="1" t="s">
        <v>1802</v>
      </c>
    </row>
    <row r="47" spans="1:175" x14ac:dyDescent="0.3">
      <c r="A47" s="1" t="s">
        <v>2752</v>
      </c>
      <c r="B47" s="1" t="s">
        <v>1739</v>
      </c>
      <c r="C47" s="1" t="s">
        <v>879</v>
      </c>
      <c r="D47" s="1" t="s">
        <v>1740</v>
      </c>
      <c r="E47" s="1" t="s">
        <v>1913</v>
      </c>
      <c r="F47" s="1" t="s">
        <v>2753</v>
      </c>
      <c r="G47" s="1" t="s">
        <v>2753</v>
      </c>
      <c r="H47" s="1" t="s">
        <v>2754</v>
      </c>
      <c r="I47" s="1" t="s">
        <v>1744</v>
      </c>
      <c r="J47" s="1" t="s">
        <v>1745</v>
      </c>
      <c r="K47" s="1" t="s">
        <v>1746</v>
      </c>
      <c r="L47" s="1" t="s">
        <v>1747</v>
      </c>
      <c r="M47" s="1" t="s">
        <v>1748</v>
      </c>
      <c r="N47" s="1" t="s">
        <v>1749</v>
      </c>
      <c r="O47" s="1" t="s">
        <v>1750</v>
      </c>
      <c r="P47" s="1" t="s">
        <v>1751</v>
      </c>
      <c r="Q47">
        <v>49</v>
      </c>
      <c r="R47" s="1" t="s">
        <v>1752</v>
      </c>
      <c r="S47" s="1" t="s">
        <v>1753</v>
      </c>
      <c r="T47" s="1" t="s">
        <v>1754</v>
      </c>
      <c r="U47" s="1" t="s">
        <v>1755</v>
      </c>
      <c r="V47" s="1" t="s">
        <v>1756</v>
      </c>
      <c r="W47">
        <v>72</v>
      </c>
      <c r="X47">
        <v>72</v>
      </c>
      <c r="Y47" s="1" t="s">
        <v>1757</v>
      </c>
      <c r="Z47" s="2">
        <v>36999</v>
      </c>
      <c r="AA47" s="1" t="s">
        <v>2755</v>
      </c>
      <c r="AB47" s="1" t="s">
        <v>1755</v>
      </c>
      <c r="AC47" s="1" t="s">
        <v>1984</v>
      </c>
      <c r="AD47" s="1" t="s">
        <v>424</v>
      </c>
      <c r="AE47" s="1" t="s">
        <v>1760</v>
      </c>
      <c r="AF47" s="1" t="s">
        <v>1761</v>
      </c>
      <c r="AG47" s="1" t="s">
        <v>1762</v>
      </c>
      <c r="AH47" s="1" t="s">
        <v>2755</v>
      </c>
      <c r="AI47" s="1" t="s">
        <v>2755</v>
      </c>
      <c r="AJ47" s="1" t="s">
        <v>1763</v>
      </c>
      <c r="AK47" s="1" t="s">
        <v>1763</v>
      </c>
      <c r="AL47" s="1" t="s">
        <v>1763</v>
      </c>
      <c r="AM47" s="1" t="s">
        <v>1984</v>
      </c>
      <c r="AN47" s="1" t="s">
        <v>424</v>
      </c>
      <c r="AO47" s="1" t="s">
        <v>2756</v>
      </c>
      <c r="AP47" s="1" t="s">
        <v>1765</v>
      </c>
      <c r="AQ47" s="1" t="s">
        <v>1766</v>
      </c>
      <c r="AR47" s="1" t="s">
        <v>1767</v>
      </c>
      <c r="AS47" s="1" t="s">
        <v>1768</v>
      </c>
      <c r="AT47">
        <v>2010150922131390</v>
      </c>
      <c r="AU47" s="1" t="s">
        <v>1769</v>
      </c>
      <c r="AV47">
        <v>23595745731375</v>
      </c>
      <c r="AW47" s="1" t="s">
        <v>1770</v>
      </c>
      <c r="AX47" s="1" t="s">
        <v>1765</v>
      </c>
      <c r="AY47" s="1" t="s">
        <v>2757</v>
      </c>
      <c r="AZ47" s="1" t="s">
        <v>1897</v>
      </c>
      <c r="BA47" s="1" t="s">
        <v>2758</v>
      </c>
      <c r="BB47">
        <v>156</v>
      </c>
      <c r="BC47" s="1" t="s">
        <v>1774</v>
      </c>
      <c r="BD47" s="1" t="s">
        <v>1775</v>
      </c>
      <c r="BE47" s="1" t="s">
        <v>1776</v>
      </c>
      <c r="BF47" s="1" t="s">
        <v>1777</v>
      </c>
      <c r="BG47" s="1" t="s">
        <v>1778</v>
      </c>
      <c r="BH47" s="1" t="s">
        <v>1779</v>
      </c>
      <c r="BI47" s="1" t="s">
        <v>1779</v>
      </c>
      <c r="BJ47" s="1" t="s">
        <v>1780</v>
      </c>
      <c r="BK47" s="1" t="s">
        <v>1781</v>
      </c>
      <c r="BL47" s="1" t="s">
        <v>1754</v>
      </c>
      <c r="BM47" s="1" t="s">
        <v>1782</v>
      </c>
      <c r="BN47" s="1" t="s">
        <v>1783</v>
      </c>
      <c r="BO47" s="1" t="s">
        <v>1784</v>
      </c>
      <c r="BP47" s="1" t="s">
        <v>1785</v>
      </c>
      <c r="BQ47" s="1" t="s">
        <v>1786</v>
      </c>
      <c r="BR47" s="1" t="s">
        <v>2759</v>
      </c>
      <c r="BS47" s="1" t="s">
        <v>1788</v>
      </c>
      <c r="BT47" s="1" t="s">
        <v>1765</v>
      </c>
      <c r="BU47" s="1" t="s">
        <v>1790</v>
      </c>
      <c r="BV47" s="1" t="s">
        <v>2760</v>
      </c>
      <c r="BW47" s="1" t="s">
        <v>1790</v>
      </c>
      <c r="BX47" s="1" t="s">
        <v>2760</v>
      </c>
      <c r="BY47" s="1" t="s">
        <v>2588</v>
      </c>
      <c r="BZ47" s="1" t="s">
        <v>2761</v>
      </c>
      <c r="CA47" s="1" t="s">
        <v>1794</v>
      </c>
      <c r="CB47" s="1" t="s">
        <v>1795</v>
      </c>
      <c r="CC47" s="1" t="s">
        <v>1796</v>
      </c>
      <c r="CD47" s="1" t="s">
        <v>1797</v>
      </c>
      <c r="CE47" s="1" t="s">
        <v>1798</v>
      </c>
      <c r="CF47" s="1" t="s">
        <v>1799</v>
      </c>
      <c r="CG47" s="1" t="s">
        <v>1800</v>
      </c>
      <c r="CH47" s="1" t="s">
        <v>1794</v>
      </c>
      <c r="CI47" s="1" t="s">
        <v>1801</v>
      </c>
      <c r="CJ47" s="1" t="s">
        <v>1794</v>
      </c>
      <c r="CK47" s="1" t="s">
        <v>1802</v>
      </c>
      <c r="CL47" s="1" t="s">
        <v>1803</v>
      </c>
      <c r="CM47" s="1" t="s">
        <v>1804</v>
      </c>
      <c r="CN47" s="1" t="s">
        <v>1805</v>
      </c>
      <c r="CO47" s="1" t="s">
        <v>1794</v>
      </c>
      <c r="CP47" s="1" t="s">
        <v>1806</v>
      </c>
      <c r="CQ47" s="1" t="s">
        <v>1807</v>
      </c>
      <c r="CR47" s="1" t="s">
        <v>1808</v>
      </c>
      <c r="CS47" s="1" t="s">
        <v>1809</v>
      </c>
      <c r="CT47" s="1" t="s">
        <v>1810</v>
      </c>
      <c r="CU47" s="1" t="s">
        <v>1811</v>
      </c>
      <c r="CV47" s="1" t="s">
        <v>1812</v>
      </c>
      <c r="CW47" s="1" t="s">
        <v>1813</v>
      </c>
      <c r="CX47" s="1" t="s">
        <v>1814</v>
      </c>
      <c r="CY47" s="1" t="s">
        <v>1813</v>
      </c>
      <c r="CZ47" s="1" t="s">
        <v>1813</v>
      </c>
      <c r="DA47" s="1" t="s">
        <v>1775</v>
      </c>
      <c r="DB47" s="1" t="s">
        <v>1776</v>
      </c>
      <c r="DC47" s="1" t="s">
        <v>1752</v>
      </c>
      <c r="DD47" s="1" t="s">
        <v>1765</v>
      </c>
      <c r="DE47" s="1" t="s">
        <v>1815</v>
      </c>
      <c r="DF47" s="1" t="s">
        <v>1816</v>
      </c>
      <c r="DG47" s="1" t="s">
        <v>1817</v>
      </c>
      <c r="DH47" s="1" t="s">
        <v>1818</v>
      </c>
      <c r="DI47" s="1" t="s">
        <v>1819</v>
      </c>
      <c r="DJ47" s="1" t="s">
        <v>1820</v>
      </c>
      <c r="DK47" s="1" t="s">
        <v>1821</v>
      </c>
      <c r="DL47" s="1" t="s">
        <v>1822</v>
      </c>
      <c r="DM47" s="1" t="s">
        <v>1765</v>
      </c>
      <c r="DN47" s="1" t="s">
        <v>1765</v>
      </c>
      <c r="DO47" s="1" t="s">
        <v>1823</v>
      </c>
      <c r="DP47" s="1" t="s">
        <v>1824</v>
      </c>
      <c r="DQ47" s="1" t="s">
        <v>1824</v>
      </c>
      <c r="DR47" s="1" t="s">
        <v>1765</v>
      </c>
      <c r="DS47" s="1" t="s">
        <v>1825</v>
      </c>
      <c r="DT47" s="1" t="s">
        <v>1816</v>
      </c>
      <c r="DU47" s="1" t="s">
        <v>1826</v>
      </c>
      <c r="DV47" s="1" t="s">
        <v>2762</v>
      </c>
      <c r="DW47" s="1" t="s">
        <v>1828</v>
      </c>
      <c r="DX47" s="1" t="s">
        <v>2763</v>
      </c>
      <c r="DY47" s="1" t="s">
        <v>424</v>
      </c>
      <c r="DZ47" s="1" t="s">
        <v>1752</v>
      </c>
      <c r="EA47" s="1" t="s">
        <v>218</v>
      </c>
      <c r="EB47" s="1" t="s">
        <v>892</v>
      </c>
      <c r="EC47" s="1" t="s">
        <v>1984</v>
      </c>
      <c r="ED47" s="1" t="s">
        <v>2764</v>
      </c>
      <c r="EE47" s="1" t="s">
        <v>2764</v>
      </c>
      <c r="EF47" s="1" t="s">
        <v>2765</v>
      </c>
      <c r="EG47" s="1" t="s">
        <v>1832</v>
      </c>
      <c r="EH47" s="1" t="s">
        <v>2766</v>
      </c>
      <c r="EI47" s="1" t="s">
        <v>2488</v>
      </c>
      <c r="EJ47" s="1" t="s">
        <v>2767</v>
      </c>
      <c r="EK47" s="1" t="s">
        <v>1836</v>
      </c>
      <c r="EL47" s="1" t="s">
        <v>1837</v>
      </c>
      <c r="EM47" s="1" t="s">
        <v>1838</v>
      </c>
      <c r="EN47" s="1" t="s">
        <v>2768</v>
      </c>
      <c r="EO47" s="1" t="s">
        <v>1840</v>
      </c>
      <c r="EP47" s="1" t="s">
        <v>2000</v>
      </c>
      <c r="EQ47" s="1" t="s">
        <v>1782</v>
      </c>
      <c r="ER47" s="1" t="s">
        <v>1802</v>
      </c>
      <c r="ES47" s="1" t="s">
        <v>1802</v>
      </c>
      <c r="ET47" s="1" t="s">
        <v>1802</v>
      </c>
      <c r="EU47" s="1" t="s">
        <v>1802</v>
      </c>
      <c r="EV47" s="1" t="s">
        <v>1802</v>
      </c>
      <c r="EW47" s="1" t="s">
        <v>1802</v>
      </c>
      <c r="EX47" s="1" t="s">
        <v>1802</v>
      </c>
      <c r="EY47" s="1" t="s">
        <v>1802</v>
      </c>
      <c r="EZ47" s="1" t="s">
        <v>1802</v>
      </c>
      <c r="FA47" s="1" t="s">
        <v>1802</v>
      </c>
      <c r="FB47" s="1" t="s">
        <v>1802</v>
      </c>
      <c r="FC47" s="1" t="s">
        <v>1802</v>
      </c>
      <c r="FD47" s="1" t="s">
        <v>1802</v>
      </c>
      <c r="FE47" s="1" t="s">
        <v>1802</v>
      </c>
      <c r="FF47" s="1" t="s">
        <v>1802</v>
      </c>
      <c r="FG47" s="1" t="s">
        <v>1802</v>
      </c>
      <c r="FH47" s="1" t="s">
        <v>1802</v>
      </c>
      <c r="FI47" s="1" t="s">
        <v>1802</v>
      </c>
      <c r="FJ47" s="1" t="s">
        <v>1802</v>
      </c>
      <c r="FK47" s="1" t="s">
        <v>1802</v>
      </c>
      <c r="FL47" s="1" t="s">
        <v>1802</v>
      </c>
      <c r="FM47" s="1" t="s">
        <v>1802</v>
      </c>
      <c r="FN47" s="1" t="s">
        <v>1802</v>
      </c>
      <c r="FO47" s="1" t="s">
        <v>1802</v>
      </c>
      <c r="FP47" s="1" t="s">
        <v>1802</v>
      </c>
      <c r="FQ47" s="1" t="s">
        <v>1802</v>
      </c>
      <c r="FR47" s="2"/>
      <c r="FS47" s="1" t="s">
        <v>1802</v>
      </c>
    </row>
    <row r="48" spans="1:175" x14ac:dyDescent="0.3">
      <c r="A48" s="1" t="s">
        <v>2769</v>
      </c>
      <c r="B48" s="1" t="s">
        <v>1739</v>
      </c>
      <c r="C48" s="1" t="s">
        <v>889</v>
      </c>
      <c r="D48" s="1" t="s">
        <v>1740</v>
      </c>
      <c r="E48" s="1" t="s">
        <v>2452</v>
      </c>
      <c r="F48" s="1" t="s">
        <v>2770</v>
      </c>
      <c r="G48" s="1" t="s">
        <v>2770</v>
      </c>
      <c r="H48" s="1" t="s">
        <v>1915</v>
      </c>
      <c r="I48" s="1" t="s">
        <v>1744</v>
      </c>
      <c r="J48" s="1" t="s">
        <v>1745</v>
      </c>
      <c r="K48" s="1" t="s">
        <v>1746</v>
      </c>
      <c r="L48" s="1" t="s">
        <v>1747</v>
      </c>
      <c r="M48" s="1" t="s">
        <v>1748</v>
      </c>
      <c r="N48" s="1" t="s">
        <v>1749</v>
      </c>
      <c r="O48" s="1" t="s">
        <v>1750</v>
      </c>
      <c r="P48" s="1" t="s">
        <v>1751</v>
      </c>
      <c r="Q48">
        <v>49</v>
      </c>
      <c r="R48" s="1" t="s">
        <v>1752</v>
      </c>
      <c r="S48" s="1" t="s">
        <v>1753</v>
      </c>
      <c r="T48" s="1" t="s">
        <v>1754</v>
      </c>
      <c r="U48" s="1" t="s">
        <v>1755</v>
      </c>
      <c r="V48" s="1" t="s">
        <v>1756</v>
      </c>
      <c r="W48">
        <v>72</v>
      </c>
      <c r="X48">
        <v>72</v>
      </c>
      <c r="Y48" s="1" t="s">
        <v>1757</v>
      </c>
      <c r="Z48" s="2">
        <v>36999</v>
      </c>
      <c r="AA48" s="1" t="s">
        <v>2771</v>
      </c>
      <c r="AB48" s="1" t="s">
        <v>1755</v>
      </c>
      <c r="AC48" s="1" t="s">
        <v>2772</v>
      </c>
      <c r="AD48" s="1" t="s">
        <v>424</v>
      </c>
      <c r="AE48" s="1" t="s">
        <v>1760</v>
      </c>
      <c r="AF48" s="1" t="s">
        <v>1761</v>
      </c>
      <c r="AG48" s="1" t="s">
        <v>1762</v>
      </c>
      <c r="AH48" s="1" t="s">
        <v>2771</v>
      </c>
      <c r="AI48" s="1" t="s">
        <v>2771</v>
      </c>
      <c r="AJ48" s="1" t="s">
        <v>1763</v>
      </c>
      <c r="AK48" s="1" t="s">
        <v>1763</v>
      </c>
      <c r="AL48" s="1" t="s">
        <v>1763</v>
      </c>
      <c r="AM48" s="1" t="s">
        <v>2772</v>
      </c>
      <c r="AN48" s="1" t="s">
        <v>424</v>
      </c>
      <c r="AO48" s="1" t="s">
        <v>2773</v>
      </c>
      <c r="AP48" s="1" t="s">
        <v>1765</v>
      </c>
      <c r="AQ48" s="1" t="s">
        <v>1766</v>
      </c>
      <c r="AR48" s="1" t="s">
        <v>1767</v>
      </c>
      <c r="AS48" s="1" t="s">
        <v>1768</v>
      </c>
      <c r="AT48">
        <v>2007150722091388</v>
      </c>
      <c r="AU48" s="1" t="s">
        <v>1769</v>
      </c>
      <c r="AV48">
        <v>26859090177375</v>
      </c>
      <c r="AW48" s="1" t="s">
        <v>1770</v>
      </c>
      <c r="AX48" s="1" t="s">
        <v>1765</v>
      </c>
      <c r="AY48" s="1" t="s">
        <v>2774</v>
      </c>
      <c r="AZ48" s="1" t="s">
        <v>1897</v>
      </c>
      <c r="BA48" s="1" t="s">
        <v>2775</v>
      </c>
      <c r="BB48">
        <v>120</v>
      </c>
      <c r="BC48" s="1" t="s">
        <v>1774</v>
      </c>
      <c r="BD48" s="1" t="s">
        <v>1775</v>
      </c>
      <c r="BE48" s="1" t="s">
        <v>1776</v>
      </c>
      <c r="BF48" s="1" t="s">
        <v>1777</v>
      </c>
      <c r="BG48" s="1" t="s">
        <v>1778</v>
      </c>
      <c r="BH48" s="1" t="s">
        <v>1779</v>
      </c>
      <c r="BI48" s="1" t="s">
        <v>1779</v>
      </c>
      <c r="BJ48" s="1" t="s">
        <v>1780</v>
      </c>
      <c r="BK48" s="1" t="s">
        <v>1781</v>
      </c>
      <c r="BL48" s="1" t="s">
        <v>1754</v>
      </c>
      <c r="BM48" s="1" t="s">
        <v>1782</v>
      </c>
      <c r="BN48" s="1" t="s">
        <v>1783</v>
      </c>
      <c r="BO48" s="1" t="s">
        <v>1784</v>
      </c>
      <c r="BP48" s="1" t="s">
        <v>1785</v>
      </c>
      <c r="BQ48" s="1" t="s">
        <v>1786</v>
      </c>
      <c r="BR48" s="1" t="s">
        <v>2776</v>
      </c>
      <c r="BS48" s="1" t="s">
        <v>1788</v>
      </c>
      <c r="BT48" s="1" t="s">
        <v>2777</v>
      </c>
      <c r="BU48" s="1" t="s">
        <v>1790</v>
      </c>
      <c r="BV48" s="1" t="s">
        <v>2778</v>
      </c>
      <c r="BW48" s="1" t="s">
        <v>1790</v>
      </c>
      <c r="BX48" s="1" t="s">
        <v>2778</v>
      </c>
      <c r="BY48" s="1" t="s">
        <v>2588</v>
      </c>
      <c r="BZ48" s="1" t="s">
        <v>2779</v>
      </c>
      <c r="CA48" s="1" t="s">
        <v>1794</v>
      </c>
      <c r="CB48" s="1" t="s">
        <v>1795</v>
      </c>
      <c r="CC48" s="1" t="s">
        <v>1796</v>
      </c>
      <c r="CD48" s="1" t="s">
        <v>1797</v>
      </c>
      <c r="CE48" s="1" t="s">
        <v>1798</v>
      </c>
      <c r="CF48" s="1" t="s">
        <v>1799</v>
      </c>
      <c r="CG48" s="1" t="s">
        <v>1800</v>
      </c>
      <c r="CH48" s="1" t="s">
        <v>1794</v>
      </c>
      <c r="CI48" s="1" t="s">
        <v>1801</v>
      </c>
      <c r="CJ48" s="1" t="s">
        <v>1794</v>
      </c>
      <c r="CK48" s="1" t="s">
        <v>1802</v>
      </c>
      <c r="CL48" s="1" t="s">
        <v>1803</v>
      </c>
      <c r="CM48" s="1" t="s">
        <v>1804</v>
      </c>
      <c r="CN48" s="1" t="s">
        <v>1805</v>
      </c>
      <c r="CO48" s="1" t="s">
        <v>1794</v>
      </c>
      <c r="CP48" s="1" t="s">
        <v>1806</v>
      </c>
      <c r="CQ48" s="1" t="s">
        <v>1807</v>
      </c>
      <c r="CR48" s="1" t="s">
        <v>1808</v>
      </c>
      <c r="CS48" s="1" t="s">
        <v>1809</v>
      </c>
      <c r="CT48" s="1" t="s">
        <v>1810</v>
      </c>
      <c r="CU48" s="1" t="s">
        <v>1811</v>
      </c>
      <c r="CV48" s="1" t="s">
        <v>1812</v>
      </c>
      <c r="CW48" s="1" t="s">
        <v>1813</v>
      </c>
      <c r="CX48" s="1" t="s">
        <v>1814</v>
      </c>
      <c r="CY48" s="1" t="s">
        <v>1813</v>
      </c>
      <c r="CZ48" s="1" t="s">
        <v>1813</v>
      </c>
      <c r="DA48" s="1" t="s">
        <v>1775</v>
      </c>
      <c r="DB48" s="1" t="s">
        <v>1776</v>
      </c>
      <c r="DC48" s="1" t="s">
        <v>1752</v>
      </c>
      <c r="DD48" s="1" t="s">
        <v>1765</v>
      </c>
      <c r="DE48" s="1" t="s">
        <v>1815</v>
      </c>
      <c r="DF48" s="1" t="s">
        <v>1816</v>
      </c>
      <c r="DG48" s="1" t="s">
        <v>1817</v>
      </c>
      <c r="DH48" s="1" t="s">
        <v>1818</v>
      </c>
      <c r="DI48" s="1" t="s">
        <v>1819</v>
      </c>
      <c r="DJ48" s="1" t="s">
        <v>1820</v>
      </c>
      <c r="DK48" s="1" t="s">
        <v>1821</v>
      </c>
      <c r="DL48" s="1" t="s">
        <v>1822</v>
      </c>
      <c r="DM48" s="1" t="s">
        <v>1765</v>
      </c>
      <c r="DN48" s="1" t="s">
        <v>1765</v>
      </c>
      <c r="DO48" s="1" t="s">
        <v>1823</v>
      </c>
      <c r="DP48" s="1" t="s">
        <v>1824</v>
      </c>
      <c r="DQ48" s="1" t="s">
        <v>1824</v>
      </c>
      <c r="DR48" s="1" t="s">
        <v>1765</v>
      </c>
      <c r="DS48" s="1" t="s">
        <v>1825</v>
      </c>
      <c r="DT48" s="1" t="s">
        <v>1816</v>
      </c>
      <c r="DU48" s="1" t="s">
        <v>1826</v>
      </c>
      <c r="DV48" s="1" t="s">
        <v>2780</v>
      </c>
      <c r="DW48" s="1" t="s">
        <v>1828</v>
      </c>
      <c r="DX48" s="1" t="s">
        <v>2781</v>
      </c>
      <c r="DY48" s="1" t="s">
        <v>424</v>
      </c>
      <c r="DZ48" s="1" t="s">
        <v>1752</v>
      </c>
      <c r="EA48" s="1" t="s">
        <v>218</v>
      </c>
      <c r="EB48" s="1" t="s">
        <v>892</v>
      </c>
      <c r="EC48" s="1" t="s">
        <v>2772</v>
      </c>
      <c r="ED48" s="1" t="s">
        <v>2782</v>
      </c>
      <c r="EE48" s="1" t="s">
        <v>2782</v>
      </c>
      <c r="EF48" s="1" t="s">
        <v>2783</v>
      </c>
      <c r="EG48" s="1" t="s">
        <v>1832</v>
      </c>
      <c r="EH48" s="1" t="s">
        <v>2784</v>
      </c>
      <c r="EI48" s="1" t="s">
        <v>2785</v>
      </c>
      <c r="EJ48" s="1" t="s">
        <v>2786</v>
      </c>
      <c r="EK48" s="1" t="s">
        <v>1836</v>
      </c>
      <c r="EL48" s="1" t="s">
        <v>1837</v>
      </c>
      <c r="EM48" s="1" t="s">
        <v>1838</v>
      </c>
      <c r="EN48" s="1" t="s">
        <v>2787</v>
      </c>
      <c r="EO48" s="1" t="s">
        <v>1840</v>
      </c>
      <c r="EP48" s="1" t="s">
        <v>1276</v>
      </c>
      <c r="EQ48" s="1" t="s">
        <v>1782</v>
      </c>
      <c r="ER48" s="1" t="s">
        <v>1802</v>
      </c>
      <c r="ES48" s="1" t="s">
        <v>1802</v>
      </c>
      <c r="ET48" s="1" t="s">
        <v>1802</v>
      </c>
      <c r="EU48" s="1" t="s">
        <v>1802</v>
      </c>
      <c r="EV48" s="1" t="s">
        <v>1802</v>
      </c>
      <c r="EW48" s="1" t="s">
        <v>1802</v>
      </c>
      <c r="EX48" s="1" t="s">
        <v>1802</v>
      </c>
      <c r="EY48" s="1" t="s">
        <v>1802</v>
      </c>
      <c r="EZ48" s="1" t="s">
        <v>1802</v>
      </c>
      <c r="FA48" s="1" t="s">
        <v>1802</v>
      </c>
      <c r="FB48" s="1" t="s">
        <v>1802</v>
      </c>
      <c r="FC48" s="1" t="s">
        <v>1802</v>
      </c>
      <c r="FD48" s="1" t="s">
        <v>1802</v>
      </c>
      <c r="FE48" s="1" t="s">
        <v>1802</v>
      </c>
      <c r="FF48" s="1" t="s">
        <v>1802</v>
      </c>
      <c r="FG48" s="1" t="s">
        <v>1802</v>
      </c>
      <c r="FH48" s="1" t="s">
        <v>1802</v>
      </c>
      <c r="FI48" s="1" t="s">
        <v>1802</v>
      </c>
      <c r="FJ48" s="1" t="s">
        <v>1802</v>
      </c>
      <c r="FK48" s="1" t="s">
        <v>1802</v>
      </c>
      <c r="FL48" s="1" t="s">
        <v>1802</v>
      </c>
      <c r="FM48" s="1" t="s">
        <v>1802</v>
      </c>
      <c r="FN48" s="1" t="s">
        <v>1802</v>
      </c>
      <c r="FO48" s="1" t="s">
        <v>1802</v>
      </c>
      <c r="FP48" s="1" t="s">
        <v>1802</v>
      </c>
      <c r="FQ48" s="1" t="s">
        <v>1802</v>
      </c>
      <c r="FR48" s="2"/>
      <c r="FS48" s="1" t="s">
        <v>1802</v>
      </c>
    </row>
    <row r="49" spans="1:175" x14ac:dyDescent="0.3">
      <c r="A49" s="1" t="s">
        <v>2788</v>
      </c>
      <c r="B49" s="1" t="s">
        <v>1739</v>
      </c>
      <c r="C49" s="1" t="s">
        <v>905</v>
      </c>
      <c r="D49" s="1" t="s">
        <v>1740</v>
      </c>
      <c r="E49" s="1" t="s">
        <v>2789</v>
      </c>
      <c r="F49" s="1" t="s">
        <v>2790</v>
      </c>
      <c r="G49" s="1" t="s">
        <v>2790</v>
      </c>
      <c r="H49" s="1" t="s">
        <v>1915</v>
      </c>
      <c r="I49" s="1" t="s">
        <v>1744</v>
      </c>
      <c r="J49" s="1" t="s">
        <v>1745</v>
      </c>
      <c r="K49" s="1" t="s">
        <v>1746</v>
      </c>
      <c r="L49" s="1" t="s">
        <v>1747</v>
      </c>
      <c r="M49" s="1" t="s">
        <v>1748</v>
      </c>
      <c r="N49" s="1" t="s">
        <v>1749</v>
      </c>
      <c r="O49" s="1" t="s">
        <v>1750</v>
      </c>
      <c r="P49" s="1" t="s">
        <v>1751</v>
      </c>
      <c r="Q49">
        <v>49</v>
      </c>
      <c r="R49" s="1" t="s">
        <v>1752</v>
      </c>
      <c r="S49" s="1" t="s">
        <v>1753</v>
      </c>
      <c r="T49" s="1" t="s">
        <v>1754</v>
      </c>
      <c r="U49" s="1" t="s">
        <v>1755</v>
      </c>
      <c r="V49" s="1" t="s">
        <v>1756</v>
      </c>
      <c r="W49">
        <v>72</v>
      </c>
      <c r="X49">
        <v>72</v>
      </c>
      <c r="Y49" s="1" t="s">
        <v>1757</v>
      </c>
      <c r="Z49" s="2">
        <v>36999</v>
      </c>
      <c r="AA49" s="1" t="s">
        <v>2791</v>
      </c>
      <c r="AB49" s="1" t="s">
        <v>1755</v>
      </c>
      <c r="AC49" s="1" t="s">
        <v>2792</v>
      </c>
      <c r="AD49" s="1" t="s">
        <v>424</v>
      </c>
      <c r="AE49" s="1" t="s">
        <v>1760</v>
      </c>
      <c r="AF49" s="1" t="s">
        <v>1761</v>
      </c>
      <c r="AG49" s="1" t="s">
        <v>1762</v>
      </c>
      <c r="AH49" s="1" t="s">
        <v>2791</v>
      </c>
      <c r="AI49" s="1" t="s">
        <v>2791</v>
      </c>
      <c r="AJ49" s="1" t="s">
        <v>1763</v>
      </c>
      <c r="AK49" s="1" t="s">
        <v>1763</v>
      </c>
      <c r="AL49" s="1" t="s">
        <v>1763</v>
      </c>
      <c r="AM49" s="1" t="s">
        <v>2792</v>
      </c>
      <c r="AN49" s="1" t="s">
        <v>424</v>
      </c>
      <c r="AO49" s="1" t="s">
        <v>2793</v>
      </c>
      <c r="AP49" s="1" t="s">
        <v>1765</v>
      </c>
      <c r="AQ49" s="1" t="s">
        <v>1766</v>
      </c>
      <c r="AR49" s="1" t="s">
        <v>1767</v>
      </c>
      <c r="AS49" s="1" t="s">
        <v>1768</v>
      </c>
      <c r="AT49">
        <v>2010150922131390</v>
      </c>
      <c r="AU49" s="1" t="s">
        <v>1769</v>
      </c>
      <c r="AV49">
        <v>27115465777250</v>
      </c>
      <c r="AW49" s="1" t="s">
        <v>1770</v>
      </c>
      <c r="AX49" s="1" t="s">
        <v>1765</v>
      </c>
      <c r="AY49" s="1" t="s">
        <v>2794</v>
      </c>
      <c r="AZ49" s="1" t="s">
        <v>1897</v>
      </c>
      <c r="BA49" s="1" t="s">
        <v>2795</v>
      </c>
      <c r="BB49">
        <v>745</v>
      </c>
      <c r="BC49" s="1" t="s">
        <v>1774</v>
      </c>
      <c r="BD49" s="1" t="s">
        <v>1775</v>
      </c>
      <c r="BE49" s="1" t="s">
        <v>1776</v>
      </c>
      <c r="BF49" s="1" t="s">
        <v>1777</v>
      </c>
      <c r="BG49" s="1" t="s">
        <v>1778</v>
      </c>
      <c r="BH49" s="1" t="s">
        <v>1779</v>
      </c>
      <c r="BI49" s="1" t="s">
        <v>1779</v>
      </c>
      <c r="BJ49" s="1" t="s">
        <v>1780</v>
      </c>
      <c r="BK49" s="1" t="s">
        <v>1781</v>
      </c>
      <c r="BL49" s="1" t="s">
        <v>1754</v>
      </c>
      <c r="BM49" s="1" t="s">
        <v>1782</v>
      </c>
      <c r="BN49" s="1" t="s">
        <v>1783</v>
      </c>
      <c r="BO49" s="1" t="s">
        <v>1784</v>
      </c>
      <c r="BP49" s="1" t="s">
        <v>1785</v>
      </c>
      <c r="BQ49" s="1" t="s">
        <v>1786</v>
      </c>
      <c r="BR49" s="1" t="s">
        <v>2796</v>
      </c>
      <c r="BS49" s="1" t="s">
        <v>1788</v>
      </c>
      <c r="BT49" s="1" t="s">
        <v>2797</v>
      </c>
      <c r="BU49" s="1" t="s">
        <v>1790</v>
      </c>
      <c r="BV49" s="1" t="s">
        <v>2798</v>
      </c>
      <c r="BW49" s="1" t="s">
        <v>1790</v>
      </c>
      <c r="BX49" s="1" t="s">
        <v>2798</v>
      </c>
      <c r="BY49" s="1" t="s">
        <v>2588</v>
      </c>
      <c r="BZ49" s="1" t="s">
        <v>2799</v>
      </c>
      <c r="CA49" s="1" t="s">
        <v>1794</v>
      </c>
      <c r="CB49" s="1" t="s">
        <v>1795</v>
      </c>
      <c r="CC49" s="1" t="s">
        <v>1796</v>
      </c>
      <c r="CD49" s="1" t="s">
        <v>1797</v>
      </c>
      <c r="CE49" s="1" t="s">
        <v>1798</v>
      </c>
      <c r="CF49" s="1" t="s">
        <v>1799</v>
      </c>
      <c r="CG49" s="1" t="s">
        <v>1800</v>
      </c>
      <c r="CH49" s="1" t="s">
        <v>1794</v>
      </c>
      <c r="CI49" s="1" t="s">
        <v>1801</v>
      </c>
      <c r="CJ49" s="1" t="s">
        <v>1794</v>
      </c>
      <c r="CK49" s="1" t="s">
        <v>1802</v>
      </c>
      <c r="CL49" s="1" t="s">
        <v>1803</v>
      </c>
      <c r="CM49" s="1" t="s">
        <v>1804</v>
      </c>
      <c r="CN49" s="1" t="s">
        <v>1805</v>
      </c>
      <c r="CO49" s="1" t="s">
        <v>1794</v>
      </c>
      <c r="CP49" s="1" t="s">
        <v>1806</v>
      </c>
      <c r="CQ49" s="1" t="s">
        <v>1807</v>
      </c>
      <c r="CR49" s="1" t="s">
        <v>1808</v>
      </c>
      <c r="CS49" s="1" t="s">
        <v>1809</v>
      </c>
      <c r="CT49" s="1" t="s">
        <v>1810</v>
      </c>
      <c r="CU49" s="1" t="s">
        <v>1811</v>
      </c>
      <c r="CV49" s="1" t="s">
        <v>1812</v>
      </c>
      <c r="CW49" s="1" t="s">
        <v>1813</v>
      </c>
      <c r="CX49" s="1" t="s">
        <v>1814</v>
      </c>
      <c r="CY49" s="1" t="s">
        <v>1813</v>
      </c>
      <c r="CZ49" s="1" t="s">
        <v>1813</v>
      </c>
      <c r="DA49" s="1" t="s">
        <v>1775</v>
      </c>
      <c r="DB49" s="1" t="s">
        <v>1776</v>
      </c>
      <c r="DC49" s="1" t="s">
        <v>1752</v>
      </c>
      <c r="DD49" s="1" t="s">
        <v>1765</v>
      </c>
      <c r="DE49" s="1" t="s">
        <v>1815</v>
      </c>
      <c r="DF49" s="1" t="s">
        <v>1816</v>
      </c>
      <c r="DG49" s="1" t="s">
        <v>1817</v>
      </c>
      <c r="DH49" s="1" t="s">
        <v>1818</v>
      </c>
      <c r="DI49" s="1" t="s">
        <v>1819</v>
      </c>
      <c r="DJ49" s="1" t="s">
        <v>1820</v>
      </c>
      <c r="DK49" s="1" t="s">
        <v>1821</v>
      </c>
      <c r="DL49" s="1" t="s">
        <v>1822</v>
      </c>
      <c r="DM49" s="1" t="s">
        <v>1765</v>
      </c>
      <c r="DN49" s="1" t="s">
        <v>1765</v>
      </c>
      <c r="DO49" s="1" t="s">
        <v>1823</v>
      </c>
      <c r="DP49" s="1" t="s">
        <v>1824</v>
      </c>
      <c r="DQ49" s="1" t="s">
        <v>1824</v>
      </c>
      <c r="DR49" s="1" t="s">
        <v>1765</v>
      </c>
      <c r="DS49" s="1" t="s">
        <v>1825</v>
      </c>
      <c r="DT49" s="1" t="s">
        <v>1816</v>
      </c>
      <c r="DU49" s="1" t="s">
        <v>1826</v>
      </c>
      <c r="DV49" s="1" t="s">
        <v>2800</v>
      </c>
      <c r="DW49" s="1" t="s">
        <v>1828</v>
      </c>
      <c r="DX49" s="1" t="s">
        <v>2801</v>
      </c>
      <c r="DY49" s="1" t="s">
        <v>424</v>
      </c>
      <c r="DZ49" s="1" t="s">
        <v>1752</v>
      </c>
      <c r="EA49" s="1" t="s">
        <v>218</v>
      </c>
      <c r="EB49" s="1" t="s">
        <v>892</v>
      </c>
      <c r="EC49" s="1" t="s">
        <v>2792</v>
      </c>
      <c r="ED49" s="1" t="s">
        <v>2802</v>
      </c>
      <c r="EE49" s="1" t="s">
        <v>2802</v>
      </c>
      <c r="EF49" s="1" t="s">
        <v>2803</v>
      </c>
      <c r="EG49" s="1" t="s">
        <v>2034</v>
      </c>
      <c r="EH49" s="1" t="s">
        <v>2804</v>
      </c>
      <c r="EI49" s="1" t="s">
        <v>2552</v>
      </c>
      <c r="EJ49" s="1" t="s">
        <v>2805</v>
      </c>
      <c r="EK49" s="1" t="s">
        <v>1836</v>
      </c>
      <c r="EL49" s="1" t="s">
        <v>1837</v>
      </c>
      <c r="EM49" s="1" t="s">
        <v>1838</v>
      </c>
      <c r="EN49" s="1" t="s">
        <v>2806</v>
      </c>
      <c r="EO49" s="1" t="s">
        <v>1840</v>
      </c>
      <c r="EP49" s="1" t="s">
        <v>2807</v>
      </c>
      <c r="EQ49" s="1" t="s">
        <v>1782</v>
      </c>
      <c r="ER49" s="1" t="s">
        <v>1802</v>
      </c>
      <c r="ES49" s="1" t="s">
        <v>1802</v>
      </c>
      <c r="ET49" s="1" t="s">
        <v>1802</v>
      </c>
      <c r="EU49" s="1" t="s">
        <v>1802</v>
      </c>
      <c r="EV49" s="1" t="s">
        <v>1802</v>
      </c>
      <c r="EW49" s="1" t="s">
        <v>1802</v>
      </c>
      <c r="EX49" s="1" t="s">
        <v>1802</v>
      </c>
      <c r="EY49" s="1" t="s">
        <v>1802</v>
      </c>
      <c r="EZ49" s="1" t="s">
        <v>1802</v>
      </c>
      <c r="FA49" s="1" t="s">
        <v>1802</v>
      </c>
      <c r="FB49" s="1" t="s">
        <v>1802</v>
      </c>
      <c r="FC49" s="1" t="s">
        <v>1802</v>
      </c>
      <c r="FD49" s="1" t="s">
        <v>1802</v>
      </c>
      <c r="FE49" s="1" t="s">
        <v>1802</v>
      </c>
      <c r="FF49" s="1" t="s">
        <v>1802</v>
      </c>
      <c r="FG49" s="1" t="s">
        <v>1802</v>
      </c>
      <c r="FH49" s="1" t="s">
        <v>1802</v>
      </c>
      <c r="FI49" s="1" t="s">
        <v>1802</v>
      </c>
      <c r="FJ49" s="1" t="s">
        <v>1802</v>
      </c>
      <c r="FK49" s="1" t="s">
        <v>1802</v>
      </c>
      <c r="FL49" s="1" t="s">
        <v>1802</v>
      </c>
      <c r="FM49" s="1" t="s">
        <v>1802</v>
      </c>
      <c r="FN49" s="1" t="s">
        <v>1802</v>
      </c>
      <c r="FO49" s="1" t="s">
        <v>1802</v>
      </c>
      <c r="FP49" s="1" t="s">
        <v>1802</v>
      </c>
      <c r="FQ49" s="1" t="s">
        <v>1802</v>
      </c>
      <c r="FR49" s="2"/>
      <c r="FS49" s="1" t="s">
        <v>1802</v>
      </c>
    </row>
    <row r="50" spans="1:175" x14ac:dyDescent="0.3">
      <c r="A50" s="1" t="s">
        <v>2808</v>
      </c>
      <c r="B50" s="1" t="s">
        <v>1739</v>
      </c>
      <c r="C50" s="1" t="s">
        <v>917</v>
      </c>
      <c r="D50" s="1" t="s">
        <v>1740</v>
      </c>
      <c r="E50" s="1" t="s">
        <v>2452</v>
      </c>
      <c r="F50" s="1" t="s">
        <v>2809</v>
      </c>
      <c r="G50" s="1" t="s">
        <v>2809</v>
      </c>
      <c r="H50" s="1" t="s">
        <v>1915</v>
      </c>
      <c r="I50" s="1" t="s">
        <v>1744</v>
      </c>
      <c r="J50" s="1" t="s">
        <v>1745</v>
      </c>
      <c r="K50" s="1" t="s">
        <v>1746</v>
      </c>
      <c r="L50" s="1" t="s">
        <v>1747</v>
      </c>
      <c r="M50" s="1" t="s">
        <v>1748</v>
      </c>
      <c r="N50" s="1" t="s">
        <v>1749</v>
      </c>
      <c r="O50" s="1" t="s">
        <v>1750</v>
      </c>
      <c r="P50" s="1" t="s">
        <v>1751</v>
      </c>
      <c r="Q50">
        <v>49</v>
      </c>
      <c r="R50" s="1" t="s">
        <v>1752</v>
      </c>
      <c r="S50" s="1" t="s">
        <v>1753</v>
      </c>
      <c r="T50" s="1" t="s">
        <v>1754</v>
      </c>
      <c r="U50" s="1" t="s">
        <v>1755</v>
      </c>
      <c r="V50" s="1" t="s">
        <v>1756</v>
      </c>
      <c r="W50">
        <v>72</v>
      </c>
      <c r="X50">
        <v>72</v>
      </c>
      <c r="Y50" s="1" t="s">
        <v>1757</v>
      </c>
      <c r="Z50" s="2">
        <v>36999</v>
      </c>
      <c r="AA50" s="1" t="s">
        <v>2810</v>
      </c>
      <c r="AB50" s="1" t="s">
        <v>1755</v>
      </c>
      <c r="AC50" s="1" t="s">
        <v>2811</v>
      </c>
      <c r="AD50" s="1" t="s">
        <v>424</v>
      </c>
      <c r="AE50" s="1" t="s">
        <v>1760</v>
      </c>
      <c r="AF50" s="1" t="s">
        <v>1761</v>
      </c>
      <c r="AG50" s="1" t="s">
        <v>1762</v>
      </c>
      <c r="AH50" s="1" t="s">
        <v>2810</v>
      </c>
      <c r="AI50" s="1" t="s">
        <v>2810</v>
      </c>
      <c r="AJ50" s="1" t="s">
        <v>1763</v>
      </c>
      <c r="AK50" s="1" t="s">
        <v>1763</v>
      </c>
      <c r="AL50" s="1" t="s">
        <v>1763</v>
      </c>
      <c r="AM50" s="1" t="s">
        <v>2811</v>
      </c>
      <c r="AN50" s="1" t="s">
        <v>424</v>
      </c>
      <c r="AO50" s="1" t="s">
        <v>2812</v>
      </c>
      <c r="AP50" s="1" t="s">
        <v>1765</v>
      </c>
      <c r="AQ50" s="1" t="s">
        <v>1766</v>
      </c>
      <c r="AR50" s="1" t="s">
        <v>1767</v>
      </c>
      <c r="AS50" s="1" t="s">
        <v>1768</v>
      </c>
      <c r="AT50">
        <v>2010150922131390</v>
      </c>
      <c r="AU50" s="1" t="s">
        <v>1769</v>
      </c>
      <c r="AV50">
        <v>222092212708</v>
      </c>
      <c r="AW50" s="1" t="s">
        <v>1770</v>
      </c>
      <c r="AX50" s="1" t="s">
        <v>1765</v>
      </c>
      <c r="AY50" s="1" t="s">
        <v>2813</v>
      </c>
      <c r="AZ50" s="1" t="s">
        <v>1897</v>
      </c>
      <c r="BA50" s="1" t="s">
        <v>2814</v>
      </c>
      <c r="BB50">
        <v>554</v>
      </c>
      <c r="BC50" s="1" t="s">
        <v>1774</v>
      </c>
      <c r="BD50" s="1" t="s">
        <v>1775</v>
      </c>
      <c r="BE50" s="1" t="s">
        <v>1776</v>
      </c>
      <c r="BF50" s="1" t="s">
        <v>1777</v>
      </c>
      <c r="BG50" s="1" t="s">
        <v>1778</v>
      </c>
      <c r="BH50" s="1" t="s">
        <v>1779</v>
      </c>
      <c r="BI50" s="1" t="s">
        <v>1779</v>
      </c>
      <c r="BJ50" s="1" t="s">
        <v>1780</v>
      </c>
      <c r="BK50" s="1" t="s">
        <v>1781</v>
      </c>
      <c r="BL50" s="1" t="s">
        <v>1754</v>
      </c>
      <c r="BM50" s="1" t="s">
        <v>1782</v>
      </c>
      <c r="BN50" s="1" t="s">
        <v>1783</v>
      </c>
      <c r="BO50" s="1" t="s">
        <v>1794</v>
      </c>
      <c r="BP50" s="1" t="s">
        <v>1795</v>
      </c>
      <c r="BQ50" s="1" t="s">
        <v>1796</v>
      </c>
      <c r="BR50" s="1" t="s">
        <v>1797</v>
      </c>
      <c r="BS50" s="1" t="s">
        <v>1798</v>
      </c>
      <c r="BT50" s="1" t="s">
        <v>1799</v>
      </c>
      <c r="BU50" s="1" t="s">
        <v>1800</v>
      </c>
      <c r="BV50" s="1" t="s">
        <v>1794</v>
      </c>
      <c r="BW50" s="1" t="s">
        <v>1801</v>
      </c>
      <c r="BX50" s="1" t="s">
        <v>1794</v>
      </c>
      <c r="BY50" s="1" t="s">
        <v>1802</v>
      </c>
      <c r="BZ50" s="1" t="s">
        <v>1803</v>
      </c>
      <c r="CA50" s="1" t="s">
        <v>1804</v>
      </c>
      <c r="CB50" s="1" t="s">
        <v>1805</v>
      </c>
      <c r="CC50" s="1" t="s">
        <v>1794</v>
      </c>
      <c r="CD50" s="1" t="s">
        <v>1806</v>
      </c>
      <c r="CE50" s="1" t="s">
        <v>1807</v>
      </c>
      <c r="CF50" s="1" t="s">
        <v>1808</v>
      </c>
      <c r="CG50" s="1" t="s">
        <v>1809</v>
      </c>
      <c r="CH50" s="1" t="s">
        <v>1810</v>
      </c>
      <c r="CI50" s="1" t="s">
        <v>1811</v>
      </c>
      <c r="CJ50" s="1" t="s">
        <v>1812</v>
      </c>
      <c r="CK50" s="1" t="s">
        <v>1813</v>
      </c>
      <c r="CL50" s="1" t="s">
        <v>1814</v>
      </c>
      <c r="CM50" s="1" t="s">
        <v>1813</v>
      </c>
      <c r="CN50" s="1" t="s">
        <v>1813</v>
      </c>
      <c r="CO50" s="1" t="s">
        <v>1775</v>
      </c>
      <c r="CP50" s="1" t="s">
        <v>1776</v>
      </c>
      <c r="CQ50" s="1" t="s">
        <v>1752</v>
      </c>
      <c r="CR50" s="1" t="s">
        <v>1765</v>
      </c>
      <c r="CS50" s="1" t="s">
        <v>1815</v>
      </c>
      <c r="CT50" s="1" t="s">
        <v>1816</v>
      </c>
      <c r="CU50" s="1" t="s">
        <v>1817</v>
      </c>
      <c r="CV50" s="1" t="s">
        <v>1818</v>
      </c>
      <c r="CW50" s="1" t="s">
        <v>1819</v>
      </c>
      <c r="CX50" s="1" t="s">
        <v>1820</v>
      </c>
      <c r="CY50" s="1" t="s">
        <v>1821</v>
      </c>
      <c r="CZ50" s="1" t="s">
        <v>1822</v>
      </c>
      <c r="DA50" s="1" t="s">
        <v>1765</v>
      </c>
      <c r="DB50" s="1" t="s">
        <v>1765</v>
      </c>
      <c r="DC50" s="1" t="s">
        <v>1823</v>
      </c>
      <c r="DD50" s="1" t="s">
        <v>1824</v>
      </c>
      <c r="DE50" s="1" t="s">
        <v>1824</v>
      </c>
      <c r="DF50" s="1" t="s">
        <v>1765</v>
      </c>
      <c r="DG50" s="1" t="s">
        <v>1825</v>
      </c>
      <c r="DH50" s="1" t="s">
        <v>1816</v>
      </c>
      <c r="DI50" s="1" t="s">
        <v>1826</v>
      </c>
      <c r="DJ50" s="1" t="s">
        <v>2815</v>
      </c>
      <c r="DK50" s="1" t="s">
        <v>1828</v>
      </c>
      <c r="DL50" s="1" t="s">
        <v>2816</v>
      </c>
      <c r="DM50" s="1" t="s">
        <v>424</v>
      </c>
      <c r="DN50" s="1" t="s">
        <v>1752</v>
      </c>
      <c r="DO50" s="1" t="s">
        <v>218</v>
      </c>
      <c r="DP50" s="1" t="s">
        <v>892</v>
      </c>
      <c r="DQ50" s="1" t="s">
        <v>2811</v>
      </c>
      <c r="DR50" s="1" t="s">
        <v>2817</v>
      </c>
      <c r="DS50" s="1" t="s">
        <v>2817</v>
      </c>
      <c r="DT50" s="1" t="s">
        <v>2818</v>
      </c>
      <c r="DU50" s="1" t="s">
        <v>1836</v>
      </c>
      <c r="DV50" s="1" t="s">
        <v>1837</v>
      </c>
      <c r="DW50" s="1" t="s">
        <v>1838</v>
      </c>
      <c r="DX50" s="1" t="s">
        <v>1840</v>
      </c>
      <c r="DY50" s="1" t="s">
        <v>614</v>
      </c>
      <c r="DZ50" s="1" t="s">
        <v>1782</v>
      </c>
      <c r="EA50" s="1" t="s">
        <v>1802</v>
      </c>
      <c r="EB50" s="1" t="s">
        <v>1802</v>
      </c>
      <c r="EC50" s="1" t="s">
        <v>1802</v>
      </c>
      <c r="ED50" s="1" t="s">
        <v>1802</v>
      </c>
      <c r="EE50" s="1" t="s">
        <v>1802</v>
      </c>
      <c r="EF50" s="1" t="s">
        <v>1802</v>
      </c>
      <c r="EG50" s="1" t="s">
        <v>1802</v>
      </c>
      <c r="EH50" s="1" t="s">
        <v>1802</v>
      </c>
      <c r="EI50" s="1" t="s">
        <v>1802</v>
      </c>
      <c r="EJ50" s="1" t="s">
        <v>1802</v>
      </c>
      <c r="EK50" s="1" t="s">
        <v>1802</v>
      </c>
      <c r="EL50" s="1" t="s">
        <v>1802</v>
      </c>
      <c r="EM50" s="1" t="s">
        <v>1802</v>
      </c>
      <c r="EN50" s="1" t="s">
        <v>1802</v>
      </c>
      <c r="EO50" s="1" t="s">
        <v>1802</v>
      </c>
      <c r="EP50" s="1" t="s">
        <v>1802</v>
      </c>
      <c r="EQ50" s="1" t="s">
        <v>1802</v>
      </c>
      <c r="ER50" s="1" t="s">
        <v>1802</v>
      </c>
      <c r="ES50" s="1" t="s">
        <v>1802</v>
      </c>
      <c r="ET50" s="1" t="s">
        <v>1802</v>
      </c>
      <c r="EU50" s="1" t="s">
        <v>1802</v>
      </c>
      <c r="EV50" s="1" t="s">
        <v>1802</v>
      </c>
      <c r="EW50" s="1" t="s">
        <v>1802</v>
      </c>
      <c r="EX50" s="1" t="s">
        <v>1802</v>
      </c>
      <c r="EY50" s="1" t="s">
        <v>1802</v>
      </c>
      <c r="EZ50" s="1" t="s">
        <v>1802</v>
      </c>
      <c r="FA50" s="1" t="s">
        <v>1802</v>
      </c>
      <c r="FB50" s="1" t="s">
        <v>1802</v>
      </c>
      <c r="FC50" s="1" t="s">
        <v>1802</v>
      </c>
      <c r="FD50" s="1" t="s">
        <v>1802</v>
      </c>
      <c r="FE50" s="1" t="s">
        <v>1802</v>
      </c>
      <c r="FF50" s="1" t="s">
        <v>1802</v>
      </c>
      <c r="FG50" s="1" t="s">
        <v>1802</v>
      </c>
      <c r="FH50" s="1" t="s">
        <v>1802</v>
      </c>
      <c r="FI50" s="1" t="s">
        <v>1802</v>
      </c>
      <c r="FJ50" s="1" t="s">
        <v>1802</v>
      </c>
      <c r="FK50" s="1" t="s">
        <v>1802</v>
      </c>
      <c r="FL50" s="1" t="s">
        <v>1802</v>
      </c>
      <c r="FM50" s="1" t="s">
        <v>1802</v>
      </c>
      <c r="FN50" s="1" t="s">
        <v>1802</v>
      </c>
      <c r="FO50" s="1" t="s">
        <v>1802</v>
      </c>
      <c r="FP50" s="1" t="s">
        <v>1802</v>
      </c>
      <c r="FQ50" s="1" t="s">
        <v>1802</v>
      </c>
      <c r="FR50" s="2"/>
      <c r="FS50" s="1" t="s">
        <v>1802</v>
      </c>
    </row>
    <row r="51" spans="1:175" x14ac:dyDescent="0.3">
      <c r="A51" s="1" t="s">
        <v>2819</v>
      </c>
      <c r="B51" s="1" t="s">
        <v>1739</v>
      </c>
      <c r="C51" s="1" t="s">
        <v>938</v>
      </c>
      <c r="D51" s="1" t="s">
        <v>1740</v>
      </c>
      <c r="E51" s="1" t="s">
        <v>2492</v>
      </c>
      <c r="F51" s="1" t="s">
        <v>2820</v>
      </c>
      <c r="G51" s="1" t="s">
        <v>2820</v>
      </c>
      <c r="H51" s="1" t="s">
        <v>2821</v>
      </c>
      <c r="I51" s="1" t="s">
        <v>1744</v>
      </c>
      <c r="J51" s="1" t="s">
        <v>1745</v>
      </c>
      <c r="K51" s="1" t="s">
        <v>1746</v>
      </c>
      <c r="L51" s="1" t="s">
        <v>1747</v>
      </c>
      <c r="M51" s="1" t="s">
        <v>1748</v>
      </c>
      <c r="N51" s="1" t="s">
        <v>1749</v>
      </c>
      <c r="O51" s="1" t="s">
        <v>1750</v>
      </c>
      <c r="P51" s="1" t="s">
        <v>1751</v>
      </c>
      <c r="Q51">
        <v>49</v>
      </c>
      <c r="R51" s="1" t="s">
        <v>1752</v>
      </c>
      <c r="S51" s="1" t="s">
        <v>1753</v>
      </c>
      <c r="T51" s="1" t="s">
        <v>1754</v>
      </c>
      <c r="U51" s="1" t="s">
        <v>1755</v>
      </c>
      <c r="V51" s="1" t="s">
        <v>1756</v>
      </c>
      <c r="W51">
        <v>72</v>
      </c>
      <c r="X51">
        <v>72</v>
      </c>
      <c r="Y51" s="1" t="s">
        <v>1757</v>
      </c>
      <c r="Z51" s="2">
        <v>36999</v>
      </c>
      <c r="AA51" s="1" t="s">
        <v>2822</v>
      </c>
      <c r="AB51" s="1" t="s">
        <v>1755</v>
      </c>
      <c r="AC51" s="1" t="s">
        <v>2823</v>
      </c>
      <c r="AD51" s="1" t="s">
        <v>424</v>
      </c>
      <c r="AE51" s="1" t="s">
        <v>1760</v>
      </c>
      <c r="AF51" s="1" t="s">
        <v>1761</v>
      </c>
      <c r="AG51" s="1" t="s">
        <v>1762</v>
      </c>
      <c r="AH51" s="1" t="s">
        <v>2822</v>
      </c>
      <c r="AI51" s="1" t="s">
        <v>2822</v>
      </c>
      <c r="AJ51" s="1" t="s">
        <v>1763</v>
      </c>
      <c r="AK51" s="1" t="s">
        <v>1763</v>
      </c>
      <c r="AL51" s="1" t="s">
        <v>1763</v>
      </c>
      <c r="AM51" s="1" t="s">
        <v>2823</v>
      </c>
      <c r="AN51" s="1" t="s">
        <v>424</v>
      </c>
      <c r="AO51" s="1" t="s">
        <v>2824</v>
      </c>
      <c r="AP51" s="1" t="s">
        <v>1765</v>
      </c>
      <c r="AQ51" s="1" t="s">
        <v>1766</v>
      </c>
      <c r="AR51" s="1" t="s">
        <v>1767</v>
      </c>
      <c r="AS51" s="1" t="s">
        <v>1768</v>
      </c>
      <c r="AT51">
        <v>2010150922131390</v>
      </c>
      <c r="AU51" s="1" t="s">
        <v>1769</v>
      </c>
      <c r="AV51">
        <v>223860341916</v>
      </c>
      <c r="AW51" s="1" t="s">
        <v>1770</v>
      </c>
      <c r="AX51" s="1" t="s">
        <v>1765</v>
      </c>
      <c r="AY51" s="1" t="s">
        <v>2825</v>
      </c>
      <c r="AZ51" s="1" t="s">
        <v>1897</v>
      </c>
      <c r="BA51" s="1" t="s">
        <v>1858</v>
      </c>
      <c r="BB51">
        <v>255</v>
      </c>
      <c r="BC51" s="1" t="s">
        <v>1774</v>
      </c>
      <c r="BD51" s="1" t="s">
        <v>1775</v>
      </c>
      <c r="BE51" s="1" t="s">
        <v>1776</v>
      </c>
      <c r="BF51" s="1" t="s">
        <v>1777</v>
      </c>
      <c r="BG51" s="1" t="s">
        <v>1778</v>
      </c>
      <c r="BH51" s="1" t="s">
        <v>1779</v>
      </c>
      <c r="BI51" s="1" t="s">
        <v>1779</v>
      </c>
      <c r="BJ51" s="1" t="s">
        <v>1780</v>
      </c>
      <c r="BK51" s="1" t="s">
        <v>1781</v>
      </c>
      <c r="BL51" s="1" t="s">
        <v>1754</v>
      </c>
      <c r="BM51" s="1" t="s">
        <v>1782</v>
      </c>
      <c r="BN51" s="1" t="s">
        <v>1783</v>
      </c>
      <c r="BO51" s="1" t="s">
        <v>1794</v>
      </c>
      <c r="BP51" s="1" t="s">
        <v>1795</v>
      </c>
      <c r="BQ51" s="1" t="s">
        <v>1796</v>
      </c>
      <c r="BR51" s="1" t="s">
        <v>1797</v>
      </c>
      <c r="BS51" s="1" t="s">
        <v>1798</v>
      </c>
      <c r="BT51" s="1" t="s">
        <v>1799</v>
      </c>
      <c r="BU51" s="1" t="s">
        <v>1800</v>
      </c>
      <c r="BV51" s="1" t="s">
        <v>1794</v>
      </c>
      <c r="BW51" s="1" t="s">
        <v>1801</v>
      </c>
      <c r="BX51" s="1" t="s">
        <v>1794</v>
      </c>
      <c r="BY51" s="1" t="s">
        <v>1802</v>
      </c>
      <c r="BZ51" s="1" t="s">
        <v>1803</v>
      </c>
      <c r="CA51" s="1" t="s">
        <v>1804</v>
      </c>
      <c r="CB51" s="1" t="s">
        <v>1805</v>
      </c>
      <c r="CC51" s="1" t="s">
        <v>1794</v>
      </c>
      <c r="CD51" s="1" t="s">
        <v>1806</v>
      </c>
      <c r="CE51" s="1" t="s">
        <v>1807</v>
      </c>
      <c r="CF51" s="1" t="s">
        <v>1808</v>
      </c>
      <c r="CG51" s="1" t="s">
        <v>1809</v>
      </c>
      <c r="CH51" s="1" t="s">
        <v>1810</v>
      </c>
      <c r="CI51" s="1" t="s">
        <v>1811</v>
      </c>
      <c r="CJ51" s="1" t="s">
        <v>1812</v>
      </c>
      <c r="CK51" s="1" t="s">
        <v>1813</v>
      </c>
      <c r="CL51" s="1" t="s">
        <v>1814</v>
      </c>
      <c r="CM51" s="1" t="s">
        <v>1813</v>
      </c>
      <c r="CN51" s="1" t="s">
        <v>1813</v>
      </c>
      <c r="CO51" s="1" t="s">
        <v>1775</v>
      </c>
      <c r="CP51" s="1" t="s">
        <v>1776</v>
      </c>
      <c r="CQ51" s="1" t="s">
        <v>1752</v>
      </c>
      <c r="CR51" s="1" t="s">
        <v>1765</v>
      </c>
      <c r="CS51" s="1" t="s">
        <v>1815</v>
      </c>
      <c r="CT51" s="1" t="s">
        <v>1816</v>
      </c>
      <c r="CU51" s="1" t="s">
        <v>1817</v>
      </c>
      <c r="CV51" s="1" t="s">
        <v>1818</v>
      </c>
      <c r="CW51" s="1" t="s">
        <v>1819</v>
      </c>
      <c r="CX51" s="1" t="s">
        <v>1820</v>
      </c>
      <c r="CY51" s="1" t="s">
        <v>1821</v>
      </c>
      <c r="CZ51" s="1" t="s">
        <v>1822</v>
      </c>
      <c r="DA51" s="1" t="s">
        <v>1765</v>
      </c>
      <c r="DB51" s="1" t="s">
        <v>1765</v>
      </c>
      <c r="DC51" s="1" t="s">
        <v>1823</v>
      </c>
      <c r="DD51" s="1" t="s">
        <v>1824</v>
      </c>
      <c r="DE51" s="1" t="s">
        <v>1824</v>
      </c>
      <c r="DF51" s="1" t="s">
        <v>1765</v>
      </c>
      <c r="DG51" s="1" t="s">
        <v>1825</v>
      </c>
      <c r="DH51" s="1" t="s">
        <v>1816</v>
      </c>
      <c r="DI51" s="1" t="s">
        <v>1826</v>
      </c>
      <c r="DJ51" s="1" t="s">
        <v>2826</v>
      </c>
      <c r="DK51" s="1" t="s">
        <v>1828</v>
      </c>
      <c r="DL51" s="1" t="s">
        <v>2827</v>
      </c>
      <c r="DM51" s="1" t="s">
        <v>424</v>
      </c>
      <c r="DN51" s="1" t="s">
        <v>1752</v>
      </c>
      <c r="DO51" s="1" t="s">
        <v>218</v>
      </c>
      <c r="DP51" s="1" t="s">
        <v>892</v>
      </c>
      <c r="DQ51" s="1" t="s">
        <v>2823</v>
      </c>
      <c r="DR51" s="1" t="s">
        <v>2828</v>
      </c>
      <c r="DS51" s="1" t="s">
        <v>2828</v>
      </c>
      <c r="DT51" s="1" t="s">
        <v>2829</v>
      </c>
      <c r="DU51" s="1" t="s">
        <v>1836</v>
      </c>
      <c r="DV51" s="1" t="s">
        <v>1837</v>
      </c>
      <c r="DW51" s="1" t="s">
        <v>1838</v>
      </c>
      <c r="DX51" s="1" t="s">
        <v>1840</v>
      </c>
      <c r="DY51" s="1" t="s">
        <v>710</v>
      </c>
      <c r="DZ51" s="1" t="s">
        <v>1782</v>
      </c>
      <c r="EA51" s="1" t="s">
        <v>1802</v>
      </c>
      <c r="EB51" s="1" t="s">
        <v>1802</v>
      </c>
      <c r="EC51" s="1" t="s">
        <v>1802</v>
      </c>
      <c r="ED51" s="1" t="s">
        <v>1802</v>
      </c>
      <c r="EE51" s="1" t="s">
        <v>1802</v>
      </c>
      <c r="EF51" s="1" t="s">
        <v>1802</v>
      </c>
      <c r="EG51" s="1" t="s">
        <v>1802</v>
      </c>
      <c r="EH51" s="1" t="s">
        <v>1802</v>
      </c>
      <c r="EI51" s="1" t="s">
        <v>1802</v>
      </c>
      <c r="EJ51" s="1" t="s">
        <v>1802</v>
      </c>
      <c r="EK51" s="1" t="s">
        <v>1802</v>
      </c>
      <c r="EL51" s="1" t="s">
        <v>1802</v>
      </c>
      <c r="EM51" s="1" t="s">
        <v>1802</v>
      </c>
      <c r="EN51" s="1" t="s">
        <v>1802</v>
      </c>
      <c r="EO51" s="1" t="s">
        <v>1802</v>
      </c>
      <c r="EP51" s="1" t="s">
        <v>1802</v>
      </c>
      <c r="EQ51" s="1" t="s">
        <v>1802</v>
      </c>
      <c r="ER51" s="1" t="s">
        <v>1802</v>
      </c>
      <c r="ES51" s="1" t="s">
        <v>1802</v>
      </c>
      <c r="ET51" s="1" t="s">
        <v>1802</v>
      </c>
      <c r="EU51" s="1" t="s">
        <v>1802</v>
      </c>
      <c r="EV51" s="1" t="s">
        <v>1802</v>
      </c>
      <c r="EW51" s="1" t="s">
        <v>1802</v>
      </c>
      <c r="EX51" s="1" t="s">
        <v>1802</v>
      </c>
      <c r="EY51" s="1" t="s">
        <v>1802</v>
      </c>
      <c r="EZ51" s="1" t="s">
        <v>1802</v>
      </c>
      <c r="FA51" s="1" t="s">
        <v>1802</v>
      </c>
      <c r="FB51" s="1" t="s">
        <v>1802</v>
      </c>
      <c r="FC51" s="1" t="s">
        <v>1802</v>
      </c>
      <c r="FD51" s="1" t="s">
        <v>1802</v>
      </c>
      <c r="FE51" s="1" t="s">
        <v>1802</v>
      </c>
      <c r="FF51" s="1" t="s">
        <v>1802</v>
      </c>
      <c r="FG51" s="1" t="s">
        <v>1802</v>
      </c>
      <c r="FH51" s="1" t="s">
        <v>1802</v>
      </c>
      <c r="FI51" s="1" t="s">
        <v>1802</v>
      </c>
      <c r="FJ51" s="1" t="s">
        <v>1802</v>
      </c>
      <c r="FK51" s="1" t="s">
        <v>1802</v>
      </c>
      <c r="FL51" s="1" t="s">
        <v>1802</v>
      </c>
      <c r="FM51" s="1" t="s">
        <v>1802</v>
      </c>
      <c r="FN51" s="1" t="s">
        <v>1802</v>
      </c>
      <c r="FO51" s="1" t="s">
        <v>1802</v>
      </c>
      <c r="FP51" s="1" t="s">
        <v>1802</v>
      </c>
      <c r="FQ51" s="1" t="s">
        <v>1802</v>
      </c>
      <c r="FR51" s="2"/>
      <c r="FS51" s="1" t="s">
        <v>1802</v>
      </c>
    </row>
    <row r="52" spans="1:175" x14ac:dyDescent="0.3">
      <c r="A52" s="1" t="s">
        <v>2830</v>
      </c>
      <c r="B52" s="1" t="s">
        <v>1739</v>
      </c>
      <c r="C52" s="1" t="s">
        <v>952</v>
      </c>
      <c r="D52" s="1" t="s">
        <v>1740</v>
      </c>
      <c r="E52" s="1" t="s">
        <v>2452</v>
      </c>
      <c r="F52" s="1" t="s">
        <v>2831</v>
      </c>
      <c r="G52" s="1" t="s">
        <v>2831</v>
      </c>
      <c r="H52" s="1" t="s">
        <v>2832</v>
      </c>
      <c r="I52" s="1" t="s">
        <v>1744</v>
      </c>
      <c r="J52" s="1" t="s">
        <v>1745</v>
      </c>
      <c r="K52" s="1" t="s">
        <v>1746</v>
      </c>
      <c r="L52" s="1" t="s">
        <v>1747</v>
      </c>
      <c r="M52" s="1" t="s">
        <v>1748</v>
      </c>
      <c r="N52" s="1" t="s">
        <v>1749</v>
      </c>
      <c r="O52" s="1" t="s">
        <v>1750</v>
      </c>
      <c r="P52" s="1" t="s">
        <v>1751</v>
      </c>
      <c r="Q52">
        <v>49</v>
      </c>
      <c r="R52" s="1" t="s">
        <v>1752</v>
      </c>
      <c r="S52" s="1" t="s">
        <v>1753</v>
      </c>
      <c r="T52" s="1" t="s">
        <v>1754</v>
      </c>
      <c r="U52" s="1" t="s">
        <v>1755</v>
      </c>
      <c r="V52" s="1" t="s">
        <v>1756</v>
      </c>
      <c r="W52">
        <v>72</v>
      </c>
      <c r="X52">
        <v>72</v>
      </c>
      <c r="Y52" s="1" t="s">
        <v>1757</v>
      </c>
      <c r="Z52" s="2">
        <v>36999</v>
      </c>
      <c r="AA52" s="1" t="s">
        <v>2833</v>
      </c>
      <c r="AB52" s="1" t="s">
        <v>1755</v>
      </c>
      <c r="AC52" s="1" t="s">
        <v>2834</v>
      </c>
      <c r="AD52" s="1" t="s">
        <v>424</v>
      </c>
      <c r="AE52" s="1" t="s">
        <v>1760</v>
      </c>
      <c r="AF52" s="1" t="s">
        <v>1761</v>
      </c>
      <c r="AG52" s="1" t="s">
        <v>1762</v>
      </c>
      <c r="AH52" s="1" t="s">
        <v>2833</v>
      </c>
      <c r="AI52" s="1" t="s">
        <v>2833</v>
      </c>
      <c r="AJ52" s="1" t="s">
        <v>1763</v>
      </c>
      <c r="AK52" s="1" t="s">
        <v>1763</v>
      </c>
      <c r="AL52" s="1" t="s">
        <v>1763</v>
      </c>
      <c r="AM52" s="1" t="s">
        <v>2834</v>
      </c>
      <c r="AN52" s="1" t="s">
        <v>424</v>
      </c>
      <c r="AO52" s="1" t="s">
        <v>2835</v>
      </c>
      <c r="AP52" s="1" t="s">
        <v>1765</v>
      </c>
      <c r="AQ52" s="1" t="s">
        <v>1766</v>
      </c>
      <c r="AR52" s="1" t="s">
        <v>1767</v>
      </c>
      <c r="AS52" s="1" t="s">
        <v>1768</v>
      </c>
      <c r="AT52">
        <v>2010150922131390</v>
      </c>
      <c r="AU52" s="1" t="s">
        <v>1769</v>
      </c>
      <c r="AV52">
        <v>1794614474750</v>
      </c>
      <c r="AW52" s="1" t="s">
        <v>1770</v>
      </c>
      <c r="AX52" s="1" t="s">
        <v>1765</v>
      </c>
      <c r="AY52" s="1" t="s">
        <v>2836</v>
      </c>
      <c r="AZ52" s="1" t="s">
        <v>1897</v>
      </c>
      <c r="BA52" s="1" t="s">
        <v>2837</v>
      </c>
      <c r="BB52">
        <v>940</v>
      </c>
      <c r="BC52" s="1" t="s">
        <v>1774</v>
      </c>
      <c r="BD52" s="1" t="s">
        <v>1775</v>
      </c>
      <c r="BE52" s="1" t="s">
        <v>1776</v>
      </c>
      <c r="BF52" s="1" t="s">
        <v>1777</v>
      </c>
      <c r="BG52" s="1" t="s">
        <v>1778</v>
      </c>
      <c r="BH52" s="1" t="s">
        <v>1779</v>
      </c>
      <c r="BI52" s="1" t="s">
        <v>1779</v>
      </c>
      <c r="BJ52" s="1" t="s">
        <v>1780</v>
      </c>
      <c r="BK52" s="1" t="s">
        <v>1781</v>
      </c>
      <c r="BL52" s="1" t="s">
        <v>1754</v>
      </c>
      <c r="BM52" s="1" t="s">
        <v>1782</v>
      </c>
      <c r="BN52" s="1" t="s">
        <v>1783</v>
      </c>
      <c r="BO52" s="1" t="s">
        <v>1784</v>
      </c>
      <c r="BP52" s="1" t="s">
        <v>1785</v>
      </c>
      <c r="BQ52" s="1" t="s">
        <v>1786</v>
      </c>
      <c r="BR52" s="1" t="s">
        <v>2838</v>
      </c>
      <c r="BS52" s="1" t="s">
        <v>1788</v>
      </c>
      <c r="BT52" s="1" t="s">
        <v>2839</v>
      </c>
      <c r="BU52" s="1" t="s">
        <v>1790</v>
      </c>
      <c r="BV52" s="1" t="s">
        <v>2840</v>
      </c>
      <c r="BW52" s="1" t="s">
        <v>1790</v>
      </c>
      <c r="BX52" s="1" t="s">
        <v>2840</v>
      </c>
      <c r="BY52" s="1" t="s">
        <v>2588</v>
      </c>
      <c r="BZ52" s="1" t="s">
        <v>2144</v>
      </c>
      <c r="CA52" s="1" t="s">
        <v>1794</v>
      </c>
      <c r="CB52" s="1" t="s">
        <v>1795</v>
      </c>
      <c r="CC52" s="1" t="s">
        <v>1796</v>
      </c>
      <c r="CD52" s="1" t="s">
        <v>1797</v>
      </c>
      <c r="CE52" s="1" t="s">
        <v>1798</v>
      </c>
      <c r="CF52" s="1" t="s">
        <v>1799</v>
      </c>
      <c r="CG52" s="1" t="s">
        <v>1800</v>
      </c>
      <c r="CH52" s="1" t="s">
        <v>1794</v>
      </c>
      <c r="CI52" s="1" t="s">
        <v>1801</v>
      </c>
      <c r="CJ52" s="1" t="s">
        <v>1794</v>
      </c>
      <c r="CK52" s="1" t="s">
        <v>1802</v>
      </c>
      <c r="CL52" s="1" t="s">
        <v>1803</v>
      </c>
      <c r="CM52" s="1" t="s">
        <v>1804</v>
      </c>
      <c r="CN52" s="1" t="s">
        <v>1805</v>
      </c>
      <c r="CO52" s="1" t="s">
        <v>1794</v>
      </c>
      <c r="CP52" s="1" t="s">
        <v>1806</v>
      </c>
      <c r="CQ52" s="1" t="s">
        <v>1807</v>
      </c>
      <c r="CR52" s="1" t="s">
        <v>1808</v>
      </c>
      <c r="CS52" s="1" t="s">
        <v>1809</v>
      </c>
      <c r="CT52" s="1" t="s">
        <v>1810</v>
      </c>
      <c r="CU52" s="1" t="s">
        <v>1811</v>
      </c>
      <c r="CV52" s="1" t="s">
        <v>1812</v>
      </c>
      <c r="CW52" s="1" t="s">
        <v>1813</v>
      </c>
      <c r="CX52" s="1" t="s">
        <v>1814</v>
      </c>
      <c r="CY52" s="1" t="s">
        <v>1813</v>
      </c>
      <c r="CZ52" s="1" t="s">
        <v>1813</v>
      </c>
      <c r="DA52" s="1" t="s">
        <v>1775</v>
      </c>
      <c r="DB52" s="1" t="s">
        <v>1776</v>
      </c>
      <c r="DC52" s="1" t="s">
        <v>1752</v>
      </c>
      <c r="DD52" s="1" t="s">
        <v>1765</v>
      </c>
      <c r="DE52" s="1" t="s">
        <v>1815</v>
      </c>
      <c r="DF52" s="1" t="s">
        <v>1816</v>
      </c>
      <c r="DG52" s="1" t="s">
        <v>1817</v>
      </c>
      <c r="DH52" s="1" t="s">
        <v>1818</v>
      </c>
      <c r="DI52" s="1" t="s">
        <v>1819</v>
      </c>
      <c r="DJ52" s="1" t="s">
        <v>1820</v>
      </c>
      <c r="DK52" s="1" t="s">
        <v>1821</v>
      </c>
      <c r="DL52" s="1" t="s">
        <v>1822</v>
      </c>
      <c r="DM52" s="1" t="s">
        <v>1765</v>
      </c>
      <c r="DN52" s="1" t="s">
        <v>1765</v>
      </c>
      <c r="DO52" s="1" t="s">
        <v>1823</v>
      </c>
      <c r="DP52" s="1" t="s">
        <v>1824</v>
      </c>
      <c r="DQ52" s="1" t="s">
        <v>1824</v>
      </c>
      <c r="DR52" s="1" t="s">
        <v>1765</v>
      </c>
      <c r="DS52" s="1" t="s">
        <v>1825</v>
      </c>
      <c r="DT52" s="1" t="s">
        <v>1816</v>
      </c>
      <c r="DU52" s="1" t="s">
        <v>1826</v>
      </c>
      <c r="DV52" s="1" t="s">
        <v>2841</v>
      </c>
      <c r="DW52" s="1" t="s">
        <v>1828</v>
      </c>
      <c r="DX52" s="1" t="s">
        <v>2842</v>
      </c>
      <c r="DY52" s="1" t="s">
        <v>424</v>
      </c>
      <c r="DZ52" s="1" t="s">
        <v>1752</v>
      </c>
      <c r="EA52" s="1" t="s">
        <v>218</v>
      </c>
      <c r="EB52" s="1" t="s">
        <v>892</v>
      </c>
      <c r="EC52" s="1" t="s">
        <v>2834</v>
      </c>
      <c r="ED52" s="1" t="s">
        <v>2843</v>
      </c>
      <c r="EE52" s="1" t="s">
        <v>2843</v>
      </c>
      <c r="EF52" s="1" t="s">
        <v>2844</v>
      </c>
      <c r="EG52" s="1" t="s">
        <v>2194</v>
      </c>
      <c r="EH52" s="1" t="s">
        <v>2845</v>
      </c>
      <c r="EI52" s="1" t="s">
        <v>2573</v>
      </c>
      <c r="EJ52" s="1" t="s">
        <v>2109</v>
      </c>
      <c r="EK52" s="1" t="s">
        <v>1836</v>
      </c>
      <c r="EL52" s="1" t="s">
        <v>1837</v>
      </c>
      <c r="EM52" s="1" t="s">
        <v>1838</v>
      </c>
      <c r="EN52" s="1" t="s">
        <v>2846</v>
      </c>
      <c r="EO52" s="1" t="s">
        <v>1840</v>
      </c>
      <c r="EP52" s="1" t="s">
        <v>628</v>
      </c>
      <c r="EQ52" s="1" t="s">
        <v>1782</v>
      </c>
      <c r="ER52" s="1" t="s">
        <v>1802</v>
      </c>
      <c r="ES52" s="1" t="s">
        <v>1802</v>
      </c>
      <c r="ET52" s="1" t="s">
        <v>1802</v>
      </c>
      <c r="EU52" s="1" t="s">
        <v>1802</v>
      </c>
      <c r="EV52" s="1" t="s">
        <v>1802</v>
      </c>
      <c r="EW52" s="1" t="s">
        <v>1802</v>
      </c>
      <c r="EX52" s="1" t="s">
        <v>1802</v>
      </c>
      <c r="EY52" s="1" t="s">
        <v>1802</v>
      </c>
      <c r="EZ52" s="1" t="s">
        <v>1802</v>
      </c>
      <c r="FA52" s="1" t="s">
        <v>1802</v>
      </c>
      <c r="FB52" s="1" t="s">
        <v>1802</v>
      </c>
      <c r="FC52" s="1" t="s">
        <v>1802</v>
      </c>
      <c r="FD52" s="1" t="s">
        <v>1802</v>
      </c>
      <c r="FE52" s="1" t="s">
        <v>1802</v>
      </c>
      <c r="FF52" s="1" t="s">
        <v>1802</v>
      </c>
      <c r="FG52" s="1" t="s">
        <v>1802</v>
      </c>
      <c r="FH52" s="1" t="s">
        <v>1802</v>
      </c>
      <c r="FI52" s="1" t="s">
        <v>1802</v>
      </c>
      <c r="FJ52" s="1" t="s">
        <v>1802</v>
      </c>
      <c r="FK52" s="1" t="s">
        <v>1802</v>
      </c>
      <c r="FL52" s="1" t="s">
        <v>1802</v>
      </c>
      <c r="FM52" s="1" t="s">
        <v>1802</v>
      </c>
      <c r="FN52" s="1" t="s">
        <v>1802</v>
      </c>
      <c r="FO52" s="1" t="s">
        <v>1802</v>
      </c>
      <c r="FP52" s="1" t="s">
        <v>1802</v>
      </c>
      <c r="FQ52" s="1" t="s">
        <v>1802</v>
      </c>
      <c r="FR52" s="2"/>
      <c r="FS52" s="1" t="s">
        <v>1802</v>
      </c>
    </row>
    <row r="53" spans="1:175" x14ac:dyDescent="0.3">
      <c r="A53" s="1" t="s">
        <v>2847</v>
      </c>
      <c r="B53" s="1" t="s">
        <v>1739</v>
      </c>
      <c r="C53" s="1" t="s">
        <v>978</v>
      </c>
      <c r="D53" s="1" t="s">
        <v>1740</v>
      </c>
      <c r="E53" s="1" t="s">
        <v>2492</v>
      </c>
      <c r="F53" s="1" t="s">
        <v>2848</v>
      </c>
      <c r="G53" s="1" t="s">
        <v>2848</v>
      </c>
      <c r="H53" s="1" t="s">
        <v>1915</v>
      </c>
      <c r="I53" s="1" t="s">
        <v>1744</v>
      </c>
      <c r="J53" s="1" t="s">
        <v>1745</v>
      </c>
      <c r="K53" s="1" t="s">
        <v>1746</v>
      </c>
      <c r="L53" s="1" t="s">
        <v>1747</v>
      </c>
      <c r="M53" s="1" t="s">
        <v>1748</v>
      </c>
      <c r="N53" s="1" t="s">
        <v>1749</v>
      </c>
      <c r="O53" s="1" t="s">
        <v>1750</v>
      </c>
      <c r="P53" s="1" t="s">
        <v>1751</v>
      </c>
      <c r="Q53">
        <v>49</v>
      </c>
      <c r="R53" s="1" t="s">
        <v>1752</v>
      </c>
      <c r="S53" s="1" t="s">
        <v>1753</v>
      </c>
      <c r="T53" s="1" t="s">
        <v>1754</v>
      </c>
      <c r="U53" s="1" t="s">
        <v>1755</v>
      </c>
      <c r="V53" s="1" t="s">
        <v>1756</v>
      </c>
      <c r="W53">
        <v>72</v>
      </c>
      <c r="X53">
        <v>72</v>
      </c>
      <c r="Y53" s="1" t="s">
        <v>1757</v>
      </c>
      <c r="Z53" s="2">
        <v>36999</v>
      </c>
      <c r="AA53" s="1" t="s">
        <v>2849</v>
      </c>
      <c r="AB53" s="1" t="s">
        <v>1755</v>
      </c>
      <c r="AC53" s="1" t="s">
        <v>2850</v>
      </c>
      <c r="AD53" s="1" t="s">
        <v>424</v>
      </c>
      <c r="AE53" s="1" t="s">
        <v>1760</v>
      </c>
      <c r="AF53" s="1" t="s">
        <v>2137</v>
      </c>
      <c r="AG53" s="1" t="s">
        <v>1762</v>
      </c>
      <c r="AH53" s="1" t="s">
        <v>2849</v>
      </c>
      <c r="AI53" s="1" t="s">
        <v>2849</v>
      </c>
      <c r="AJ53" s="1" t="s">
        <v>1763</v>
      </c>
      <c r="AK53" s="1" t="s">
        <v>1763</v>
      </c>
      <c r="AL53" s="1" t="s">
        <v>1763</v>
      </c>
      <c r="AM53" s="1" t="s">
        <v>2850</v>
      </c>
      <c r="AN53" s="1" t="s">
        <v>424</v>
      </c>
      <c r="AO53" s="1" t="s">
        <v>2851</v>
      </c>
      <c r="AP53" s="1" t="s">
        <v>1765</v>
      </c>
      <c r="AQ53" s="1" t="s">
        <v>1766</v>
      </c>
      <c r="AR53" s="1" t="s">
        <v>1767</v>
      </c>
      <c r="AS53" s="1" t="s">
        <v>1768</v>
      </c>
      <c r="AT53">
        <v>2010150922131390</v>
      </c>
      <c r="AU53" s="1" t="s">
        <v>1769</v>
      </c>
      <c r="AV53">
        <v>4243152171250</v>
      </c>
      <c r="AW53" s="1" t="s">
        <v>1770</v>
      </c>
      <c r="AX53" s="1" t="s">
        <v>1765</v>
      </c>
      <c r="AY53" s="1" t="s">
        <v>2852</v>
      </c>
      <c r="AZ53" s="1" t="s">
        <v>1897</v>
      </c>
      <c r="BA53" s="1" t="s">
        <v>2853</v>
      </c>
      <c r="BB53">
        <v>237</v>
      </c>
      <c r="BC53" s="1" t="s">
        <v>1774</v>
      </c>
      <c r="BD53" s="1" t="s">
        <v>1775</v>
      </c>
      <c r="BE53" s="1" t="s">
        <v>1776</v>
      </c>
      <c r="BF53" s="1" t="s">
        <v>1777</v>
      </c>
      <c r="BG53" s="1" t="s">
        <v>1778</v>
      </c>
      <c r="BH53" s="1" t="s">
        <v>1779</v>
      </c>
      <c r="BI53" s="1" t="s">
        <v>1779</v>
      </c>
      <c r="BJ53" s="1" t="s">
        <v>1780</v>
      </c>
      <c r="BK53" s="1" t="s">
        <v>1781</v>
      </c>
      <c r="BL53" s="1" t="s">
        <v>1754</v>
      </c>
      <c r="BM53" s="1" t="s">
        <v>1782</v>
      </c>
      <c r="BN53" s="1" t="s">
        <v>1783</v>
      </c>
      <c r="BO53" s="1" t="s">
        <v>1784</v>
      </c>
      <c r="BP53" s="1" t="s">
        <v>1785</v>
      </c>
      <c r="BQ53" s="1" t="s">
        <v>1786</v>
      </c>
      <c r="BR53" s="1" t="s">
        <v>2854</v>
      </c>
      <c r="BS53" s="1" t="s">
        <v>1788</v>
      </c>
      <c r="BT53" s="1" t="s">
        <v>2855</v>
      </c>
      <c r="BU53" s="1" t="s">
        <v>1790</v>
      </c>
      <c r="BV53" s="1" t="s">
        <v>2856</v>
      </c>
      <c r="BW53" s="1" t="s">
        <v>1790</v>
      </c>
      <c r="BX53" s="1" t="s">
        <v>2856</v>
      </c>
      <c r="BY53" s="1" t="s">
        <v>2588</v>
      </c>
      <c r="BZ53" s="1" t="s">
        <v>2857</v>
      </c>
      <c r="CA53" s="1" t="s">
        <v>1794</v>
      </c>
      <c r="CB53" s="1" t="s">
        <v>1795</v>
      </c>
      <c r="CC53" s="1" t="s">
        <v>1796</v>
      </c>
      <c r="CD53" s="1" t="s">
        <v>1797</v>
      </c>
      <c r="CE53" s="1" t="s">
        <v>1798</v>
      </c>
      <c r="CF53" s="1" t="s">
        <v>1799</v>
      </c>
      <c r="CG53" s="1" t="s">
        <v>1800</v>
      </c>
      <c r="CH53" s="1" t="s">
        <v>1794</v>
      </c>
      <c r="CI53" s="1" t="s">
        <v>1801</v>
      </c>
      <c r="CJ53" s="1" t="s">
        <v>1794</v>
      </c>
      <c r="CK53" s="1" t="s">
        <v>1802</v>
      </c>
      <c r="CL53" s="1" t="s">
        <v>1803</v>
      </c>
      <c r="CM53" s="1" t="s">
        <v>1804</v>
      </c>
      <c r="CN53" s="1" t="s">
        <v>1805</v>
      </c>
      <c r="CO53" s="1" t="s">
        <v>1794</v>
      </c>
      <c r="CP53" s="1" t="s">
        <v>1806</v>
      </c>
      <c r="CQ53" s="1" t="s">
        <v>1807</v>
      </c>
      <c r="CR53" s="1" t="s">
        <v>1808</v>
      </c>
      <c r="CS53" s="1" t="s">
        <v>1809</v>
      </c>
      <c r="CT53" s="1" t="s">
        <v>1810</v>
      </c>
      <c r="CU53" s="1" t="s">
        <v>1811</v>
      </c>
      <c r="CV53" s="1" t="s">
        <v>1812</v>
      </c>
      <c r="CW53" s="1" t="s">
        <v>1813</v>
      </c>
      <c r="CX53" s="1" t="s">
        <v>1814</v>
      </c>
      <c r="CY53" s="1" t="s">
        <v>1813</v>
      </c>
      <c r="CZ53" s="1" t="s">
        <v>1813</v>
      </c>
      <c r="DA53" s="1" t="s">
        <v>1775</v>
      </c>
      <c r="DB53" s="1" t="s">
        <v>1776</v>
      </c>
      <c r="DC53" s="1" t="s">
        <v>1752</v>
      </c>
      <c r="DD53" s="1" t="s">
        <v>1765</v>
      </c>
      <c r="DE53" s="1" t="s">
        <v>1815</v>
      </c>
      <c r="DF53" s="1" t="s">
        <v>1816</v>
      </c>
      <c r="DG53" s="1" t="s">
        <v>1817</v>
      </c>
      <c r="DH53" s="1" t="s">
        <v>1818</v>
      </c>
      <c r="DI53" s="1" t="s">
        <v>1819</v>
      </c>
      <c r="DJ53" s="1" t="s">
        <v>1820</v>
      </c>
      <c r="DK53" s="1" t="s">
        <v>1821</v>
      </c>
      <c r="DL53" s="1" t="s">
        <v>1822</v>
      </c>
      <c r="DM53" s="1" t="s">
        <v>1765</v>
      </c>
      <c r="DN53" s="1" t="s">
        <v>1765</v>
      </c>
      <c r="DO53" s="1" t="s">
        <v>1823</v>
      </c>
      <c r="DP53" s="1" t="s">
        <v>1824</v>
      </c>
      <c r="DQ53" s="1" t="s">
        <v>1824</v>
      </c>
      <c r="DR53" s="1" t="s">
        <v>1765</v>
      </c>
      <c r="DS53" s="1" t="s">
        <v>1825</v>
      </c>
      <c r="DT53" s="1" t="s">
        <v>1816</v>
      </c>
      <c r="DU53" s="1" t="s">
        <v>1826</v>
      </c>
      <c r="DV53" s="1" t="s">
        <v>2858</v>
      </c>
      <c r="DW53" s="1" t="s">
        <v>1828</v>
      </c>
      <c r="DX53" s="1" t="s">
        <v>2859</v>
      </c>
      <c r="DY53" s="1" t="s">
        <v>424</v>
      </c>
      <c r="DZ53" s="1" t="s">
        <v>1752</v>
      </c>
      <c r="EA53" s="1" t="s">
        <v>218</v>
      </c>
      <c r="EB53" s="1" t="s">
        <v>892</v>
      </c>
      <c r="EC53" s="1" t="s">
        <v>2850</v>
      </c>
      <c r="ED53" s="1" t="s">
        <v>2860</v>
      </c>
      <c r="EE53" s="1" t="s">
        <v>2860</v>
      </c>
      <c r="EF53" s="1" t="s">
        <v>2861</v>
      </c>
      <c r="EG53" s="1" t="s">
        <v>2194</v>
      </c>
      <c r="EH53" s="1" t="s">
        <v>2862</v>
      </c>
      <c r="EI53" s="1" t="s">
        <v>2731</v>
      </c>
      <c r="EJ53" s="1" t="s">
        <v>1887</v>
      </c>
      <c r="EK53" s="1" t="s">
        <v>1836</v>
      </c>
      <c r="EL53" s="1" t="s">
        <v>1837</v>
      </c>
      <c r="EM53" s="1" t="s">
        <v>1838</v>
      </c>
      <c r="EN53" s="1" t="s">
        <v>2863</v>
      </c>
      <c r="EO53" s="1" t="s">
        <v>1840</v>
      </c>
      <c r="EP53" s="1" t="s">
        <v>798</v>
      </c>
      <c r="EQ53" s="1" t="s">
        <v>1782</v>
      </c>
      <c r="ER53" s="1" t="s">
        <v>1802</v>
      </c>
      <c r="ES53" s="1" t="s">
        <v>1802</v>
      </c>
      <c r="ET53" s="1" t="s">
        <v>1802</v>
      </c>
      <c r="EU53" s="1" t="s">
        <v>1802</v>
      </c>
      <c r="EV53" s="1" t="s">
        <v>1802</v>
      </c>
      <c r="EW53" s="1" t="s">
        <v>1802</v>
      </c>
      <c r="EX53" s="1" t="s">
        <v>1802</v>
      </c>
      <c r="EY53" s="1" t="s">
        <v>1802</v>
      </c>
      <c r="EZ53" s="1" t="s">
        <v>1802</v>
      </c>
      <c r="FA53" s="1" t="s">
        <v>1802</v>
      </c>
      <c r="FB53" s="1" t="s">
        <v>1802</v>
      </c>
      <c r="FC53" s="1" t="s">
        <v>1802</v>
      </c>
      <c r="FD53" s="1" t="s">
        <v>1802</v>
      </c>
      <c r="FE53" s="1" t="s">
        <v>1802</v>
      </c>
      <c r="FF53" s="1" t="s">
        <v>1802</v>
      </c>
      <c r="FG53" s="1" t="s">
        <v>1802</v>
      </c>
      <c r="FH53" s="1" t="s">
        <v>1802</v>
      </c>
      <c r="FI53" s="1" t="s">
        <v>1802</v>
      </c>
      <c r="FJ53" s="1" t="s">
        <v>1802</v>
      </c>
      <c r="FK53" s="1" t="s">
        <v>1802</v>
      </c>
      <c r="FL53" s="1" t="s">
        <v>1802</v>
      </c>
      <c r="FM53" s="1" t="s">
        <v>1802</v>
      </c>
      <c r="FN53" s="1" t="s">
        <v>1802</v>
      </c>
      <c r="FO53" s="1" t="s">
        <v>1802</v>
      </c>
      <c r="FP53" s="1" t="s">
        <v>1802</v>
      </c>
      <c r="FQ53" s="1" t="s">
        <v>1802</v>
      </c>
      <c r="FR53" s="2"/>
      <c r="FS53" s="1" t="s">
        <v>1802</v>
      </c>
    </row>
    <row r="54" spans="1:175" x14ac:dyDescent="0.3">
      <c r="A54" s="1" t="s">
        <v>2864</v>
      </c>
      <c r="B54" s="1" t="s">
        <v>1739</v>
      </c>
      <c r="C54" s="1" t="s">
        <v>1000</v>
      </c>
      <c r="D54" s="1" t="s">
        <v>1740</v>
      </c>
      <c r="E54" s="1" t="s">
        <v>2865</v>
      </c>
      <c r="F54" s="1" t="s">
        <v>2866</v>
      </c>
      <c r="G54" s="1" t="s">
        <v>2866</v>
      </c>
      <c r="H54" s="1" t="s">
        <v>2867</v>
      </c>
      <c r="I54" s="1" t="s">
        <v>1744</v>
      </c>
      <c r="J54" s="1" t="s">
        <v>1745</v>
      </c>
      <c r="K54" s="1" t="s">
        <v>1746</v>
      </c>
      <c r="L54" s="1" t="s">
        <v>1747</v>
      </c>
      <c r="M54" s="1" t="s">
        <v>1748</v>
      </c>
      <c r="N54" s="1" t="s">
        <v>1749</v>
      </c>
      <c r="O54" s="1" t="s">
        <v>1750</v>
      </c>
      <c r="P54" s="1" t="s">
        <v>1751</v>
      </c>
      <c r="Q54">
        <v>49</v>
      </c>
      <c r="R54" s="1" t="s">
        <v>1752</v>
      </c>
      <c r="S54" s="1" t="s">
        <v>1753</v>
      </c>
      <c r="T54" s="1" t="s">
        <v>1754</v>
      </c>
      <c r="U54" s="1" t="s">
        <v>1755</v>
      </c>
      <c r="V54" s="1" t="s">
        <v>1756</v>
      </c>
      <c r="W54">
        <v>72</v>
      </c>
      <c r="X54">
        <v>72</v>
      </c>
      <c r="Y54" s="1" t="s">
        <v>1757</v>
      </c>
      <c r="Z54" s="2">
        <v>36999</v>
      </c>
      <c r="AA54" s="1" t="s">
        <v>2868</v>
      </c>
      <c r="AB54" s="1" t="s">
        <v>1755</v>
      </c>
      <c r="AC54" s="1" t="s">
        <v>2869</v>
      </c>
      <c r="AD54" s="1" t="s">
        <v>424</v>
      </c>
      <c r="AE54" s="1" t="s">
        <v>1760</v>
      </c>
      <c r="AF54" s="1" t="s">
        <v>2559</v>
      </c>
      <c r="AG54" s="1" t="s">
        <v>1762</v>
      </c>
      <c r="AH54" s="1" t="s">
        <v>2868</v>
      </c>
      <c r="AI54" s="1" t="s">
        <v>2868</v>
      </c>
      <c r="AJ54" s="1" t="s">
        <v>1763</v>
      </c>
      <c r="AK54" s="1" t="s">
        <v>1763</v>
      </c>
      <c r="AL54" s="1" t="s">
        <v>1763</v>
      </c>
      <c r="AM54" s="1" t="s">
        <v>2869</v>
      </c>
      <c r="AN54" s="1" t="s">
        <v>424</v>
      </c>
      <c r="AO54" s="1" t="s">
        <v>2870</v>
      </c>
      <c r="AP54" s="1" t="s">
        <v>1765</v>
      </c>
      <c r="AQ54" s="1" t="s">
        <v>1766</v>
      </c>
      <c r="AR54" s="1" t="s">
        <v>1767</v>
      </c>
      <c r="AS54" s="1" t="s">
        <v>1768</v>
      </c>
      <c r="AT54">
        <v>2010150922131390</v>
      </c>
      <c r="AU54" s="1" t="s">
        <v>1769</v>
      </c>
      <c r="AV54">
        <v>5629253394625</v>
      </c>
      <c r="AW54" s="1" t="s">
        <v>1770</v>
      </c>
      <c r="AX54" s="1" t="s">
        <v>1765</v>
      </c>
      <c r="AY54" s="1" t="s">
        <v>2871</v>
      </c>
      <c r="AZ54" s="1" t="s">
        <v>1897</v>
      </c>
      <c r="BA54" s="1" t="s">
        <v>2872</v>
      </c>
      <c r="BB54">
        <v>704</v>
      </c>
      <c r="BC54" s="1" t="s">
        <v>1774</v>
      </c>
      <c r="BD54" s="1" t="s">
        <v>1775</v>
      </c>
      <c r="BE54" s="1" t="s">
        <v>1776</v>
      </c>
      <c r="BF54" s="1" t="s">
        <v>1777</v>
      </c>
      <c r="BG54" s="1" t="s">
        <v>1778</v>
      </c>
      <c r="BH54" s="1" t="s">
        <v>1779</v>
      </c>
      <c r="BI54" s="1" t="s">
        <v>1779</v>
      </c>
      <c r="BJ54" s="1" t="s">
        <v>1780</v>
      </c>
      <c r="BK54" s="1" t="s">
        <v>1781</v>
      </c>
      <c r="BL54" s="1" t="s">
        <v>1754</v>
      </c>
      <c r="BM54" s="1" t="s">
        <v>1782</v>
      </c>
      <c r="BN54" s="1" t="s">
        <v>1783</v>
      </c>
      <c r="BO54" s="1" t="s">
        <v>1784</v>
      </c>
      <c r="BP54" s="1" t="s">
        <v>1785</v>
      </c>
      <c r="BQ54" s="1" t="s">
        <v>1786</v>
      </c>
      <c r="BR54" s="1" t="s">
        <v>2873</v>
      </c>
      <c r="BS54" s="1" t="s">
        <v>1788</v>
      </c>
      <c r="BT54" s="1" t="s">
        <v>2874</v>
      </c>
      <c r="BU54" s="1" t="s">
        <v>1790</v>
      </c>
      <c r="BV54" s="1" t="s">
        <v>2875</v>
      </c>
      <c r="BW54" s="1" t="s">
        <v>1790</v>
      </c>
      <c r="BX54" s="1" t="s">
        <v>2875</v>
      </c>
      <c r="BY54" s="1" t="s">
        <v>2588</v>
      </c>
      <c r="BZ54" s="1" t="s">
        <v>2876</v>
      </c>
      <c r="CA54" s="1" t="s">
        <v>1794</v>
      </c>
      <c r="CB54" s="1" t="s">
        <v>1795</v>
      </c>
      <c r="CC54" s="1" t="s">
        <v>1796</v>
      </c>
      <c r="CD54" s="1" t="s">
        <v>1797</v>
      </c>
      <c r="CE54" s="1" t="s">
        <v>1798</v>
      </c>
      <c r="CF54" s="1" t="s">
        <v>1799</v>
      </c>
      <c r="CG54" s="1" t="s">
        <v>1800</v>
      </c>
      <c r="CH54" s="1" t="s">
        <v>1794</v>
      </c>
      <c r="CI54" s="1" t="s">
        <v>1801</v>
      </c>
      <c r="CJ54" s="1" t="s">
        <v>1794</v>
      </c>
      <c r="CK54" s="1" t="s">
        <v>1802</v>
      </c>
      <c r="CL54" s="1" t="s">
        <v>1803</v>
      </c>
      <c r="CM54" s="1" t="s">
        <v>1804</v>
      </c>
      <c r="CN54" s="1" t="s">
        <v>1805</v>
      </c>
      <c r="CO54" s="1" t="s">
        <v>1794</v>
      </c>
      <c r="CP54" s="1" t="s">
        <v>1806</v>
      </c>
      <c r="CQ54" s="1" t="s">
        <v>1807</v>
      </c>
      <c r="CR54" s="1" t="s">
        <v>1808</v>
      </c>
      <c r="CS54" s="1" t="s">
        <v>1809</v>
      </c>
      <c r="CT54" s="1" t="s">
        <v>1810</v>
      </c>
      <c r="CU54" s="1" t="s">
        <v>1811</v>
      </c>
      <c r="CV54" s="1" t="s">
        <v>1812</v>
      </c>
      <c r="CW54" s="1" t="s">
        <v>1813</v>
      </c>
      <c r="CX54" s="1" t="s">
        <v>1814</v>
      </c>
      <c r="CY54" s="1" t="s">
        <v>1813</v>
      </c>
      <c r="CZ54" s="1" t="s">
        <v>1813</v>
      </c>
      <c r="DA54" s="1" t="s">
        <v>1775</v>
      </c>
      <c r="DB54" s="1" t="s">
        <v>1776</v>
      </c>
      <c r="DC54" s="1" t="s">
        <v>1752</v>
      </c>
      <c r="DD54" s="1" t="s">
        <v>1765</v>
      </c>
      <c r="DE54" s="1" t="s">
        <v>1815</v>
      </c>
      <c r="DF54" s="1" t="s">
        <v>1816</v>
      </c>
      <c r="DG54" s="1" t="s">
        <v>1817</v>
      </c>
      <c r="DH54" s="1" t="s">
        <v>1818</v>
      </c>
      <c r="DI54" s="1" t="s">
        <v>1819</v>
      </c>
      <c r="DJ54" s="1" t="s">
        <v>1820</v>
      </c>
      <c r="DK54" s="1" t="s">
        <v>1821</v>
      </c>
      <c r="DL54" s="1" t="s">
        <v>1822</v>
      </c>
      <c r="DM54" s="1" t="s">
        <v>1765</v>
      </c>
      <c r="DN54" s="1" t="s">
        <v>1765</v>
      </c>
      <c r="DO54" s="1" t="s">
        <v>1823</v>
      </c>
      <c r="DP54" s="1" t="s">
        <v>1824</v>
      </c>
      <c r="DQ54" s="1" t="s">
        <v>1824</v>
      </c>
      <c r="DR54" s="1" t="s">
        <v>1765</v>
      </c>
      <c r="DS54" s="1" t="s">
        <v>1825</v>
      </c>
      <c r="DT54" s="1" t="s">
        <v>1816</v>
      </c>
      <c r="DU54" s="1" t="s">
        <v>1826</v>
      </c>
      <c r="DV54" s="1" t="s">
        <v>2877</v>
      </c>
      <c r="DW54" s="1" t="s">
        <v>2170</v>
      </c>
      <c r="DX54" s="1" t="s">
        <v>2878</v>
      </c>
      <c r="DY54" s="1" t="s">
        <v>424</v>
      </c>
      <c r="DZ54" s="1" t="s">
        <v>1752</v>
      </c>
      <c r="EA54" s="1" t="s">
        <v>218</v>
      </c>
      <c r="EB54" s="1" t="s">
        <v>892</v>
      </c>
      <c r="EC54" s="1" t="s">
        <v>2869</v>
      </c>
      <c r="ED54" s="1" t="s">
        <v>2879</v>
      </c>
      <c r="EE54" s="1" t="s">
        <v>2879</v>
      </c>
      <c r="EF54" s="1" t="s">
        <v>2880</v>
      </c>
      <c r="EG54" s="1" t="s">
        <v>2218</v>
      </c>
      <c r="EH54" s="1" t="s">
        <v>2881</v>
      </c>
      <c r="EI54" s="1" t="s">
        <v>2882</v>
      </c>
      <c r="EJ54" s="1" t="s">
        <v>2176</v>
      </c>
      <c r="EK54" s="1" t="s">
        <v>1836</v>
      </c>
      <c r="EL54" s="1" t="s">
        <v>1837</v>
      </c>
      <c r="EM54" s="1" t="s">
        <v>1838</v>
      </c>
      <c r="EN54" s="1" t="s">
        <v>2883</v>
      </c>
      <c r="EO54" s="1" t="s">
        <v>1840</v>
      </c>
      <c r="EP54" s="1" t="s">
        <v>2884</v>
      </c>
      <c r="EQ54" s="1" t="s">
        <v>1782</v>
      </c>
      <c r="ER54" s="1" t="s">
        <v>1802</v>
      </c>
      <c r="ES54" s="1" t="s">
        <v>1802</v>
      </c>
      <c r="ET54" s="1" t="s">
        <v>1802</v>
      </c>
      <c r="EU54" s="1" t="s">
        <v>1802</v>
      </c>
      <c r="EV54" s="1" t="s">
        <v>1802</v>
      </c>
      <c r="EW54" s="1" t="s">
        <v>1802</v>
      </c>
      <c r="EX54" s="1" t="s">
        <v>1802</v>
      </c>
      <c r="EY54" s="1" t="s">
        <v>1802</v>
      </c>
      <c r="EZ54" s="1" t="s">
        <v>1802</v>
      </c>
      <c r="FA54" s="1" t="s">
        <v>1802</v>
      </c>
      <c r="FB54" s="1" t="s">
        <v>1802</v>
      </c>
      <c r="FC54" s="1" t="s">
        <v>1802</v>
      </c>
      <c r="FD54" s="1" t="s">
        <v>1802</v>
      </c>
      <c r="FE54" s="1" t="s">
        <v>1802</v>
      </c>
      <c r="FF54" s="1" t="s">
        <v>1802</v>
      </c>
      <c r="FG54" s="1" t="s">
        <v>1802</v>
      </c>
      <c r="FH54" s="1" t="s">
        <v>1802</v>
      </c>
      <c r="FI54" s="1" t="s">
        <v>1802</v>
      </c>
      <c r="FJ54" s="1" t="s">
        <v>1802</v>
      </c>
      <c r="FK54" s="1" t="s">
        <v>1802</v>
      </c>
      <c r="FL54" s="1" t="s">
        <v>1802</v>
      </c>
      <c r="FM54" s="1" t="s">
        <v>1802</v>
      </c>
      <c r="FN54" s="1" t="s">
        <v>1802</v>
      </c>
      <c r="FO54" s="1" t="s">
        <v>1802</v>
      </c>
      <c r="FP54" s="1" t="s">
        <v>1802</v>
      </c>
      <c r="FQ54" s="1" t="s">
        <v>1802</v>
      </c>
      <c r="FR54" s="2"/>
      <c r="FS54" s="1" t="s">
        <v>1802</v>
      </c>
    </row>
    <row r="55" spans="1:175" x14ac:dyDescent="0.3">
      <c r="A55" s="1" t="s">
        <v>2885</v>
      </c>
      <c r="B55" s="1" t="s">
        <v>1739</v>
      </c>
      <c r="C55" s="1" t="s">
        <v>1021</v>
      </c>
      <c r="D55" s="1" t="s">
        <v>1740</v>
      </c>
      <c r="E55" s="1" t="s">
        <v>2886</v>
      </c>
      <c r="F55" s="1" t="s">
        <v>2887</v>
      </c>
      <c r="G55" s="1" t="s">
        <v>2887</v>
      </c>
      <c r="H55" s="1" t="s">
        <v>2888</v>
      </c>
      <c r="I55" s="1" t="s">
        <v>1744</v>
      </c>
      <c r="J55" s="1" t="s">
        <v>1745</v>
      </c>
      <c r="K55" s="1" t="s">
        <v>1746</v>
      </c>
      <c r="L55" s="1" t="s">
        <v>1747</v>
      </c>
      <c r="M55" s="1" t="s">
        <v>1748</v>
      </c>
      <c r="N55" s="1" t="s">
        <v>1749</v>
      </c>
      <c r="O55" s="1" t="s">
        <v>1750</v>
      </c>
      <c r="P55" s="1" t="s">
        <v>1751</v>
      </c>
      <c r="Q55">
        <v>49</v>
      </c>
      <c r="R55" s="1" t="s">
        <v>1752</v>
      </c>
      <c r="S55" s="1" t="s">
        <v>1753</v>
      </c>
      <c r="T55" s="1" t="s">
        <v>1754</v>
      </c>
      <c r="U55" s="1" t="s">
        <v>1755</v>
      </c>
      <c r="V55" s="1" t="s">
        <v>1756</v>
      </c>
      <c r="W55">
        <v>72</v>
      </c>
      <c r="X55">
        <v>72</v>
      </c>
      <c r="Y55" s="1" t="s">
        <v>1757</v>
      </c>
      <c r="Z55" s="2">
        <v>36999</v>
      </c>
      <c r="AA55" s="1" t="s">
        <v>2889</v>
      </c>
      <c r="AB55" s="1" t="s">
        <v>1755</v>
      </c>
      <c r="AC55" s="1" t="s">
        <v>2160</v>
      </c>
      <c r="AD55" s="1" t="s">
        <v>424</v>
      </c>
      <c r="AE55" s="1" t="s">
        <v>1760</v>
      </c>
      <c r="AF55" s="1" t="s">
        <v>2182</v>
      </c>
      <c r="AG55" s="1" t="s">
        <v>1762</v>
      </c>
      <c r="AH55" s="1" t="s">
        <v>2889</v>
      </c>
      <c r="AI55" s="1" t="s">
        <v>2889</v>
      </c>
      <c r="AJ55" s="1" t="s">
        <v>1763</v>
      </c>
      <c r="AK55" s="1" t="s">
        <v>1763</v>
      </c>
      <c r="AL55" s="1" t="s">
        <v>1763</v>
      </c>
      <c r="AM55" s="1" t="s">
        <v>2160</v>
      </c>
      <c r="AN55" s="1" t="s">
        <v>424</v>
      </c>
      <c r="AO55" s="1" t="s">
        <v>2890</v>
      </c>
      <c r="AP55" s="1" t="s">
        <v>1765</v>
      </c>
      <c r="AQ55" s="1" t="s">
        <v>1766</v>
      </c>
      <c r="AR55" s="1" t="s">
        <v>1767</v>
      </c>
      <c r="AS55" s="1" t="s">
        <v>1768</v>
      </c>
      <c r="AT55">
        <v>2010150922131390</v>
      </c>
      <c r="AU55" s="1" t="s">
        <v>1769</v>
      </c>
      <c r="AV55">
        <v>6784020904750</v>
      </c>
      <c r="AW55" s="1" t="s">
        <v>1770</v>
      </c>
      <c r="AX55" s="1" t="s">
        <v>1765</v>
      </c>
      <c r="AY55" s="1" t="s">
        <v>2891</v>
      </c>
      <c r="AZ55" s="1" t="s">
        <v>1897</v>
      </c>
      <c r="BA55" s="1" t="s">
        <v>2892</v>
      </c>
      <c r="BB55">
        <v>305</v>
      </c>
      <c r="BC55" s="1" t="s">
        <v>1774</v>
      </c>
      <c r="BD55" s="1" t="s">
        <v>1775</v>
      </c>
      <c r="BE55" s="1" t="s">
        <v>1776</v>
      </c>
      <c r="BF55" s="1" t="s">
        <v>1777</v>
      </c>
      <c r="BG55" s="1" t="s">
        <v>1778</v>
      </c>
      <c r="BH55" s="1" t="s">
        <v>1779</v>
      </c>
      <c r="BI55" s="1" t="s">
        <v>1779</v>
      </c>
      <c r="BJ55" s="1" t="s">
        <v>1780</v>
      </c>
      <c r="BK55" s="1" t="s">
        <v>1781</v>
      </c>
      <c r="BL55" s="1" t="s">
        <v>1754</v>
      </c>
      <c r="BM55" s="1" t="s">
        <v>1782</v>
      </c>
      <c r="BN55" s="1" t="s">
        <v>1783</v>
      </c>
      <c r="BO55" s="1" t="s">
        <v>1784</v>
      </c>
      <c r="BP55" s="1" t="s">
        <v>1785</v>
      </c>
      <c r="BQ55" s="1" t="s">
        <v>1786</v>
      </c>
      <c r="BR55" s="1" t="s">
        <v>2893</v>
      </c>
      <c r="BS55" s="1" t="s">
        <v>1788</v>
      </c>
      <c r="BT55" s="1" t="s">
        <v>2894</v>
      </c>
      <c r="BU55" s="1" t="s">
        <v>1790</v>
      </c>
      <c r="BV55" s="1" t="s">
        <v>2895</v>
      </c>
      <c r="BW55" s="1" t="s">
        <v>1790</v>
      </c>
      <c r="BX55" s="1" t="s">
        <v>2895</v>
      </c>
      <c r="BY55" s="1" t="s">
        <v>2588</v>
      </c>
      <c r="BZ55" s="1" t="s">
        <v>2896</v>
      </c>
      <c r="CA55" s="1" t="s">
        <v>1794</v>
      </c>
      <c r="CB55" s="1" t="s">
        <v>1795</v>
      </c>
      <c r="CC55" s="1" t="s">
        <v>1796</v>
      </c>
      <c r="CD55" s="1" t="s">
        <v>1797</v>
      </c>
      <c r="CE55" s="1" t="s">
        <v>1798</v>
      </c>
      <c r="CF55" s="1" t="s">
        <v>1799</v>
      </c>
      <c r="CG55" s="1" t="s">
        <v>1800</v>
      </c>
      <c r="CH55" s="1" t="s">
        <v>1794</v>
      </c>
      <c r="CI55" s="1" t="s">
        <v>1801</v>
      </c>
      <c r="CJ55" s="1" t="s">
        <v>1794</v>
      </c>
      <c r="CK55" s="1" t="s">
        <v>1802</v>
      </c>
      <c r="CL55" s="1" t="s">
        <v>1803</v>
      </c>
      <c r="CM55" s="1" t="s">
        <v>1804</v>
      </c>
      <c r="CN55" s="1" t="s">
        <v>1805</v>
      </c>
      <c r="CO55" s="1" t="s">
        <v>1794</v>
      </c>
      <c r="CP55" s="1" t="s">
        <v>1806</v>
      </c>
      <c r="CQ55" s="1" t="s">
        <v>1807</v>
      </c>
      <c r="CR55" s="1" t="s">
        <v>1808</v>
      </c>
      <c r="CS55" s="1" t="s">
        <v>1809</v>
      </c>
      <c r="CT55" s="1" t="s">
        <v>1810</v>
      </c>
      <c r="CU55" s="1" t="s">
        <v>1811</v>
      </c>
      <c r="CV55" s="1" t="s">
        <v>1812</v>
      </c>
      <c r="CW55" s="1" t="s">
        <v>1813</v>
      </c>
      <c r="CX55" s="1" t="s">
        <v>1814</v>
      </c>
      <c r="CY55" s="1" t="s">
        <v>1813</v>
      </c>
      <c r="CZ55" s="1" t="s">
        <v>1813</v>
      </c>
      <c r="DA55" s="1" t="s">
        <v>1775</v>
      </c>
      <c r="DB55" s="1" t="s">
        <v>1776</v>
      </c>
      <c r="DC55" s="1" t="s">
        <v>1752</v>
      </c>
      <c r="DD55" s="1" t="s">
        <v>1765</v>
      </c>
      <c r="DE55" s="1" t="s">
        <v>1815</v>
      </c>
      <c r="DF55" s="1" t="s">
        <v>1816</v>
      </c>
      <c r="DG55" s="1" t="s">
        <v>1817</v>
      </c>
      <c r="DH55" s="1" t="s">
        <v>1818</v>
      </c>
      <c r="DI55" s="1" t="s">
        <v>1819</v>
      </c>
      <c r="DJ55" s="1" t="s">
        <v>1820</v>
      </c>
      <c r="DK55" s="1" t="s">
        <v>1821</v>
      </c>
      <c r="DL55" s="1" t="s">
        <v>1822</v>
      </c>
      <c r="DM55" s="1" t="s">
        <v>1765</v>
      </c>
      <c r="DN55" s="1" t="s">
        <v>1765</v>
      </c>
      <c r="DO55" s="1" t="s">
        <v>1823</v>
      </c>
      <c r="DP55" s="1" t="s">
        <v>1824</v>
      </c>
      <c r="DQ55" s="1" t="s">
        <v>1824</v>
      </c>
      <c r="DR55" s="1" t="s">
        <v>1765</v>
      </c>
      <c r="DS55" s="1" t="s">
        <v>1825</v>
      </c>
      <c r="DT55" s="1" t="s">
        <v>1816</v>
      </c>
      <c r="DU55" s="1" t="s">
        <v>1826</v>
      </c>
      <c r="DV55" s="1" t="s">
        <v>2897</v>
      </c>
      <c r="DW55" s="1" t="s">
        <v>2170</v>
      </c>
      <c r="DX55" s="1" t="s">
        <v>2898</v>
      </c>
      <c r="DY55" s="1" t="s">
        <v>424</v>
      </c>
      <c r="DZ55" s="1" t="s">
        <v>1752</v>
      </c>
      <c r="EA55" s="1" t="s">
        <v>218</v>
      </c>
      <c r="EB55" s="1" t="s">
        <v>892</v>
      </c>
      <c r="EC55" s="1" t="s">
        <v>2160</v>
      </c>
      <c r="ED55" s="1" t="s">
        <v>2899</v>
      </c>
      <c r="EE55" s="1" t="s">
        <v>2899</v>
      </c>
      <c r="EF55" s="1" t="s">
        <v>2900</v>
      </c>
      <c r="EG55" s="1" t="s">
        <v>2034</v>
      </c>
      <c r="EH55" s="1" t="s">
        <v>2901</v>
      </c>
      <c r="EI55" s="1" t="s">
        <v>2130</v>
      </c>
      <c r="EJ55" s="1" t="s">
        <v>2415</v>
      </c>
      <c r="EK55" s="1" t="s">
        <v>1836</v>
      </c>
      <c r="EL55" s="1" t="s">
        <v>1837</v>
      </c>
      <c r="EM55" s="1" t="s">
        <v>1838</v>
      </c>
      <c r="EN55" s="1" t="s">
        <v>2902</v>
      </c>
      <c r="EO55" s="1" t="s">
        <v>1840</v>
      </c>
      <c r="EP55" s="1" t="s">
        <v>2199</v>
      </c>
      <c r="EQ55" s="1" t="s">
        <v>1782</v>
      </c>
      <c r="ER55" s="1" t="s">
        <v>1802</v>
      </c>
      <c r="ES55" s="1" t="s">
        <v>1802</v>
      </c>
      <c r="ET55" s="1" t="s">
        <v>1802</v>
      </c>
      <c r="EU55" s="1" t="s">
        <v>1802</v>
      </c>
      <c r="EV55" s="1" t="s">
        <v>1802</v>
      </c>
      <c r="EW55" s="1" t="s">
        <v>1802</v>
      </c>
      <c r="EX55" s="1" t="s">
        <v>1802</v>
      </c>
      <c r="EY55" s="1" t="s">
        <v>1802</v>
      </c>
      <c r="EZ55" s="1" t="s">
        <v>1802</v>
      </c>
      <c r="FA55" s="1" t="s">
        <v>1802</v>
      </c>
      <c r="FB55" s="1" t="s">
        <v>1802</v>
      </c>
      <c r="FC55" s="1" t="s">
        <v>1802</v>
      </c>
      <c r="FD55" s="1" t="s">
        <v>1802</v>
      </c>
      <c r="FE55" s="1" t="s">
        <v>1802</v>
      </c>
      <c r="FF55" s="1" t="s">
        <v>1802</v>
      </c>
      <c r="FG55" s="1" t="s">
        <v>1802</v>
      </c>
      <c r="FH55" s="1" t="s">
        <v>1802</v>
      </c>
      <c r="FI55" s="1" t="s">
        <v>1802</v>
      </c>
      <c r="FJ55" s="1" t="s">
        <v>1802</v>
      </c>
      <c r="FK55" s="1" t="s">
        <v>1802</v>
      </c>
      <c r="FL55" s="1" t="s">
        <v>1802</v>
      </c>
      <c r="FM55" s="1" t="s">
        <v>1802</v>
      </c>
      <c r="FN55" s="1" t="s">
        <v>1802</v>
      </c>
      <c r="FO55" s="1" t="s">
        <v>1802</v>
      </c>
      <c r="FP55" s="1" t="s">
        <v>1802</v>
      </c>
      <c r="FQ55" s="1" t="s">
        <v>1802</v>
      </c>
      <c r="FR55" s="2"/>
      <c r="FS55" s="1" t="s">
        <v>1802</v>
      </c>
    </row>
    <row r="56" spans="1:175" x14ac:dyDescent="0.3">
      <c r="A56" s="1" t="s">
        <v>2903</v>
      </c>
      <c r="B56" s="1" t="s">
        <v>1739</v>
      </c>
      <c r="C56" s="1" t="s">
        <v>1042</v>
      </c>
      <c r="D56" s="1" t="s">
        <v>1740</v>
      </c>
      <c r="E56" s="1" t="s">
        <v>2002</v>
      </c>
      <c r="F56" s="1" t="s">
        <v>2904</v>
      </c>
      <c r="G56" s="1" t="s">
        <v>2904</v>
      </c>
      <c r="H56" s="1" t="s">
        <v>2905</v>
      </c>
      <c r="I56" s="1" t="s">
        <v>1744</v>
      </c>
      <c r="J56" s="1" t="s">
        <v>1745</v>
      </c>
      <c r="K56" s="1" t="s">
        <v>1746</v>
      </c>
      <c r="L56" s="1" t="s">
        <v>1747</v>
      </c>
      <c r="M56" s="1" t="s">
        <v>1748</v>
      </c>
      <c r="N56" s="1" t="s">
        <v>1749</v>
      </c>
      <c r="O56" s="1" t="s">
        <v>1750</v>
      </c>
      <c r="P56" s="1" t="s">
        <v>1751</v>
      </c>
      <c r="Q56">
        <v>49</v>
      </c>
      <c r="R56" s="1" t="s">
        <v>1752</v>
      </c>
      <c r="S56" s="1" t="s">
        <v>1753</v>
      </c>
      <c r="T56" s="1" t="s">
        <v>1754</v>
      </c>
      <c r="U56" s="1" t="s">
        <v>1755</v>
      </c>
      <c r="V56" s="1" t="s">
        <v>1756</v>
      </c>
      <c r="W56">
        <v>72</v>
      </c>
      <c r="X56">
        <v>72</v>
      </c>
      <c r="Y56" s="1" t="s">
        <v>1757</v>
      </c>
      <c r="Z56" s="2">
        <v>36999</v>
      </c>
      <c r="AA56" s="1" t="s">
        <v>2906</v>
      </c>
      <c r="AB56" s="1" t="s">
        <v>1755</v>
      </c>
      <c r="AC56" s="1" t="s">
        <v>2907</v>
      </c>
      <c r="AD56" s="1" t="s">
        <v>424</v>
      </c>
      <c r="AE56" s="1" t="s">
        <v>1760</v>
      </c>
      <c r="AF56" s="1" t="s">
        <v>1761</v>
      </c>
      <c r="AG56" s="1" t="s">
        <v>1762</v>
      </c>
      <c r="AH56" s="1" t="s">
        <v>2906</v>
      </c>
      <c r="AI56" s="1" t="s">
        <v>2906</v>
      </c>
      <c r="AJ56" s="1" t="s">
        <v>1763</v>
      </c>
      <c r="AK56" s="1" t="s">
        <v>1763</v>
      </c>
      <c r="AL56" s="1" t="s">
        <v>1763</v>
      </c>
      <c r="AM56" s="1" t="s">
        <v>2907</v>
      </c>
      <c r="AN56" s="1" t="s">
        <v>424</v>
      </c>
      <c r="AO56" s="1" t="s">
        <v>2908</v>
      </c>
      <c r="AP56" s="1" t="s">
        <v>1765</v>
      </c>
      <c r="AQ56" s="1" t="s">
        <v>1766</v>
      </c>
      <c r="AR56" s="1" t="s">
        <v>1767</v>
      </c>
      <c r="AS56" s="1" t="s">
        <v>1768</v>
      </c>
      <c r="AT56">
        <v>2010150922131390</v>
      </c>
      <c r="AU56" s="1" t="s">
        <v>1769</v>
      </c>
      <c r="AV56">
        <v>250480720708</v>
      </c>
      <c r="AW56" s="1" t="s">
        <v>1770</v>
      </c>
      <c r="AX56" s="1" t="s">
        <v>1765</v>
      </c>
      <c r="AY56" s="1" t="s">
        <v>2909</v>
      </c>
      <c r="AZ56" s="1" t="s">
        <v>1897</v>
      </c>
      <c r="BA56" s="1" t="s">
        <v>2910</v>
      </c>
      <c r="BB56">
        <v>565</v>
      </c>
      <c r="BC56" s="1" t="s">
        <v>1774</v>
      </c>
      <c r="BD56" s="1" t="s">
        <v>1775</v>
      </c>
      <c r="BE56" s="1" t="s">
        <v>1776</v>
      </c>
      <c r="BF56" s="1" t="s">
        <v>1777</v>
      </c>
      <c r="BG56" s="1" t="s">
        <v>1778</v>
      </c>
      <c r="BH56" s="1" t="s">
        <v>1779</v>
      </c>
      <c r="BI56" s="1" t="s">
        <v>1779</v>
      </c>
      <c r="BJ56" s="1" t="s">
        <v>1780</v>
      </c>
      <c r="BK56" s="1" t="s">
        <v>1781</v>
      </c>
      <c r="BL56" s="1" t="s">
        <v>1754</v>
      </c>
      <c r="BM56" s="1" t="s">
        <v>1782</v>
      </c>
      <c r="BN56" s="1" t="s">
        <v>1783</v>
      </c>
      <c r="BO56" s="1" t="s">
        <v>1794</v>
      </c>
      <c r="BP56" s="1" t="s">
        <v>1795</v>
      </c>
      <c r="BQ56" s="1" t="s">
        <v>1796</v>
      </c>
      <c r="BR56" s="1" t="s">
        <v>1797</v>
      </c>
      <c r="BS56" s="1" t="s">
        <v>1798</v>
      </c>
      <c r="BT56" s="1" t="s">
        <v>1799</v>
      </c>
      <c r="BU56" s="1" t="s">
        <v>1800</v>
      </c>
      <c r="BV56" s="1" t="s">
        <v>1794</v>
      </c>
      <c r="BW56" s="1" t="s">
        <v>1801</v>
      </c>
      <c r="BX56" s="1" t="s">
        <v>1794</v>
      </c>
      <c r="BY56" s="1" t="s">
        <v>1802</v>
      </c>
      <c r="BZ56" s="1" t="s">
        <v>1803</v>
      </c>
      <c r="CA56" s="1" t="s">
        <v>1804</v>
      </c>
      <c r="CB56" s="1" t="s">
        <v>1805</v>
      </c>
      <c r="CC56" s="1" t="s">
        <v>1794</v>
      </c>
      <c r="CD56" s="1" t="s">
        <v>1806</v>
      </c>
      <c r="CE56" s="1" t="s">
        <v>1807</v>
      </c>
      <c r="CF56" s="1" t="s">
        <v>1808</v>
      </c>
      <c r="CG56" s="1" t="s">
        <v>1809</v>
      </c>
      <c r="CH56" s="1" t="s">
        <v>1810</v>
      </c>
      <c r="CI56" s="1" t="s">
        <v>1811</v>
      </c>
      <c r="CJ56" s="1" t="s">
        <v>1812</v>
      </c>
      <c r="CK56" s="1" t="s">
        <v>1813</v>
      </c>
      <c r="CL56" s="1" t="s">
        <v>1814</v>
      </c>
      <c r="CM56" s="1" t="s">
        <v>1813</v>
      </c>
      <c r="CN56" s="1" t="s">
        <v>1813</v>
      </c>
      <c r="CO56" s="1" t="s">
        <v>1775</v>
      </c>
      <c r="CP56" s="1" t="s">
        <v>1776</v>
      </c>
      <c r="CQ56" s="1" t="s">
        <v>1752</v>
      </c>
      <c r="CR56" s="1" t="s">
        <v>1765</v>
      </c>
      <c r="CS56" s="1" t="s">
        <v>1815</v>
      </c>
      <c r="CT56" s="1" t="s">
        <v>1816</v>
      </c>
      <c r="CU56" s="1" t="s">
        <v>1817</v>
      </c>
      <c r="CV56" s="1" t="s">
        <v>1818</v>
      </c>
      <c r="CW56" s="1" t="s">
        <v>1819</v>
      </c>
      <c r="CX56" s="1" t="s">
        <v>1820</v>
      </c>
      <c r="CY56" s="1" t="s">
        <v>1821</v>
      </c>
      <c r="CZ56" s="1" t="s">
        <v>1822</v>
      </c>
      <c r="DA56" s="1" t="s">
        <v>1765</v>
      </c>
      <c r="DB56" s="1" t="s">
        <v>1765</v>
      </c>
      <c r="DC56" s="1" t="s">
        <v>1823</v>
      </c>
      <c r="DD56" s="1" t="s">
        <v>1824</v>
      </c>
      <c r="DE56" s="1" t="s">
        <v>1824</v>
      </c>
      <c r="DF56" s="1" t="s">
        <v>1765</v>
      </c>
      <c r="DG56" s="1" t="s">
        <v>1825</v>
      </c>
      <c r="DH56" s="1" t="s">
        <v>1816</v>
      </c>
      <c r="DI56" s="1" t="s">
        <v>1826</v>
      </c>
      <c r="DJ56" s="1" t="s">
        <v>2911</v>
      </c>
      <c r="DK56" s="1" t="s">
        <v>1828</v>
      </c>
      <c r="DL56" s="1" t="s">
        <v>2912</v>
      </c>
      <c r="DM56" s="1" t="s">
        <v>424</v>
      </c>
      <c r="DN56" s="1" t="s">
        <v>1752</v>
      </c>
      <c r="DO56" s="1" t="s">
        <v>218</v>
      </c>
      <c r="DP56" s="1" t="s">
        <v>892</v>
      </c>
      <c r="DQ56" s="1" t="s">
        <v>2907</v>
      </c>
      <c r="DR56" s="1" t="s">
        <v>2913</v>
      </c>
      <c r="DS56" s="1" t="s">
        <v>2913</v>
      </c>
      <c r="DT56" s="1" t="s">
        <v>2914</v>
      </c>
      <c r="DU56" s="1" t="s">
        <v>1836</v>
      </c>
      <c r="DV56" s="1" t="s">
        <v>1837</v>
      </c>
      <c r="DW56" s="1" t="s">
        <v>1838</v>
      </c>
      <c r="DX56" s="1" t="s">
        <v>1840</v>
      </c>
      <c r="DY56" s="1" t="s">
        <v>157</v>
      </c>
      <c r="DZ56" s="1" t="s">
        <v>1782</v>
      </c>
      <c r="EA56" s="1" t="s">
        <v>1802</v>
      </c>
      <c r="EB56" s="1" t="s">
        <v>1802</v>
      </c>
      <c r="EC56" s="1" t="s">
        <v>1802</v>
      </c>
      <c r="ED56" s="1" t="s">
        <v>1802</v>
      </c>
      <c r="EE56" s="1" t="s">
        <v>1802</v>
      </c>
      <c r="EF56" s="1" t="s">
        <v>1802</v>
      </c>
      <c r="EG56" s="1" t="s">
        <v>1802</v>
      </c>
      <c r="EH56" s="1" t="s">
        <v>1802</v>
      </c>
      <c r="EI56" s="1" t="s">
        <v>1802</v>
      </c>
      <c r="EJ56" s="1" t="s">
        <v>1802</v>
      </c>
      <c r="EK56" s="1" t="s">
        <v>1802</v>
      </c>
      <c r="EL56" s="1" t="s">
        <v>1802</v>
      </c>
      <c r="EM56" s="1" t="s">
        <v>1802</v>
      </c>
      <c r="EN56" s="1" t="s">
        <v>1802</v>
      </c>
      <c r="EO56" s="1" t="s">
        <v>1802</v>
      </c>
      <c r="EP56" s="1" t="s">
        <v>1802</v>
      </c>
      <c r="EQ56" s="1" t="s">
        <v>1802</v>
      </c>
      <c r="ER56" s="1" t="s">
        <v>1802</v>
      </c>
      <c r="ES56" s="1" t="s">
        <v>1802</v>
      </c>
      <c r="ET56" s="1" t="s">
        <v>1802</v>
      </c>
      <c r="EU56" s="1" t="s">
        <v>1802</v>
      </c>
      <c r="EV56" s="1" t="s">
        <v>1802</v>
      </c>
      <c r="EW56" s="1" t="s">
        <v>1802</v>
      </c>
      <c r="EX56" s="1" t="s">
        <v>1802</v>
      </c>
      <c r="EY56" s="1" t="s">
        <v>1802</v>
      </c>
      <c r="EZ56" s="1" t="s">
        <v>1802</v>
      </c>
      <c r="FA56" s="1" t="s">
        <v>1802</v>
      </c>
      <c r="FB56" s="1" t="s">
        <v>1802</v>
      </c>
      <c r="FC56" s="1" t="s">
        <v>1802</v>
      </c>
      <c r="FD56" s="1" t="s">
        <v>1802</v>
      </c>
      <c r="FE56" s="1" t="s">
        <v>1802</v>
      </c>
      <c r="FF56" s="1" t="s">
        <v>1802</v>
      </c>
      <c r="FG56" s="1" t="s">
        <v>1802</v>
      </c>
      <c r="FH56" s="1" t="s">
        <v>1802</v>
      </c>
      <c r="FI56" s="1" t="s">
        <v>1802</v>
      </c>
      <c r="FJ56" s="1" t="s">
        <v>1802</v>
      </c>
      <c r="FK56" s="1" t="s">
        <v>1802</v>
      </c>
      <c r="FL56" s="1" t="s">
        <v>1802</v>
      </c>
      <c r="FM56" s="1" t="s">
        <v>1802</v>
      </c>
      <c r="FN56" s="1" t="s">
        <v>1802</v>
      </c>
      <c r="FO56" s="1" t="s">
        <v>1802</v>
      </c>
      <c r="FP56" s="1" t="s">
        <v>1802</v>
      </c>
      <c r="FQ56" s="1" t="s">
        <v>1802</v>
      </c>
      <c r="FR56" s="2"/>
      <c r="FS56" s="1" t="s">
        <v>1802</v>
      </c>
    </row>
    <row r="57" spans="1:175" x14ac:dyDescent="0.3">
      <c r="A57" s="1" t="s">
        <v>2915</v>
      </c>
      <c r="B57" s="1" t="s">
        <v>1739</v>
      </c>
      <c r="C57" s="1" t="s">
        <v>1054</v>
      </c>
      <c r="D57" s="1" t="s">
        <v>1740</v>
      </c>
      <c r="E57" s="1" t="s">
        <v>2002</v>
      </c>
      <c r="F57" s="1" t="s">
        <v>2916</v>
      </c>
      <c r="G57" s="1" t="s">
        <v>2916</v>
      </c>
      <c r="H57" s="1" t="s">
        <v>2917</v>
      </c>
      <c r="I57" s="1" t="s">
        <v>1744</v>
      </c>
      <c r="J57" s="1" t="s">
        <v>1745</v>
      </c>
      <c r="K57" s="1" t="s">
        <v>1746</v>
      </c>
      <c r="L57" s="1" t="s">
        <v>1747</v>
      </c>
      <c r="M57" s="1" t="s">
        <v>1748</v>
      </c>
      <c r="N57" s="1" t="s">
        <v>1749</v>
      </c>
      <c r="O57" s="1" t="s">
        <v>1750</v>
      </c>
      <c r="P57" s="1" t="s">
        <v>1751</v>
      </c>
      <c r="Q57">
        <v>49</v>
      </c>
      <c r="R57" s="1" t="s">
        <v>1752</v>
      </c>
      <c r="S57" s="1" t="s">
        <v>1753</v>
      </c>
      <c r="T57" s="1" t="s">
        <v>1754</v>
      </c>
      <c r="U57" s="1" t="s">
        <v>1755</v>
      </c>
      <c r="V57" s="1" t="s">
        <v>1756</v>
      </c>
      <c r="W57">
        <v>72</v>
      </c>
      <c r="X57">
        <v>72</v>
      </c>
      <c r="Y57" s="1" t="s">
        <v>1757</v>
      </c>
      <c r="Z57" s="2">
        <v>36999</v>
      </c>
      <c r="AA57" s="1" t="s">
        <v>2918</v>
      </c>
      <c r="AB57" s="1" t="s">
        <v>1755</v>
      </c>
      <c r="AC57" s="1" t="s">
        <v>2919</v>
      </c>
      <c r="AD57" s="1" t="s">
        <v>424</v>
      </c>
      <c r="AE57" s="1" t="s">
        <v>1760</v>
      </c>
      <c r="AF57" s="1" t="s">
        <v>1761</v>
      </c>
      <c r="AG57" s="1" t="s">
        <v>1762</v>
      </c>
      <c r="AH57" s="1" t="s">
        <v>2918</v>
      </c>
      <c r="AI57" s="1" t="s">
        <v>2918</v>
      </c>
      <c r="AJ57" s="1" t="s">
        <v>1763</v>
      </c>
      <c r="AK57" s="1" t="s">
        <v>1763</v>
      </c>
      <c r="AL57" s="1" t="s">
        <v>1763</v>
      </c>
      <c r="AM57" s="1" t="s">
        <v>2919</v>
      </c>
      <c r="AN57" s="1" t="s">
        <v>424</v>
      </c>
      <c r="AO57" s="1" t="s">
        <v>2920</v>
      </c>
      <c r="AP57" s="1" t="s">
        <v>1765</v>
      </c>
      <c r="AQ57" s="1" t="s">
        <v>1766</v>
      </c>
      <c r="AR57" s="1" t="s">
        <v>1767</v>
      </c>
      <c r="AS57" s="1" t="s">
        <v>1768</v>
      </c>
      <c r="AT57">
        <v>2010150922131390</v>
      </c>
      <c r="AU57" s="1" t="s">
        <v>1769</v>
      </c>
      <c r="AV57">
        <v>2016468903541</v>
      </c>
      <c r="AW57" s="1" t="s">
        <v>1770</v>
      </c>
      <c r="AX57" s="1" t="s">
        <v>1765</v>
      </c>
      <c r="AY57" s="1" t="s">
        <v>2921</v>
      </c>
      <c r="AZ57" s="1" t="s">
        <v>1897</v>
      </c>
      <c r="BA57" s="1" t="s">
        <v>2922</v>
      </c>
      <c r="BB57">
        <v>378</v>
      </c>
      <c r="BC57" s="1" t="s">
        <v>1774</v>
      </c>
      <c r="BD57" s="1" t="s">
        <v>1775</v>
      </c>
      <c r="BE57" s="1" t="s">
        <v>1776</v>
      </c>
      <c r="BF57" s="1" t="s">
        <v>1777</v>
      </c>
      <c r="BG57" s="1" t="s">
        <v>1778</v>
      </c>
      <c r="BH57" s="1" t="s">
        <v>1779</v>
      </c>
      <c r="BI57" s="1" t="s">
        <v>1779</v>
      </c>
      <c r="BJ57" s="1" t="s">
        <v>1780</v>
      </c>
      <c r="BK57" s="1" t="s">
        <v>1781</v>
      </c>
      <c r="BL57" s="1" t="s">
        <v>1754</v>
      </c>
      <c r="BM57" s="1" t="s">
        <v>1782</v>
      </c>
      <c r="BN57" s="1" t="s">
        <v>1783</v>
      </c>
      <c r="BO57" s="1" t="s">
        <v>1784</v>
      </c>
      <c r="BP57" s="1" t="s">
        <v>1785</v>
      </c>
      <c r="BQ57" s="1" t="s">
        <v>1786</v>
      </c>
      <c r="BR57" s="1" t="s">
        <v>2923</v>
      </c>
      <c r="BS57" s="1" t="s">
        <v>1788</v>
      </c>
      <c r="BT57" s="1" t="s">
        <v>2924</v>
      </c>
      <c r="BU57" s="1" t="s">
        <v>1790</v>
      </c>
      <c r="BV57" s="1" t="s">
        <v>2925</v>
      </c>
      <c r="BW57" s="1" t="s">
        <v>1790</v>
      </c>
      <c r="BX57" s="1" t="s">
        <v>2925</v>
      </c>
      <c r="BY57" s="1" t="s">
        <v>2926</v>
      </c>
      <c r="BZ57" s="1" t="s">
        <v>2144</v>
      </c>
      <c r="CA57" s="1" t="s">
        <v>1794</v>
      </c>
      <c r="CB57" s="1" t="s">
        <v>1795</v>
      </c>
      <c r="CC57" s="1" t="s">
        <v>1796</v>
      </c>
      <c r="CD57" s="1" t="s">
        <v>1797</v>
      </c>
      <c r="CE57" s="1" t="s">
        <v>1798</v>
      </c>
      <c r="CF57" s="1" t="s">
        <v>1799</v>
      </c>
      <c r="CG57" s="1" t="s">
        <v>1800</v>
      </c>
      <c r="CH57" s="1" t="s">
        <v>1794</v>
      </c>
      <c r="CI57" s="1" t="s">
        <v>1801</v>
      </c>
      <c r="CJ57" s="1" t="s">
        <v>1794</v>
      </c>
      <c r="CK57" s="1" t="s">
        <v>1802</v>
      </c>
      <c r="CL57" s="1" t="s">
        <v>1803</v>
      </c>
      <c r="CM57" s="1" t="s">
        <v>1804</v>
      </c>
      <c r="CN57" s="1" t="s">
        <v>1805</v>
      </c>
      <c r="CO57" s="1" t="s">
        <v>1794</v>
      </c>
      <c r="CP57" s="1" t="s">
        <v>1806</v>
      </c>
      <c r="CQ57" s="1" t="s">
        <v>1807</v>
      </c>
      <c r="CR57" s="1" t="s">
        <v>1808</v>
      </c>
      <c r="CS57" s="1" t="s">
        <v>1809</v>
      </c>
      <c r="CT57" s="1" t="s">
        <v>1810</v>
      </c>
      <c r="CU57" s="1" t="s">
        <v>1811</v>
      </c>
      <c r="CV57" s="1" t="s">
        <v>1812</v>
      </c>
      <c r="CW57" s="1" t="s">
        <v>1813</v>
      </c>
      <c r="CX57" s="1" t="s">
        <v>1814</v>
      </c>
      <c r="CY57" s="1" t="s">
        <v>1813</v>
      </c>
      <c r="CZ57" s="1" t="s">
        <v>1813</v>
      </c>
      <c r="DA57" s="1" t="s">
        <v>1775</v>
      </c>
      <c r="DB57" s="1" t="s">
        <v>1776</v>
      </c>
      <c r="DC57" s="1" t="s">
        <v>1752</v>
      </c>
      <c r="DD57" s="1" t="s">
        <v>1765</v>
      </c>
      <c r="DE57" s="1" t="s">
        <v>1815</v>
      </c>
      <c r="DF57" s="1" t="s">
        <v>1816</v>
      </c>
      <c r="DG57" s="1" t="s">
        <v>1817</v>
      </c>
      <c r="DH57" s="1" t="s">
        <v>1818</v>
      </c>
      <c r="DI57" s="1" t="s">
        <v>1819</v>
      </c>
      <c r="DJ57" s="1" t="s">
        <v>1820</v>
      </c>
      <c r="DK57" s="1" t="s">
        <v>1821</v>
      </c>
      <c r="DL57" s="1" t="s">
        <v>1822</v>
      </c>
      <c r="DM57" s="1" t="s">
        <v>1765</v>
      </c>
      <c r="DN57" s="1" t="s">
        <v>1765</v>
      </c>
      <c r="DO57" s="1" t="s">
        <v>1823</v>
      </c>
      <c r="DP57" s="1" t="s">
        <v>1824</v>
      </c>
      <c r="DQ57" s="1" t="s">
        <v>1824</v>
      </c>
      <c r="DR57" s="1" t="s">
        <v>1765</v>
      </c>
      <c r="DS57" s="1" t="s">
        <v>1825</v>
      </c>
      <c r="DT57" s="1" t="s">
        <v>1816</v>
      </c>
      <c r="DU57" s="1" t="s">
        <v>1826</v>
      </c>
      <c r="DV57" s="1" t="s">
        <v>2927</v>
      </c>
      <c r="DW57" s="1" t="s">
        <v>1828</v>
      </c>
      <c r="DX57" s="1" t="s">
        <v>2928</v>
      </c>
      <c r="DY57" s="1" t="s">
        <v>424</v>
      </c>
      <c r="DZ57" s="1" t="s">
        <v>1752</v>
      </c>
      <c r="EA57" s="1" t="s">
        <v>218</v>
      </c>
      <c r="EB57" s="1" t="s">
        <v>892</v>
      </c>
      <c r="EC57" s="1" t="s">
        <v>2919</v>
      </c>
      <c r="ED57" s="1" t="s">
        <v>2929</v>
      </c>
      <c r="EE57" s="1" t="s">
        <v>2929</v>
      </c>
      <c r="EF57" s="1" t="s">
        <v>2930</v>
      </c>
      <c r="EG57" s="1" t="s">
        <v>2149</v>
      </c>
      <c r="EH57" s="1" t="s">
        <v>2931</v>
      </c>
      <c r="EI57" s="1" t="s">
        <v>2151</v>
      </c>
      <c r="EJ57" s="1" t="s">
        <v>2614</v>
      </c>
      <c r="EK57" s="1" t="s">
        <v>1836</v>
      </c>
      <c r="EL57" s="1" t="s">
        <v>1837</v>
      </c>
      <c r="EM57" s="1" t="s">
        <v>1838</v>
      </c>
      <c r="EN57" s="1" t="s">
        <v>2932</v>
      </c>
      <c r="EO57" s="1" t="s">
        <v>1840</v>
      </c>
      <c r="EP57" s="1" t="s">
        <v>218</v>
      </c>
      <c r="EQ57" s="1" t="s">
        <v>1782</v>
      </c>
      <c r="ER57" s="1" t="s">
        <v>1802</v>
      </c>
      <c r="ES57" s="1" t="s">
        <v>1802</v>
      </c>
      <c r="ET57" s="1" t="s">
        <v>1802</v>
      </c>
      <c r="EU57" s="1" t="s">
        <v>1802</v>
      </c>
      <c r="EV57" s="1" t="s">
        <v>1802</v>
      </c>
      <c r="EW57" s="1" t="s">
        <v>1802</v>
      </c>
      <c r="EX57" s="1" t="s">
        <v>1802</v>
      </c>
      <c r="EY57" s="1" t="s">
        <v>1802</v>
      </c>
      <c r="EZ57" s="1" t="s">
        <v>1802</v>
      </c>
      <c r="FA57" s="1" t="s">
        <v>1802</v>
      </c>
      <c r="FB57" s="1" t="s">
        <v>1802</v>
      </c>
      <c r="FC57" s="1" t="s">
        <v>1802</v>
      </c>
      <c r="FD57" s="1" t="s">
        <v>1802</v>
      </c>
      <c r="FE57" s="1" t="s">
        <v>1802</v>
      </c>
      <c r="FF57" s="1" t="s">
        <v>1802</v>
      </c>
      <c r="FG57" s="1" t="s">
        <v>1802</v>
      </c>
      <c r="FH57" s="1" t="s">
        <v>1802</v>
      </c>
      <c r="FI57" s="1" t="s">
        <v>1802</v>
      </c>
      <c r="FJ57" s="1" t="s">
        <v>1802</v>
      </c>
      <c r="FK57" s="1" t="s">
        <v>1802</v>
      </c>
      <c r="FL57" s="1" t="s">
        <v>1802</v>
      </c>
      <c r="FM57" s="1" t="s">
        <v>1802</v>
      </c>
      <c r="FN57" s="1" t="s">
        <v>1802</v>
      </c>
      <c r="FO57" s="1" t="s">
        <v>1802</v>
      </c>
      <c r="FP57" s="1" t="s">
        <v>1802</v>
      </c>
      <c r="FQ57" s="1" t="s">
        <v>1802</v>
      </c>
      <c r="FR57" s="2"/>
      <c r="FS57" s="1" t="s">
        <v>1802</v>
      </c>
    </row>
    <row r="58" spans="1:175" x14ac:dyDescent="0.3">
      <c r="A58" s="1" t="s">
        <v>2933</v>
      </c>
      <c r="B58" s="1" t="s">
        <v>1739</v>
      </c>
      <c r="C58" s="1" t="s">
        <v>1062</v>
      </c>
      <c r="D58" s="1" t="s">
        <v>1740</v>
      </c>
      <c r="E58" s="1" t="s">
        <v>2091</v>
      </c>
      <c r="F58" s="1" t="s">
        <v>2934</v>
      </c>
      <c r="G58" s="1" t="s">
        <v>2934</v>
      </c>
      <c r="H58" s="1" t="s">
        <v>1915</v>
      </c>
      <c r="I58" s="1" t="s">
        <v>1744</v>
      </c>
      <c r="J58" s="1" t="s">
        <v>1745</v>
      </c>
      <c r="K58" s="1" t="s">
        <v>1746</v>
      </c>
      <c r="L58" s="1" t="s">
        <v>1747</v>
      </c>
      <c r="M58" s="1" t="s">
        <v>1748</v>
      </c>
      <c r="N58" s="1" t="s">
        <v>1749</v>
      </c>
      <c r="O58" s="1" t="s">
        <v>1750</v>
      </c>
      <c r="P58" s="1" t="s">
        <v>1751</v>
      </c>
      <c r="Q58">
        <v>49</v>
      </c>
      <c r="R58" s="1" t="s">
        <v>1752</v>
      </c>
      <c r="S58" s="1" t="s">
        <v>1753</v>
      </c>
      <c r="T58" s="1" t="s">
        <v>1754</v>
      </c>
      <c r="U58" s="1" t="s">
        <v>1755</v>
      </c>
      <c r="V58" s="1" t="s">
        <v>1756</v>
      </c>
      <c r="W58">
        <v>72</v>
      </c>
      <c r="X58">
        <v>72</v>
      </c>
      <c r="Y58" s="1" t="s">
        <v>1757</v>
      </c>
      <c r="Z58" s="2">
        <v>36999</v>
      </c>
      <c r="AA58" s="1" t="s">
        <v>2935</v>
      </c>
      <c r="AB58" s="1" t="s">
        <v>1755</v>
      </c>
      <c r="AC58" s="1" t="s">
        <v>2936</v>
      </c>
      <c r="AD58" s="1" t="s">
        <v>424</v>
      </c>
      <c r="AE58" s="1" t="s">
        <v>1760</v>
      </c>
      <c r="AF58" s="1" t="s">
        <v>1761</v>
      </c>
      <c r="AG58" s="1" t="s">
        <v>1762</v>
      </c>
      <c r="AH58" s="1" t="s">
        <v>2935</v>
      </c>
      <c r="AI58" s="1" t="s">
        <v>2935</v>
      </c>
      <c r="AJ58" s="1" t="s">
        <v>1763</v>
      </c>
      <c r="AK58" s="1" t="s">
        <v>1763</v>
      </c>
      <c r="AL58" s="1" t="s">
        <v>1763</v>
      </c>
      <c r="AM58" s="1" t="s">
        <v>2936</v>
      </c>
      <c r="AN58" s="1" t="s">
        <v>424</v>
      </c>
      <c r="AO58" s="1" t="s">
        <v>2937</v>
      </c>
      <c r="AP58" s="1" t="s">
        <v>1765</v>
      </c>
      <c r="AQ58" s="1" t="s">
        <v>1766</v>
      </c>
      <c r="AR58" s="1" t="s">
        <v>1767</v>
      </c>
      <c r="AS58" s="1" t="s">
        <v>1768</v>
      </c>
      <c r="AT58">
        <v>2010150922131390</v>
      </c>
      <c r="AU58" s="1" t="s">
        <v>1769</v>
      </c>
      <c r="AV58">
        <v>4131039447500</v>
      </c>
      <c r="AW58" s="1" t="s">
        <v>1770</v>
      </c>
      <c r="AX58" s="1" t="s">
        <v>1765</v>
      </c>
      <c r="AY58" s="1" t="s">
        <v>2938</v>
      </c>
      <c r="AZ58" s="1" t="s">
        <v>1897</v>
      </c>
      <c r="BA58" s="1" t="s">
        <v>2939</v>
      </c>
      <c r="BB58">
        <v>980</v>
      </c>
      <c r="BC58" s="1" t="s">
        <v>1774</v>
      </c>
      <c r="BD58" s="1" t="s">
        <v>1775</v>
      </c>
      <c r="BE58" s="1" t="s">
        <v>1776</v>
      </c>
      <c r="BF58" s="1" t="s">
        <v>1777</v>
      </c>
      <c r="BG58" s="1" t="s">
        <v>1778</v>
      </c>
      <c r="BH58" s="1" t="s">
        <v>1779</v>
      </c>
      <c r="BI58" s="1" t="s">
        <v>1779</v>
      </c>
      <c r="BJ58" s="1" t="s">
        <v>1780</v>
      </c>
      <c r="BK58" s="1" t="s">
        <v>1781</v>
      </c>
      <c r="BL58" s="1" t="s">
        <v>1754</v>
      </c>
      <c r="BM58" s="1" t="s">
        <v>1782</v>
      </c>
      <c r="BN58" s="1" t="s">
        <v>1783</v>
      </c>
      <c r="BO58" s="1" t="s">
        <v>1784</v>
      </c>
      <c r="BP58" s="1" t="s">
        <v>1785</v>
      </c>
      <c r="BQ58" s="1" t="s">
        <v>1786</v>
      </c>
      <c r="BR58" s="1" t="s">
        <v>2940</v>
      </c>
      <c r="BS58" s="1" t="s">
        <v>1788</v>
      </c>
      <c r="BT58" s="1" t="s">
        <v>1765</v>
      </c>
      <c r="BU58" s="1" t="s">
        <v>1790</v>
      </c>
      <c r="BV58" s="1" t="s">
        <v>2941</v>
      </c>
      <c r="BW58" s="1" t="s">
        <v>1790</v>
      </c>
      <c r="BX58" s="1" t="s">
        <v>2941</v>
      </c>
      <c r="BY58" s="1" t="s">
        <v>2926</v>
      </c>
      <c r="BZ58" s="1" t="s">
        <v>2942</v>
      </c>
      <c r="CA58" s="1" t="s">
        <v>1794</v>
      </c>
      <c r="CB58" s="1" t="s">
        <v>1795</v>
      </c>
      <c r="CC58" s="1" t="s">
        <v>1796</v>
      </c>
      <c r="CD58" s="1" t="s">
        <v>1797</v>
      </c>
      <c r="CE58" s="1" t="s">
        <v>1798</v>
      </c>
      <c r="CF58" s="1" t="s">
        <v>1799</v>
      </c>
      <c r="CG58" s="1" t="s">
        <v>1800</v>
      </c>
      <c r="CH58" s="1" t="s">
        <v>1794</v>
      </c>
      <c r="CI58" s="1" t="s">
        <v>1801</v>
      </c>
      <c r="CJ58" s="1" t="s">
        <v>1794</v>
      </c>
      <c r="CK58" s="1" t="s">
        <v>1802</v>
      </c>
      <c r="CL58" s="1" t="s">
        <v>1803</v>
      </c>
      <c r="CM58" s="1" t="s">
        <v>1804</v>
      </c>
      <c r="CN58" s="1" t="s">
        <v>1805</v>
      </c>
      <c r="CO58" s="1" t="s">
        <v>1794</v>
      </c>
      <c r="CP58" s="1" t="s">
        <v>1806</v>
      </c>
      <c r="CQ58" s="1" t="s">
        <v>1807</v>
      </c>
      <c r="CR58" s="1" t="s">
        <v>1808</v>
      </c>
      <c r="CS58" s="1" t="s">
        <v>1809</v>
      </c>
      <c r="CT58" s="1" t="s">
        <v>1810</v>
      </c>
      <c r="CU58" s="1" t="s">
        <v>1811</v>
      </c>
      <c r="CV58" s="1" t="s">
        <v>1812</v>
      </c>
      <c r="CW58" s="1" t="s">
        <v>1813</v>
      </c>
      <c r="CX58" s="1" t="s">
        <v>1814</v>
      </c>
      <c r="CY58" s="1" t="s">
        <v>1813</v>
      </c>
      <c r="CZ58" s="1" t="s">
        <v>1813</v>
      </c>
      <c r="DA58" s="1" t="s">
        <v>1775</v>
      </c>
      <c r="DB58" s="1" t="s">
        <v>1776</v>
      </c>
      <c r="DC58" s="1" t="s">
        <v>1752</v>
      </c>
      <c r="DD58" s="1" t="s">
        <v>1765</v>
      </c>
      <c r="DE58" s="1" t="s">
        <v>1815</v>
      </c>
      <c r="DF58" s="1" t="s">
        <v>1816</v>
      </c>
      <c r="DG58" s="1" t="s">
        <v>1817</v>
      </c>
      <c r="DH58" s="1" t="s">
        <v>1818</v>
      </c>
      <c r="DI58" s="1" t="s">
        <v>1819</v>
      </c>
      <c r="DJ58" s="1" t="s">
        <v>1820</v>
      </c>
      <c r="DK58" s="1" t="s">
        <v>1821</v>
      </c>
      <c r="DL58" s="1" t="s">
        <v>1822</v>
      </c>
      <c r="DM58" s="1" t="s">
        <v>1765</v>
      </c>
      <c r="DN58" s="1" t="s">
        <v>1765</v>
      </c>
      <c r="DO58" s="1" t="s">
        <v>1823</v>
      </c>
      <c r="DP58" s="1" t="s">
        <v>1824</v>
      </c>
      <c r="DQ58" s="1" t="s">
        <v>1824</v>
      </c>
      <c r="DR58" s="1" t="s">
        <v>1765</v>
      </c>
      <c r="DS58" s="1" t="s">
        <v>1825</v>
      </c>
      <c r="DT58" s="1" t="s">
        <v>1816</v>
      </c>
      <c r="DU58" s="1" t="s">
        <v>1826</v>
      </c>
      <c r="DV58" s="1" t="s">
        <v>2943</v>
      </c>
      <c r="DW58" s="1" t="s">
        <v>1828</v>
      </c>
      <c r="DX58" s="1" t="s">
        <v>2944</v>
      </c>
      <c r="DY58" s="1" t="s">
        <v>424</v>
      </c>
      <c r="DZ58" s="1" t="s">
        <v>1752</v>
      </c>
      <c r="EA58" s="1" t="s">
        <v>218</v>
      </c>
      <c r="EB58" s="1" t="s">
        <v>892</v>
      </c>
      <c r="EC58" s="1" t="s">
        <v>2936</v>
      </c>
      <c r="ED58" s="1" t="s">
        <v>2945</v>
      </c>
      <c r="EE58" s="1" t="s">
        <v>2945</v>
      </c>
      <c r="EF58" s="1" t="s">
        <v>2946</v>
      </c>
      <c r="EG58" s="1" t="s">
        <v>2034</v>
      </c>
      <c r="EH58" s="1" t="s">
        <v>2947</v>
      </c>
      <c r="EI58" s="1" t="s">
        <v>2731</v>
      </c>
      <c r="EJ58" s="1" t="s">
        <v>2786</v>
      </c>
      <c r="EK58" s="1" t="s">
        <v>1836</v>
      </c>
      <c r="EL58" s="1" t="s">
        <v>1837</v>
      </c>
      <c r="EM58" s="1" t="s">
        <v>1838</v>
      </c>
      <c r="EN58" s="1" t="s">
        <v>2948</v>
      </c>
      <c r="EO58" s="1" t="s">
        <v>1840</v>
      </c>
      <c r="EP58" s="1" t="s">
        <v>2949</v>
      </c>
      <c r="EQ58" s="1" t="s">
        <v>1782</v>
      </c>
      <c r="ER58" s="1" t="s">
        <v>1802</v>
      </c>
      <c r="ES58" s="1" t="s">
        <v>1802</v>
      </c>
      <c r="ET58" s="1" t="s">
        <v>1802</v>
      </c>
      <c r="EU58" s="1" t="s">
        <v>1802</v>
      </c>
      <c r="EV58" s="1" t="s">
        <v>1802</v>
      </c>
      <c r="EW58" s="1" t="s">
        <v>1802</v>
      </c>
      <c r="EX58" s="1" t="s">
        <v>1802</v>
      </c>
      <c r="EY58" s="1" t="s">
        <v>1802</v>
      </c>
      <c r="EZ58" s="1" t="s">
        <v>1802</v>
      </c>
      <c r="FA58" s="1" t="s">
        <v>1802</v>
      </c>
      <c r="FB58" s="1" t="s">
        <v>1802</v>
      </c>
      <c r="FC58" s="1" t="s">
        <v>1802</v>
      </c>
      <c r="FD58" s="1" t="s">
        <v>1802</v>
      </c>
      <c r="FE58" s="1" t="s">
        <v>1802</v>
      </c>
      <c r="FF58" s="1" t="s">
        <v>1802</v>
      </c>
      <c r="FG58" s="1" t="s">
        <v>1802</v>
      </c>
      <c r="FH58" s="1" t="s">
        <v>1802</v>
      </c>
      <c r="FI58" s="1" t="s">
        <v>1802</v>
      </c>
      <c r="FJ58" s="1" t="s">
        <v>1802</v>
      </c>
      <c r="FK58" s="1" t="s">
        <v>1802</v>
      </c>
      <c r="FL58" s="1" t="s">
        <v>1802</v>
      </c>
      <c r="FM58" s="1" t="s">
        <v>1802</v>
      </c>
      <c r="FN58" s="1" t="s">
        <v>1802</v>
      </c>
      <c r="FO58" s="1" t="s">
        <v>1802</v>
      </c>
      <c r="FP58" s="1" t="s">
        <v>1802</v>
      </c>
      <c r="FQ58" s="1" t="s">
        <v>1802</v>
      </c>
      <c r="FR58" s="2"/>
      <c r="FS58" s="1" t="s">
        <v>1802</v>
      </c>
    </row>
    <row r="59" spans="1:175" x14ac:dyDescent="0.3">
      <c r="A59" s="1" t="s">
        <v>2950</v>
      </c>
      <c r="B59" s="1" t="s">
        <v>1739</v>
      </c>
      <c r="C59" s="1" t="s">
        <v>1072</v>
      </c>
      <c r="D59" s="1" t="s">
        <v>1740</v>
      </c>
      <c r="E59" s="1" t="s">
        <v>1913</v>
      </c>
      <c r="F59" s="1" t="s">
        <v>2951</v>
      </c>
      <c r="G59" s="1" t="s">
        <v>2951</v>
      </c>
      <c r="H59" s="1" t="s">
        <v>1915</v>
      </c>
      <c r="I59" s="1" t="s">
        <v>1744</v>
      </c>
      <c r="J59" s="1" t="s">
        <v>1745</v>
      </c>
      <c r="K59" s="1" t="s">
        <v>1746</v>
      </c>
      <c r="L59" s="1" t="s">
        <v>1747</v>
      </c>
      <c r="M59" s="1" t="s">
        <v>1748</v>
      </c>
      <c r="N59" s="1" t="s">
        <v>1749</v>
      </c>
      <c r="O59" s="1" t="s">
        <v>1750</v>
      </c>
      <c r="P59" s="1" t="s">
        <v>1751</v>
      </c>
      <c r="Q59">
        <v>49</v>
      </c>
      <c r="R59" s="1" t="s">
        <v>1752</v>
      </c>
      <c r="S59" s="1" t="s">
        <v>1753</v>
      </c>
      <c r="T59" s="1" t="s">
        <v>1754</v>
      </c>
      <c r="U59" s="1" t="s">
        <v>1755</v>
      </c>
      <c r="V59" s="1" t="s">
        <v>1756</v>
      </c>
      <c r="W59">
        <v>72</v>
      </c>
      <c r="X59">
        <v>72</v>
      </c>
      <c r="Y59" s="1" t="s">
        <v>1757</v>
      </c>
      <c r="Z59" s="2">
        <v>36999</v>
      </c>
      <c r="AA59" s="1" t="s">
        <v>2952</v>
      </c>
      <c r="AB59" s="1" t="s">
        <v>1755</v>
      </c>
      <c r="AC59" s="1" t="s">
        <v>2953</v>
      </c>
      <c r="AD59" s="1" t="s">
        <v>424</v>
      </c>
      <c r="AE59" s="1" t="s">
        <v>1760</v>
      </c>
      <c r="AF59" s="1" t="s">
        <v>1761</v>
      </c>
      <c r="AG59" s="1" t="s">
        <v>1762</v>
      </c>
      <c r="AH59" s="1" t="s">
        <v>2952</v>
      </c>
      <c r="AI59" s="1" t="s">
        <v>2952</v>
      </c>
      <c r="AJ59" s="1" t="s">
        <v>1763</v>
      </c>
      <c r="AK59" s="1" t="s">
        <v>1763</v>
      </c>
      <c r="AL59" s="1" t="s">
        <v>1763</v>
      </c>
      <c r="AM59" s="1" t="s">
        <v>2953</v>
      </c>
      <c r="AN59" s="1" t="s">
        <v>424</v>
      </c>
      <c r="AO59" s="1" t="s">
        <v>2954</v>
      </c>
      <c r="AP59" s="1" t="s">
        <v>1765</v>
      </c>
      <c r="AQ59" s="1" t="s">
        <v>1766</v>
      </c>
      <c r="AR59" s="1" t="s">
        <v>1767</v>
      </c>
      <c r="AS59" s="1" t="s">
        <v>1768</v>
      </c>
      <c r="AT59">
        <v>2010150922131390</v>
      </c>
      <c r="AU59" s="1" t="s">
        <v>1769</v>
      </c>
      <c r="AV59">
        <v>6716443216541</v>
      </c>
      <c r="AW59" s="1" t="s">
        <v>1770</v>
      </c>
      <c r="AX59" s="1" t="s">
        <v>1765</v>
      </c>
      <c r="AY59" s="1" t="s">
        <v>2955</v>
      </c>
      <c r="AZ59" s="1" t="s">
        <v>1897</v>
      </c>
      <c r="BA59" s="1" t="s">
        <v>2956</v>
      </c>
      <c r="BB59">
        <v>148</v>
      </c>
      <c r="BC59" s="1" t="s">
        <v>1774</v>
      </c>
      <c r="BD59" s="1" t="s">
        <v>1775</v>
      </c>
      <c r="BE59" s="1" t="s">
        <v>1776</v>
      </c>
      <c r="BF59" s="1" t="s">
        <v>1777</v>
      </c>
      <c r="BG59" s="1" t="s">
        <v>1778</v>
      </c>
      <c r="BH59" s="1" t="s">
        <v>1779</v>
      </c>
      <c r="BI59" s="1" t="s">
        <v>1779</v>
      </c>
      <c r="BJ59" s="1" t="s">
        <v>1780</v>
      </c>
      <c r="BK59" s="1" t="s">
        <v>1781</v>
      </c>
      <c r="BL59" s="1" t="s">
        <v>1754</v>
      </c>
      <c r="BM59" s="1" t="s">
        <v>1782</v>
      </c>
      <c r="BN59" s="1" t="s">
        <v>1783</v>
      </c>
      <c r="BO59" s="1" t="s">
        <v>1784</v>
      </c>
      <c r="BP59" s="1" t="s">
        <v>1785</v>
      </c>
      <c r="BQ59" s="1" t="s">
        <v>1786</v>
      </c>
      <c r="BR59" s="1" t="s">
        <v>2957</v>
      </c>
      <c r="BS59" s="1" t="s">
        <v>1788</v>
      </c>
      <c r="BT59" s="1" t="s">
        <v>2958</v>
      </c>
      <c r="BU59" s="1" t="s">
        <v>1790</v>
      </c>
      <c r="BV59" s="1" t="s">
        <v>2959</v>
      </c>
      <c r="BW59" s="1" t="s">
        <v>1790</v>
      </c>
      <c r="BX59" s="1" t="s">
        <v>2959</v>
      </c>
      <c r="BY59" s="1" t="s">
        <v>2926</v>
      </c>
      <c r="BZ59" s="1" t="s">
        <v>2960</v>
      </c>
      <c r="CA59" s="1" t="s">
        <v>1794</v>
      </c>
      <c r="CB59" s="1" t="s">
        <v>1795</v>
      </c>
      <c r="CC59" s="1" t="s">
        <v>1796</v>
      </c>
      <c r="CD59" s="1" t="s">
        <v>1797</v>
      </c>
      <c r="CE59" s="1" t="s">
        <v>1798</v>
      </c>
      <c r="CF59" s="1" t="s">
        <v>1799</v>
      </c>
      <c r="CG59" s="1" t="s">
        <v>1800</v>
      </c>
      <c r="CH59" s="1" t="s">
        <v>1794</v>
      </c>
      <c r="CI59" s="1" t="s">
        <v>1801</v>
      </c>
      <c r="CJ59" s="1" t="s">
        <v>1794</v>
      </c>
      <c r="CK59" s="1" t="s">
        <v>1802</v>
      </c>
      <c r="CL59" s="1" t="s">
        <v>1803</v>
      </c>
      <c r="CM59" s="1" t="s">
        <v>1804</v>
      </c>
      <c r="CN59" s="1" t="s">
        <v>1805</v>
      </c>
      <c r="CO59" s="1" t="s">
        <v>1794</v>
      </c>
      <c r="CP59" s="1" t="s">
        <v>1806</v>
      </c>
      <c r="CQ59" s="1" t="s">
        <v>1807</v>
      </c>
      <c r="CR59" s="1" t="s">
        <v>1808</v>
      </c>
      <c r="CS59" s="1" t="s">
        <v>1809</v>
      </c>
      <c r="CT59" s="1" t="s">
        <v>1810</v>
      </c>
      <c r="CU59" s="1" t="s">
        <v>1811</v>
      </c>
      <c r="CV59" s="1" t="s">
        <v>1812</v>
      </c>
      <c r="CW59" s="1" t="s">
        <v>1813</v>
      </c>
      <c r="CX59" s="1" t="s">
        <v>1814</v>
      </c>
      <c r="CY59" s="1" t="s">
        <v>1813</v>
      </c>
      <c r="CZ59" s="1" t="s">
        <v>1813</v>
      </c>
      <c r="DA59" s="1" t="s">
        <v>1775</v>
      </c>
      <c r="DB59" s="1" t="s">
        <v>1776</v>
      </c>
      <c r="DC59" s="1" t="s">
        <v>1752</v>
      </c>
      <c r="DD59" s="1" t="s">
        <v>1765</v>
      </c>
      <c r="DE59" s="1" t="s">
        <v>1815</v>
      </c>
      <c r="DF59" s="1" t="s">
        <v>1816</v>
      </c>
      <c r="DG59" s="1" t="s">
        <v>1817</v>
      </c>
      <c r="DH59" s="1" t="s">
        <v>1818</v>
      </c>
      <c r="DI59" s="1" t="s">
        <v>1819</v>
      </c>
      <c r="DJ59" s="1" t="s">
        <v>1820</v>
      </c>
      <c r="DK59" s="1" t="s">
        <v>1821</v>
      </c>
      <c r="DL59" s="1" t="s">
        <v>1822</v>
      </c>
      <c r="DM59" s="1" t="s">
        <v>1765</v>
      </c>
      <c r="DN59" s="1" t="s">
        <v>1765</v>
      </c>
      <c r="DO59" s="1" t="s">
        <v>1823</v>
      </c>
      <c r="DP59" s="1" t="s">
        <v>1824</v>
      </c>
      <c r="DQ59" s="1" t="s">
        <v>1824</v>
      </c>
      <c r="DR59" s="1" t="s">
        <v>1765</v>
      </c>
      <c r="DS59" s="1" t="s">
        <v>1825</v>
      </c>
      <c r="DT59" s="1" t="s">
        <v>1816</v>
      </c>
      <c r="DU59" s="1" t="s">
        <v>1826</v>
      </c>
      <c r="DV59" s="1" t="s">
        <v>2961</v>
      </c>
      <c r="DW59" s="1" t="s">
        <v>1828</v>
      </c>
      <c r="DX59" s="1" t="s">
        <v>2962</v>
      </c>
      <c r="DY59" s="1" t="s">
        <v>424</v>
      </c>
      <c r="DZ59" s="1" t="s">
        <v>1752</v>
      </c>
      <c r="EA59" s="1" t="s">
        <v>218</v>
      </c>
      <c r="EB59" s="1" t="s">
        <v>892</v>
      </c>
      <c r="EC59" s="1" t="s">
        <v>2953</v>
      </c>
      <c r="ED59" s="1" t="s">
        <v>2963</v>
      </c>
      <c r="EE59" s="1" t="s">
        <v>2963</v>
      </c>
      <c r="EF59" s="1" t="s">
        <v>2964</v>
      </c>
      <c r="EG59" s="1" t="s">
        <v>2965</v>
      </c>
      <c r="EH59" s="1" t="s">
        <v>2966</v>
      </c>
      <c r="EI59" s="1" t="s">
        <v>2967</v>
      </c>
      <c r="EJ59" s="1" t="s">
        <v>2712</v>
      </c>
      <c r="EK59" s="1" t="s">
        <v>1836</v>
      </c>
      <c r="EL59" s="1" t="s">
        <v>1837</v>
      </c>
      <c r="EM59" s="1" t="s">
        <v>1838</v>
      </c>
      <c r="EN59" s="1" t="s">
        <v>2968</v>
      </c>
      <c r="EO59" s="1" t="s">
        <v>1840</v>
      </c>
      <c r="EP59" s="1" t="s">
        <v>2969</v>
      </c>
      <c r="EQ59" s="1" t="s">
        <v>1782</v>
      </c>
      <c r="ER59" s="1" t="s">
        <v>1802</v>
      </c>
      <c r="ES59" s="1" t="s">
        <v>1802</v>
      </c>
      <c r="ET59" s="1" t="s">
        <v>1802</v>
      </c>
      <c r="EU59" s="1" t="s">
        <v>1802</v>
      </c>
      <c r="EV59" s="1" t="s">
        <v>1802</v>
      </c>
      <c r="EW59" s="1" t="s">
        <v>1802</v>
      </c>
      <c r="EX59" s="1" t="s">
        <v>1802</v>
      </c>
      <c r="EY59" s="1" t="s">
        <v>1802</v>
      </c>
      <c r="EZ59" s="1" t="s">
        <v>1802</v>
      </c>
      <c r="FA59" s="1" t="s">
        <v>1802</v>
      </c>
      <c r="FB59" s="1" t="s">
        <v>1802</v>
      </c>
      <c r="FC59" s="1" t="s">
        <v>1802</v>
      </c>
      <c r="FD59" s="1" t="s">
        <v>1802</v>
      </c>
      <c r="FE59" s="1" t="s">
        <v>1802</v>
      </c>
      <c r="FF59" s="1" t="s">
        <v>1802</v>
      </c>
      <c r="FG59" s="1" t="s">
        <v>1802</v>
      </c>
      <c r="FH59" s="1" t="s">
        <v>1802</v>
      </c>
      <c r="FI59" s="1" t="s">
        <v>1802</v>
      </c>
      <c r="FJ59" s="1" t="s">
        <v>1802</v>
      </c>
      <c r="FK59" s="1" t="s">
        <v>1802</v>
      </c>
      <c r="FL59" s="1" t="s">
        <v>1802</v>
      </c>
      <c r="FM59" s="1" t="s">
        <v>1802</v>
      </c>
      <c r="FN59" s="1" t="s">
        <v>1802</v>
      </c>
      <c r="FO59" s="1" t="s">
        <v>1802</v>
      </c>
      <c r="FP59" s="1" t="s">
        <v>1802</v>
      </c>
      <c r="FQ59" s="1" t="s">
        <v>1802</v>
      </c>
      <c r="FR59" s="2"/>
      <c r="FS59" s="1" t="s">
        <v>1802</v>
      </c>
    </row>
    <row r="60" spans="1:175" x14ac:dyDescent="0.3">
      <c r="A60" s="1" t="s">
        <v>2970</v>
      </c>
      <c r="B60" s="1" t="s">
        <v>1739</v>
      </c>
      <c r="C60" s="1" t="s">
        <v>1080</v>
      </c>
      <c r="D60" s="1" t="s">
        <v>1740</v>
      </c>
      <c r="E60" s="1" t="s">
        <v>2002</v>
      </c>
      <c r="F60" s="1" t="s">
        <v>2971</v>
      </c>
      <c r="G60" s="1" t="s">
        <v>2971</v>
      </c>
      <c r="H60" s="1" t="s">
        <v>2972</v>
      </c>
      <c r="I60" s="1" t="s">
        <v>1744</v>
      </c>
      <c r="J60" s="1" t="s">
        <v>1745</v>
      </c>
      <c r="K60" s="1" t="s">
        <v>1746</v>
      </c>
      <c r="L60" s="1" t="s">
        <v>1747</v>
      </c>
      <c r="M60" s="1" t="s">
        <v>1748</v>
      </c>
      <c r="N60" s="1" t="s">
        <v>1749</v>
      </c>
      <c r="O60" s="1" t="s">
        <v>1750</v>
      </c>
      <c r="P60" s="1" t="s">
        <v>1751</v>
      </c>
      <c r="Q60">
        <v>49</v>
      </c>
      <c r="R60" s="1" t="s">
        <v>1752</v>
      </c>
      <c r="S60" s="1" t="s">
        <v>1753</v>
      </c>
      <c r="T60" s="1" t="s">
        <v>1754</v>
      </c>
      <c r="U60" s="1" t="s">
        <v>1755</v>
      </c>
      <c r="V60" s="1" t="s">
        <v>1756</v>
      </c>
      <c r="W60">
        <v>72</v>
      </c>
      <c r="X60">
        <v>72</v>
      </c>
      <c r="Y60" s="1" t="s">
        <v>1757</v>
      </c>
      <c r="Z60" s="2">
        <v>36999</v>
      </c>
      <c r="AA60" s="1" t="s">
        <v>2973</v>
      </c>
      <c r="AB60" s="1" t="s">
        <v>1755</v>
      </c>
      <c r="AC60" s="1" t="s">
        <v>2974</v>
      </c>
      <c r="AD60" s="1" t="s">
        <v>424</v>
      </c>
      <c r="AE60" s="1" t="s">
        <v>1760</v>
      </c>
      <c r="AF60" s="1" t="s">
        <v>1761</v>
      </c>
      <c r="AG60" s="1" t="s">
        <v>1762</v>
      </c>
      <c r="AH60" s="1" t="s">
        <v>2973</v>
      </c>
      <c r="AI60" s="1" t="s">
        <v>2973</v>
      </c>
      <c r="AJ60" s="1" t="s">
        <v>1763</v>
      </c>
      <c r="AK60" s="1" t="s">
        <v>1763</v>
      </c>
      <c r="AL60" s="1" t="s">
        <v>1763</v>
      </c>
      <c r="AM60" s="1" t="s">
        <v>2974</v>
      </c>
      <c r="AN60" s="1" t="s">
        <v>424</v>
      </c>
      <c r="AO60" s="1" t="s">
        <v>2975</v>
      </c>
      <c r="AP60" s="1" t="s">
        <v>1765</v>
      </c>
      <c r="AQ60" s="1" t="s">
        <v>1766</v>
      </c>
      <c r="AR60" s="1" t="s">
        <v>1767</v>
      </c>
      <c r="AS60" s="1" t="s">
        <v>1768</v>
      </c>
      <c r="AT60">
        <v>2010150922131390</v>
      </c>
      <c r="AU60" s="1" t="s">
        <v>1769</v>
      </c>
      <c r="AV60">
        <v>8088884794916</v>
      </c>
      <c r="AW60" s="1" t="s">
        <v>1770</v>
      </c>
      <c r="AX60" s="1" t="s">
        <v>1765</v>
      </c>
      <c r="AY60" s="1" t="s">
        <v>2976</v>
      </c>
      <c r="AZ60" s="1" t="s">
        <v>1897</v>
      </c>
      <c r="BA60" s="1" t="s">
        <v>2977</v>
      </c>
      <c r="BB60">
        <v>81</v>
      </c>
      <c r="BC60" s="1" t="s">
        <v>1774</v>
      </c>
      <c r="BD60" s="1" t="s">
        <v>1775</v>
      </c>
      <c r="BE60" s="1" t="s">
        <v>1776</v>
      </c>
      <c r="BF60" s="1" t="s">
        <v>1777</v>
      </c>
      <c r="BG60" s="1" t="s">
        <v>1778</v>
      </c>
      <c r="BH60" s="1" t="s">
        <v>1779</v>
      </c>
      <c r="BI60" s="1" t="s">
        <v>1779</v>
      </c>
      <c r="BJ60" s="1" t="s">
        <v>1780</v>
      </c>
      <c r="BK60" s="1" t="s">
        <v>1781</v>
      </c>
      <c r="BL60" s="1" t="s">
        <v>1754</v>
      </c>
      <c r="BM60" s="1" t="s">
        <v>1782</v>
      </c>
      <c r="BN60" s="1" t="s">
        <v>1783</v>
      </c>
      <c r="BO60" s="1" t="s">
        <v>1784</v>
      </c>
      <c r="BP60" s="1" t="s">
        <v>1785</v>
      </c>
      <c r="BQ60" s="1" t="s">
        <v>1786</v>
      </c>
      <c r="BR60" s="1" t="s">
        <v>2978</v>
      </c>
      <c r="BS60" s="1" t="s">
        <v>1788</v>
      </c>
      <c r="BT60" s="1" t="s">
        <v>2979</v>
      </c>
      <c r="BU60" s="1" t="s">
        <v>1790</v>
      </c>
      <c r="BV60" s="1" t="s">
        <v>2980</v>
      </c>
      <c r="BW60" s="1" t="s">
        <v>1790</v>
      </c>
      <c r="BX60" s="1" t="s">
        <v>2980</v>
      </c>
      <c r="BY60" s="1" t="s">
        <v>2926</v>
      </c>
      <c r="BZ60" s="1" t="s">
        <v>2981</v>
      </c>
      <c r="CA60" s="1" t="s">
        <v>1794</v>
      </c>
      <c r="CB60" s="1" t="s">
        <v>1795</v>
      </c>
      <c r="CC60" s="1" t="s">
        <v>1796</v>
      </c>
      <c r="CD60" s="1" t="s">
        <v>1797</v>
      </c>
      <c r="CE60" s="1" t="s">
        <v>1798</v>
      </c>
      <c r="CF60" s="1" t="s">
        <v>1799</v>
      </c>
      <c r="CG60" s="1" t="s">
        <v>1800</v>
      </c>
      <c r="CH60" s="1" t="s">
        <v>1794</v>
      </c>
      <c r="CI60" s="1" t="s">
        <v>1801</v>
      </c>
      <c r="CJ60" s="1" t="s">
        <v>1794</v>
      </c>
      <c r="CK60" s="1" t="s">
        <v>1802</v>
      </c>
      <c r="CL60" s="1" t="s">
        <v>1803</v>
      </c>
      <c r="CM60" s="1" t="s">
        <v>1804</v>
      </c>
      <c r="CN60" s="1" t="s">
        <v>1805</v>
      </c>
      <c r="CO60" s="1" t="s">
        <v>1794</v>
      </c>
      <c r="CP60" s="1" t="s">
        <v>1806</v>
      </c>
      <c r="CQ60" s="1" t="s">
        <v>1807</v>
      </c>
      <c r="CR60" s="1" t="s">
        <v>1808</v>
      </c>
      <c r="CS60" s="1" t="s">
        <v>1809</v>
      </c>
      <c r="CT60" s="1" t="s">
        <v>1810</v>
      </c>
      <c r="CU60" s="1" t="s">
        <v>1811</v>
      </c>
      <c r="CV60" s="1" t="s">
        <v>1812</v>
      </c>
      <c r="CW60" s="1" t="s">
        <v>1813</v>
      </c>
      <c r="CX60" s="1" t="s">
        <v>1814</v>
      </c>
      <c r="CY60" s="1" t="s">
        <v>1813</v>
      </c>
      <c r="CZ60" s="1" t="s">
        <v>1813</v>
      </c>
      <c r="DA60" s="1" t="s">
        <v>1775</v>
      </c>
      <c r="DB60" s="1" t="s">
        <v>1776</v>
      </c>
      <c r="DC60" s="1" t="s">
        <v>1752</v>
      </c>
      <c r="DD60" s="1" t="s">
        <v>1765</v>
      </c>
      <c r="DE60" s="1" t="s">
        <v>1815</v>
      </c>
      <c r="DF60" s="1" t="s">
        <v>1816</v>
      </c>
      <c r="DG60" s="1" t="s">
        <v>1817</v>
      </c>
      <c r="DH60" s="1" t="s">
        <v>1818</v>
      </c>
      <c r="DI60" s="1" t="s">
        <v>1819</v>
      </c>
      <c r="DJ60" s="1" t="s">
        <v>1820</v>
      </c>
      <c r="DK60" s="1" t="s">
        <v>1821</v>
      </c>
      <c r="DL60" s="1" t="s">
        <v>1822</v>
      </c>
      <c r="DM60" s="1" t="s">
        <v>1765</v>
      </c>
      <c r="DN60" s="1" t="s">
        <v>1765</v>
      </c>
      <c r="DO60" s="1" t="s">
        <v>1823</v>
      </c>
      <c r="DP60" s="1" t="s">
        <v>1824</v>
      </c>
      <c r="DQ60" s="1" t="s">
        <v>1824</v>
      </c>
      <c r="DR60" s="1" t="s">
        <v>1765</v>
      </c>
      <c r="DS60" s="1" t="s">
        <v>1825</v>
      </c>
      <c r="DT60" s="1" t="s">
        <v>1816</v>
      </c>
      <c r="DU60" s="1" t="s">
        <v>1826</v>
      </c>
      <c r="DV60" s="1" t="s">
        <v>2982</v>
      </c>
      <c r="DW60" s="1" t="s">
        <v>1828</v>
      </c>
      <c r="DX60" s="1" t="s">
        <v>2983</v>
      </c>
      <c r="DY60" s="1" t="s">
        <v>424</v>
      </c>
      <c r="DZ60" s="1" t="s">
        <v>1752</v>
      </c>
      <c r="EA60" s="1" t="s">
        <v>218</v>
      </c>
      <c r="EB60" s="1" t="s">
        <v>892</v>
      </c>
      <c r="EC60" s="1" t="s">
        <v>2974</v>
      </c>
      <c r="ED60" s="1" t="s">
        <v>2984</v>
      </c>
      <c r="EE60" s="1" t="s">
        <v>2984</v>
      </c>
      <c r="EF60" s="1" t="s">
        <v>2985</v>
      </c>
      <c r="EG60" s="1" t="s">
        <v>2194</v>
      </c>
      <c r="EH60" s="1" t="s">
        <v>2986</v>
      </c>
      <c r="EI60" s="1" t="s">
        <v>2339</v>
      </c>
      <c r="EJ60" s="1" t="s">
        <v>1887</v>
      </c>
      <c r="EK60" s="1" t="s">
        <v>1836</v>
      </c>
      <c r="EL60" s="1" t="s">
        <v>1837</v>
      </c>
      <c r="EM60" s="1" t="s">
        <v>1838</v>
      </c>
      <c r="EN60" s="1" t="s">
        <v>2340</v>
      </c>
      <c r="EO60" s="1" t="s">
        <v>1840</v>
      </c>
      <c r="EP60" s="1" t="s">
        <v>218</v>
      </c>
      <c r="EQ60" s="1" t="s">
        <v>1782</v>
      </c>
      <c r="ER60" s="1" t="s">
        <v>1802</v>
      </c>
      <c r="ES60" s="1" t="s">
        <v>1802</v>
      </c>
      <c r="ET60" s="1" t="s">
        <v>1802</v>
      </c>
      <c r="EU60" s="1" t="s">
        <v>1802</v>
      </c>
      <c r="EV60" s="1" t="s">
        <v>1802</v>
      </c>
      <c r="EW60" s="1" t="s">
        <v>1802</v>
      </c>
      <c r="EX60" s="1" t="s">
        <v>1802</v>
      </c>
      <c r="EY60" s="1" t="s">
        <v>1802</v>
      </c>
      <c r="EZ60" s="1" t="s">
        <v>1802</v>
      </c>
      <c r="FA60" s="1" t="s">
        <v>1802</v>
      </c>
      <c r="FB60" s="1" t="s">
        <v>1802</v>
      </c>
      <c r="FC60" s="1" t="s">
        <v>1802</v>
      </c>
      <c r="FD60" s="1" t="s">
        <v>1802</v>
      </c>
      <c r="FE60" s="1" t="s">
        <v>1802</v>
      </c>
      <c r="FF60" s="1" t="s">
        <v>1802</v>
      </c>
      <c r="FG60" s="1" t="s">
        <v>1802</v>
      </c>
      <c r="FH60" s="1" t="s">
        <v>1802</v>
      </c>
      <c r="FI60" s="1" t="s">
        <v>1802</v>
      </c>
      <c r="FJ60" s="1" t="s">
        <v>1802</v>
      </c>
      <c r="FK60" s="1" t="s">
        <v>1802</v>
      </c>
      <c r="FL60" s="1" t="s">
        <v>1802</v>
      </c>
      <c r="FM60" s="1" t="s">
        <v>1802</v>
      </c>
      <c r="FN60" s="1" t="s">
        <v>1802</v>
      </c>
      <c r="FO60" s="1" t="s">
        <v>1802</v>
      </c>
      <c r="FP60" s="1" t="s">
        <v>1802</v>
      </c>
      <c r="FQ60" s="1" t="s">
        <v>1802</v>
      </c>
      <c r="FR60" s="2"/>
      <c r="FS60" s="1" t="s">
        <v>1802</v>
      </c>
    </row>
    <row r="61" spans="1:175" x14ac:dyDescent="0.3">
      <c r="A61" s="1" t="s">
        <v>2987</v>
      </c>
      <c r="B61" s="1" t="s">
        <v>1739</v>
      </c>
      <c r="C61" s="1" t="s">
        <v>1088</v>
      </c>
      <c r="D61" s="1" t="s">
        <v>1740</v>
      </c>
      <c r="E61" s="1" t="s">
        <v>2264</v>
      </c>
      <c r="F61" s="1" t="s">
        <v>2988</v>
      </c>
      <c r="G61" s="1" t="s">
        <v>2988</v>
      </c>
      <c r="H61" s="1" t="s">
        <v>1915</v>
      </c>
      <c r="I61" s="1" t="s">
        <v>1744</v>
      </c>
      <c r="J61" s="1" t="s">
        <v>1745</v>
      </c>
      <c r="K61" s="1" t="s">
        <v>1746</v>
      </c>
      <c r="L61" s="1" t="s">
        <v>1747</v>
      </c>
      <c r="M61" s="1" t="s">
        <v>1748</v>
      </c>
      <c r="N61" s="1" t="s">
        <v>1749</v>
      </c>
      <c r="O61" s="1" t="s">
        <v>1750</v>
      </c>
      <c r="P61" s="1" t="s">
        <v>1751</v>
      </c>
      <c r="Q61">
        <v>49</v>
      </c>
      <c r="R61" s="1" t="s">
        <v>1752</v>
      </c>
      <c r="S61" s="1" t="s">
        <v>1753</v>
      </c>
      <c r="T61" s="1" t="s">
        <v>1754</v>
      </c>
      <c r="U61" s="1" t="s">
        <v>1755</v>
      </c>
      <c r="V61" s="1" t="s">
        <v>1756</v>
      </c>
      <c r="W61">
        <v>72</v>
      </c>
      <c r="X61">
        <v>72</v>
      </c>
      <c r="Y61" s="1" t="s">
        <v>1757</v>
      </c>
      <c r="Z61" s="2">
        <v>36999</v>
      </c>
      <c r="AA61" s="1" t="s">
        <v>2989</v>
      </c>
      <c r="AB61" s="1" t="s">
        <v>1755</v>
      </c>
      <c r="AC61" s="1" t="s">
        <v>2990</v>
      </c>
      <c r="AD61" s="1" t="s">
        <v>424</v>
      </c>
      <c r="AE61" s="1" t="s">
        <v>1760</v>
      </c>
      <c r="AF61" s="1" t="s">
        <v>1761</v>
      </c>
      <c r="AG61" s="1" t="s">
        <v>1762</v>
      </c>
      <c r="AH61" s="1" t="s">
        <v>2989</v>
      </c>
      <c r="AI61" s="1" t="s">
        <v>2989</v>
      </c>
      <c r="AJ61" s="1" t="s">
        <v>1763</v>
      </c>
      <c r="AK61" s="1" t="s">
        <v>1763</v>
      </c>
      <c r="AL61" s="1" t="s">
        <v>1763</v>
      </c>
      <c r="AM61" s="1" t="s">
        <v>2990</v>
      </c>
      <c r="AN61" s="1" t="s">
        <v>424</v>
      </c>
      <c r="AO61" s="1" t="s">
        <v>2991</v>
      </c>
      <c r="AP61" s="1" t="s">
        <v>1765</v>
      </c>
      <c r="AQ61" s="1" t="s">
        <v>1766</v>
      </c>
      <c r="AR61" s="1" t="s">
        <v>1767</v>
      </c>
      <c r="AS61" s="1" t="s">
        <v>1768</v>
      </c>
      <c r="AT61">
        <v>2010150922131390</v>
      </c>
      <c r="AU61" s="1" t="s">
        <v>1769</v>
      </c>
      <c r="AV61">
        <v>10544689942416</v>
      </c>
      <c r="AW61" s="1" t="s">
        <v>1770</v>
      </c>
      <c r="AX61" s="1" t="s">
        <v>1765</v>
      </c>
      <c r="AY61" s="1" t="s">
        <v>2992</v>
      </c>
      <c r="AZ61" s="1" t="s">
        <v>1897</v>
      </c>
      <c r="BA61" s="1" t="s">
        <v>2993</v>
      </c>
      <c r="BB61">
        <v>298</v>
      </c>
      <c r="BC61" s="1" t="s">
        <v>1774</v>
      </c>
      <c r="BD61" s="1" t="s">
        <v>1775</v>
      </c>
      <c r="BE61" s="1" t="s">
        <v>1776</v>
      </c>
      <c r="BF61" s="1" t="s">
        <v>1777</v>
      </c>
      <c r="BG61" s="1" t="s">
        <v>1778</v>
      </c>
      <c r="BH61" s="1" t="s">
        <v>1779</v>
      </c>
      <c r="BI61" s="1" t="s">
        <v>1779</v>
      </c>
      <c r="BJ61" s="1" t="s">
        <v>1780</v>
      </c>
      <c r="BK61" s="1" t="s">
        <v>1781</v>
      </c>
      <c r="BL61" s="1" t="s">
        <v>1754</v>
      </c>
      <c r="BM61" s="1" t="s">
        <v>1782</v>
      </c>
      <c r="BN61" s="1" t="s">
        <v>1783</v>
      </c>
      <c r="BO61" s="1" t="s">
        <v>1784</v>
      </c>
      <c r="BP61" s="1" t="s">
        <v>1785</v>
      </c>
      <c r="BQ61" s="1" t="s">
        <v>1786</v>
      </c>
      <c r="BR61" s="1" t="s">
        <v>2994</v>
      </c>
      <c r="BS61" s="1" t="s">
        <v>1788</v>
      </c>
      <c r="BT61" s="1" t="s">
        <v>2995</v>
      </c>
      <c r="BU61" s="1" t="s">
        <v>1790</v>
      </c>
      <c r="BV61" s="1" t="s">
        <v>2996</v>
      </c>
      <c r="BW61" s="1" t="s">
        <v>1790</v>
      </c>
      <c r="BX61" s="1" t="s">
        <v>2996</v>
      </c>
      <c r="BY61" s="1" t="s">
        <v>2926</v>
      </c>
      <c r="BZ61" s="1" t="s">
        <v>2997</v>
      </c>
      <c r="CA61" s="1" t="s">
        <v>1794</v>
      </c>
      <c r="CB61" s="1" t="s">
        <v>1795</v>
      </c>
      <c r="CC61" s="1" t="s">
        <v>1796</v>
      </c>
      <c r="CD61" s="1" t="s">
        <v>1797</v>
      </c>
      <c r="CE61" s="1" t="s">
        <v>1798</v>
      </c>
      <c r="CF61" s="1" t="s">
        <v>1799</v>
      </c>
      <c r="CG61" s="1" t="s">
        <v>1800</v>
      </c>
      <c r="CH61" s="1" t="s">
        <v>1794</v>
      </c>
      <c r="CI61" s="1" t="s">
        <v>1801</v>
      </c>
      <c r="CJ61" s="1" t="s">
        <v>1794</v>
      </c>
      <c r="CK61" s="1" t="s">
        <v>1802</v>
      </c>
      <c r="CL61" s="1" t="s">
        <v>1803</v>
      </c>
      <c r="CM61" s="1" t="s">
        <v>1804</v>
      </c>
      <c r="CN61" s="1" t="s">
        <v>1805</v>
      </c>
      <c r="CO61" s="1" t="s">
        <v>1794</v>
      </c>
      <c r="CP61" s="1" t="s">
        <v>1806</v>
      </c>
      <c r="CQ61" s="1" t="s">
        <v>1807</v>
      </c>
      <c r="CR61" s="1" t="s">
        <v>1808</v>
      </c>
      <c r="CS61" s="1" t="s">
        <v>1809</v>
      </c>
      <c r="CT61" s="1" t="s">
        <v>1810</v>
      </c>
      <c r="CU61" s="1" t="s">
        <v>1811</v>
      </c>
      <c r="CV61" s="1" t="s">
        <v>1812</v>
      </c>
      <c r="CW61" s="1" t="s">
        <v>1813</v>
      </c>
      <c r="CX61" s="1" t="s">
        <v>1814</v>
      </c>
      <c r="CY61" s="1" t="s">
        <v>1813</v>
      </c>
      <c r="CZ61" s="1" t="s">
        <v>1813</v>
      </c>
      <c r="DA61" s="1" t="s">
        <v>1775</v>
      </c>
      <c r="DB61" s="1" t="s">
        <v>1776</v>
      </c>
      <c r="DC61" s="1" t="s">
        <v>1752</v>
      </c>
      <c r="DD61" s="1" t="s">
        <v>1765</v>
      </c>
      <c r="DE61" s="1" t="s">
        <v>1815</v>
      </c>
      <c r="DF61" s="1" t="s">
        <v>1816</v>
      </c>
      <c r="DG61" s="1" t="s">
        <v>1817</v>
      </c>
      <c r="DH61" s="1" t="s">
        <v>1818</v>
      </c>
      <c r="DI61" s="1" t="s">
        <v>1819</v>
      </c>
      <c r="DJ61" s="1" t="s">
        <v>1820</v>
      </c>
      <c r="DK61" s="1" t="s">
        <v>1821</v>
      </c>
      <c r="DL61" s="1" t="s">
        <v>1822</v>
      </c>
      <c r="DM61" s="1" t="s">
        <v>1765</v>
      </c>
      <c r="DN61" s="1" t="s">
        <v>1765</v>
      </c>
      <c r="DO61" s="1" t="s">
        <v>1823</v>
      </c>
      <c r="DP61" s="1" t="s">
        <v>1824</v>
      </c>
      <c r="DQ61" s="1" t="s">
        <v>1824</v>
      </c>
      <c r="DR61" s="1" t="s">
        <v>1765</v>
      </c>
      <c r="DS61" s="1" t="s">
        <v>1825</v>
      </c>
      <c r="DT61" s="1" t="s">
        <v>1816</v>
      </c>
      <c r="DU61" s="1" t="s">
        <v>1826</v>
      </c>
      <c r="DV61" s="1" t="s">
        <v>2998</v>
      </c>
      <c r="DW61" s="1" t="s">
        <v>1828</v>
      </c>
      <c r="DX61" s="1" t="s">
        <v>2999</v>
      </c>
      <c r="DY61" s="1" t="s">
        <v>424</v>
      </c>
      <c r="DZ61" s="1" t="s">
        <v>1752</v>
      </c>
      <c r="EA61" s="1" t="s">
        <v>218</v>
      </c>
      <c r="EB61" s="1" t="s">
        <v>892</v>
      </c>
      <c r="EC61" s="1" t="s">
        <v>2990</v>
      </c>
      <c r="ED61" s="1" t="s">
        <v>3000</v>
      </c>
      <c r="EE61" s="1" t="s">
        <v>3000</v>
      </c>
      <c r="EF61" s="1" t="s">
        <v>3001</v>
      </c>
      <c r="EG61" s="1" t="s">
        <v>1907</v>
      </c>
      <c r="EH61" s="1" t="s">
        <v>3002</v>
      </c>
      <c r="EI61" s="1" t="s">
        <v>2573</v>
      </c>
      <c r="EJ61" s="1" t="s">
        <v>1953</v>
      </c>
      <c r="EK61" s="1" t="s">
        <v>1836</v>
      </c>
      <c r="EL61" s="1" t="s">
        <v>1837</v>
      </c>
      <c r="EM61" s="1" t="s">
        <v>1838</v>
      </c>
      <c r="EN61" s="1" t="s">
        <v>3003</v>
      </c>
      <c r="EO61" s="1" t="s">
        <v>1840</v>
      </c>
      <c r="EP61" s="1" t="s">
        <v>605</v>
      </c>
      <c r="EQ61" s="1" t="s">
        <v>1782</v>
      </c>
      <c r="ER61" s="1" t="s">
        <v>1802</v>
      </c>
      <c r="ES61" s="1" t="s">
        <v>1802</v>
      </c>
      <c r="ET61" s="1" t="s">
        <v>1802</v>
      </c>
      <c r="EU61" s="1" t="s">
        <v>1802</v>
      </c>
      <c r="EV61" s="1" t="s">
        <v>1802</v>
      </c>
      <c r="EW61" s="1" t="s">
        <v>1802</v>
      </c>
      <c r="EX61" s="1" t="s">
        <v>1802</v>
      </c>
      <c r="EY61" s="1" t="s">
        <v>1802</v>
      </c>
      <c r="EZ61" s="1" t="s">
        <v>1802</v>
      </c>
      <c r="FA61" s="1" t="s">
        <v>1802</v>
      </c>
      <c r="FB61" s="1" t="s">
        <v>1802</v>
      </c>
      <c r="FC61" s="1" t="s">
        <v>1802</v>
      </c>
      <c r="FD61" s="1" t="s">
        <v>1802</v>
      </c>
      <c r="FE61" s="1" t="s">
        <v>1802</v>
      </c>
      <c r="FF61" s="1" t="s">
        <v>1802</v>
      </c>
      <c r="FG61" s="1" t="s">
        <v>1802</v>
      </c>
      <c r="FH61" s="1" t="s">
        <v>1802</v>
      </c>
      <c r="FI61" s="1" t="s">
        <v>1802</v>
      </c>
      <c r="FJ61" s="1" t="s">
        <v>1802</v>
      </c>
      <c r="FK61" s="1" t="s">
        <v>1802</v>
      </c>
      <c r="FL61" s="1" t="s">
        <v>1802</v>
      </c>
      <c r="FM61" s="1" t="s">
        <v>1802</v>
      </c>
      <c r="FN61" s="1" t="s">
        <v>1802</v>
      </c>
      <c r="FO61" s="1" t="s">
        <v>1802</v>
      </c>
      <c r="FP61" s="1" t="s">
        <v>1802</v>
      </c>
      <c r="FQ61" s="1" t="s">
        <v>1802</v>
      </c>
      <c r="FR61" s="2"/>
      <c r="FS61" s="1" t="s">
        <v>1802</v>
      </c>
    </row>
    <row r="62" spans="1:175" x14ac:dyDescent="0.3">
      <c r="A62" s="1" t="s">
        <v>3004</v>
      </c>
      <c r="B62" s="1" t="s">
        <v>1739</v>
      </c>
      <c r="C62" s="1" t="s">
        <v>1098</v>
      </c>
      <c r="D62" s="1" t="s">
        <v>1740</v>
      </c>
      <c r="E62" s="1" t="s">
        <v>2002</v>
      </c>
      <c r="F62" s="1" t="s">
        <v>3005</v>
      </c>
      <c r="G62" s="1" t="s">
        <v>3005</v>
      </c>
      <c r="H62" s="1" t="s">
        <v>3006</v>
      </c>
      <c r="I62" s="1" t="s">
        <v>1744</v>
      </c>
      <c r="J62" s="1" t="s">
        <v>1745</v>
      </c>
      <c r="K62" s="1" t="s">
        <v>1746</v>
      </c>
      <c r="L62" s="1" t="s">
        <v>1747</v>
      </c>
      <c r="M62" s="1" t="s">
        <v>1748</v>
      </c>
      <c r="N62" s="1" t="s">
        <v>1749</v>
      </c>
      <c r="O62" s="1" t="s">
        <v>1750</v>
      </c>
      <c r="P62" s="1" t="s">
        <v>1751</v>
      </c>
      <c r="Q62">
        <v>49</v>
      </c>
      <c r="R62" s="1" t="s">
        <v>1752</v>
      </c>
      <c r="S62" s="1" t="s">
        <v>1753</v>
      </c>
      <c r="T62" s="1" t="s">
        <v>1754</v>
      </c>
      <c r="U62" s="1" t="s">
        <v>1755</v>
      </c>
      <c r="V62" s="1" t="s">
        <v>1756</v>
      </c>
      <c r="W62">
        <v>72</v>
      </c>
      <c r="X62">
        <v>72</v>
      </c>
      <c r="Y62" s="1" t="s">
        <v>1757</v>
      </c>
      <c r="Z62" s="2">
        <v>36999</v>
      </c>
      <c r="AA62" s="1" t="s">
        <v>3007</v>
      </c>
      <c r="AB62" s="1" t="s">
        <v>1755</v>
      </c>
      <c r="AC62" s="1" t="s">
        <v>3008</v>
      </c>
      <c r="AD62" s="1" t="s">
        <v>424</v>
      </c>
      <c r="AE62" s="1" t="s">
        <v>1760</v>
      </c>
      <c r="AF62" s="1" t="s">
        <v>1761</v>
      </c>
      <c r="AG62" s="1" t="s">
        <v>1762</v>
      </c>
      <c r="AH62" s="1" t="s">
        <v>3007</v>
      </c>
      <c r="AI62" s="1" t="s">
        <v>3007</v>
      </c>
      <c r="AJ62" s="1" t="s">
        <v>1763</v>
      </c>
      <c r="AK62" s="1" t="s">
        <v>1763</v>
      </c>
      <c r="AL62" s="1" t="s">
        <v>1763</v>
      </c>
      <c r="AM62" s="1" t="s">
        <v>3008</v>
      </c>
      <c r="AN62" s="1" t="s">
        <v>424</v>
      </c>
      <c r="AO62" s="1" t="s">
        <v>3009</v>
      </c>
      <c r="AP62" s="1" t="s">
        <v>1765</v>
      </c>
      <c r="AQ62" s="1" t="s">
        <v>1766</v>
      </c>
      <c r="AR62" s="1" t="s">
        <v>1767</v>
      </c>
      <c r="AS62" s="1" t="s">
        <v>1768</v>
      </c>
      <c r="AT62">
        <v>2009150923181390</v>
      </c>
      <c r="AU62" s="1" t="s">
        <v>1769</v>
      </c>
      <c r="AV62">
        <v>11998201696958</v>
      </c>
      <c r="AW62" s="1" t="s">
        <v>1770</v>
      </c>
      <c r="AX62" s="1" t="s">
        <v>1765</v>
      </c>
      <c r="AY62" s="1" t="s">
        <v>3010</v>
      </c>
      <c r="AZ62" s="1" t="s">
        <v>1897</v>
      </c>
      <c r="BA62" s="1" t="s">
        <v>3011</v>
      </c>
      <c r="BB62">
        <v>50</v>
      </c>
      <c r="BC62" s="1" t="s">
        <v>1774</v>
      </c>
      <c r="BD62" s="1" t="s">
        <v>1775</v>
      </c>
      <c r="BE62" s="1" t="s">
        <v>1776</v>
      </c>
      <c r="BF62" s="1" t="s">
        <v>1777</v>
      </c>
      <c r="BG62" s="1" t="s">
        <v>1778</v>
      </c>
      <c r="BH62" s="1" t="s">
        <v>1779</v>
      </c>
      <c r="BI62" s="1" t="s">
        <v>1779</v>
      </c>
      <c r="BJ62" s="1" t="s">
        <v>1780</v>
      </c>
      <c r="BK62" s="1" t="s">
        <v>1781</v>
      </c>
      <c r="BL62" s="1" t="s">
        <v>1754</v>
      </c>
      <c r="BM62" s="1" t="s">
        <v>1782</v>
      </c>
      <c r="BN62" s="1" t="s">
        <v>1783</v>
      </c>
      <c r="BO62" s="1" t="s">
        <v>1784</v>
      </c>
      <c r="BP62" s="1" t="s">
        <v>1785</v>
      </c>
      <c r="BQ62" s="1" t="s">
        <v>1786</v>
      </c>
      <c r="BR62" s="1" t="s">
        <v>3012</v>
      </c>
      <c r="BS62" s="1" t="s">
        <v>1788</v>
      </c>
      <c r="BT62" s="1" t="s">
        <v>3013</v>
      </c>
      <c r="BU62" s="1" t="s">
        <v>1790</v>
      </c>
      <c r="BV62" s="1" t="s">
        <v>3014</v>
      </c>
      <c r="BW62" s="1" t="s">
        <v>1790</v>
      </c>
      <c r="BX62" s="1" t="s">
        <v>3014</v>
      </c>
      <c r="BY62" s="1" t="s">
        <v>2926</v>
      </c>
      <c r="BZ62" s="1" t="s">
        <v>3015</v>
      </c>
      <c r="CA62" s="1" t="s">
        <v>1794</v>
      </c>
      <c r="CB62" s="1" t="s">
        <v>1795</v>
      </c>
      <c r="CC62" s="1" t="s">
        <v>1796</v>
      </c>
      <c r="CD62" s="1" t="s">
        <v>1797</v>
      </c>
      <c r="CE62" s="1" t="s">
        <v>1798</v>
      </c>
      <c r="CF62" s="1" t="s">
        <v>1799</v>
      </c>
      <c r="CG62" s="1" t="s">
        <v>1800</v>
      </c>
      <c r="CH62" s="1" t="s">
        <v>1794</v>
      </c>
      <c r="CI62" s="1" t="s">
        <v>1801</v>
      </c>
      <c r="CJ62" s="1" t="s">
        <v>1794</v>
      </c>
      <c r="CK62" s="1" t="s">
        <v>1802</v>
      </c>
      <c r="CL62" s="1" t="s">
        <v>1803</v>
      </c>
      <c r="CM62" s="1" t="s">
        <v>1804</v>
      </c>
      <c r="CN62" s="1" t="s">
        <v>1805</v>
      </c>
      <c r="CO62" s="1" t="s">
        <v>1794</v>
      </c>
      <c r="CP62" s="1" t="s">
        <v>1806</v>
      </c>
      <c r="CQ62" s="1" t="s">
        <v>1807</v>
      </c>
      <c r="CR62" s="1" t="s">
        <v>1808</v>
      </c>
      <c r="CS62" s="1" t="s">
        <v>1809</v>
      </c>
      <c r="CT62" s="1" t="s">
        <v>1810</v>
      </c>
      <c r="CU62" s="1" t="s">
        <v>1811</v>
      </c>
      <c r="CV62" s="1" t="s">
        <v>1812</v>
      </c>
      <c r="CW62" s="1" t="s">
        <v>1813</v>
      </c>
      <c r="CX62" s="1" t="s">
        <v>1814</v>
      </c>
      <c r="CY62" s="1" t="s">
        <v>1813</v>
      </c>
      <c r="CZ62" s="1" t="s">
        <v>1813</v>
      </c>
      <c r="DA62" s="1" t="s">
        <v>1775</v>
      </c>
      <c r="DB62" s="1" t="s">
        <v>1776</v>
      </c>
      <c r="DC62" s="1" t="s">
        <v>1752</v>
      </c>
      <c r="DD62" s="1" t="s">
        <v>1765</v>
      </c>
      <c r="DE62" s="1" t="s">
        <v>1815</v>
      </c>
      <c r="DF62" s="1" t="s">
        <v>1816</v>
      </c>
      <c r="DG62" s="1" t="s">
        <v>1817</v>
      </c>
      <c r="DH62" s="1" t="s">
        <v>1818</v>
      </c>
      <c r="DI62" s="1" t="s">
        <v>1819</v>
      </c>
      <c r="DJ62" s="1" t="s">
        <v>1820</v>
      </c>
      <c r="DK62" s="1" t="s">
        <v>1821</v>
      </c>
      <c r="DL62" s="1" t="s">
        <v>1822</v>
      </c>
      <c r="DM62" s="1" t="s">
        <v>1765</v>
      </c>
      <c r="DN62" s="1" t="s">
        <v>1765</v>
      </c>
      <c r="DO62" s="1" t="s">
        <v>1823</v>
      </c>
      <c r="DP62" s="1" t="s">
        <v>1824</v>
      </c>
      <c r="DQ62" s="1" t="s">
        <v>1824</v>
      </c>
      <c r="DR62" s="1" t="s">
        <v>1765</v>
      </c>
      <c r="DS62" s="1" t="s">
        <v>1825</v>
      </c>
      <c r="DT62" s="1" t="s">
        <v>1816</v>
      </c>
      <c r="DU62" s="1" t="s">
        <v>1826</v>
      </c>
      <c r="DV62" s="1" t="s">
        <v>3016</v>
      </c>
      <c r="DW62" s="1" t="s">
        <v>1828</v>
      </c>
      <c r="DX62" s="1" t="s">
        <v>3017</v>
      </c>
      <c r="DY62" s="1" t="s">
        <v>424</v>
      </c>
      <c r="DZ62" s="1" t="s">
        <v>1752</v>
      </c>
      <c r="EA62" s="1" t="s">
        <v>218</v>
      </c>
      <c r="EB62" s="1" t="s">
        <v>892</v>
      </c>
      <c r="EC62" s="1" t="s">
        <v>3008</v>
      </c>
      <c r="ED62" s="1" t="s">
        <v>3018</v>
      </c>
      <c r="EE62" s="1" t="s">
        <v>3018</v>
      </c>
      <c r="EF62" s="1" t="s">
        <v>3019</v>
      </c>
      <c r="EG62" s="1" t="s">
        <v>1973</v>
      </c>
      <c r="EH62" s="1" t="s">
        <v>3020</v>
      </c>
      <c r="EI62" s="1" t="s">
        <v>2053</v>
      </c>
      <c r="EJ62" s="1" t="s">
        <v>3021</v>
      </c>
      <c r="EK62" s="1" t="s">
        <v>1836</v>
      </c>
      <c r="EL62" s="1" t="s">
        <v>1837</v>
      </c>
      <c r="EM62" s="1" t="s">
        <v>1838</v>
      </c>
      <c r="EN62" s="1" t="s">
        <v>3022</v>
      </c>
      <c r="EO62" s="1" t="s">
        <v>1840</v>
      </c>
      <c r="EP62" s="1" t="s">
        <v>444</v>
      </c>
      <c r="EQ62" s="1" t="s">
        <v>1782</v>
      </c>
      <c r="ER62" s="1" t="s">
        <v>1802</v>
      </c>
      <c r="ES62" s="1" t="s">
        <v>1802</v>
      </c>
      <c r="ET62" s="1" t="s">
        <v>1802</v>
      </c>
      <c r="EU62" s="1" t="s">
        <v>1802</v>
      </c>
      <c r="EV62" s="1" t="s">
        <v>1802</v>
      </c>
      <c r="EW62" s="1" t="s">
        <v>1802</v>
      </c>
      <c r="EX62" s="1" t="s">
        <v>1802</v>
      </c>
      <c r="EY62" s="1" t="s">
        <v>1802</v>
      </c>
      <c r="EZ62" s="1" t="s">
        <v>1802</v>
      </c>
      <c r="FA62" s="1" t="s">
        <v>1802</v>
      </c>
      <c r="FB62" s="1" t="s">
        <v>1802</v>
      </c>
      <c r="FC62" s="1" t="s">
        <v>1802</v>
      </c>
      <c r="FD62" s="1" t="s">
        <v>1802</v>
      </c>
      <c r="FE62" s="1" t="s">
        <v>1802</v>
      </c>
      <c r="FF62" s="1" t="s">
        <v>1802</v>
      </c>
      <c r="FG62" s="1" t="s">
        <v>1802</v>
      </c>
      <c r="FH62" s="1" t="s">
        <v>1802</v>
      </c>
      <c r="FI62" s="1" t="s">
        <v>1802</v>
      </c>
      <c r="FJ62" s="1" t="s">
        <v>1802</v>
      </c>
      <c r="FK62" s="1" t="s">
        <v>1802</v>
      </c>
      <c r="FL62" s="1" t="s">
        <v>1802</v>
      </c>
      <c r="FM62" s="1" t="s">
        <v>1802</v>
      </c>
      <c r="FN62" s="1" t="s">
        <v>1802</v>
      </c>
      <c r="FO62" s="1" t="s">
        <v>1802</v>
      </c>
      <c r="FP62" s="1" t="s">
        <v>1802</v>
      </c>
      <c r="FQ62" s="1" t="s">
        <v>1802</v>
      </c>
      <c r="FR62" s="2"/>
      <c r="FS62" s="1" t="s">
        <v>1802</v>
      </c>
    </row>
    <row r="63" spans="1:175" x14ac:dyDescent="0.3">
      <c r="A63" s="1" t="s">
        <v>3023</v>
      </c>
      <c r="B63" s="1" t="s">
        <v>1739</v>
      </c>
      <c r="C63" s="1" t="s">
        <v>1110</v>
      </c>
      <c r="D63" s="1" t="s">
        <v>1740</v>
      </c>
      <c r="E63" s="1" t="s">
        <v>1913</v>
      </c>
      <c r="F63" s="1" t="s">
        <v>3024</v>
      </c>
      <c r="G63" s="1" t="s">
        <v>3024</v>
      </c>
      <c r="H63" s="1" t="s">
        <v>1915</v>
      </c>
      <c r="I63" s="1" t="s">
        <v>1744</v>
      </c>
      <c r="J63" s="1" t="s">
        <v>1745</v>
      </c>
      <c r="K63" s="1" t="s">
        <v>1746</v>
      </c>
      <c r="L63" s="1" t="s">
        <v>1747</v>
      </c>
      <c r="M63" s="1" t="s">
        <v>1748</v>
      </c>
      <c r="N63" s="1" t="s">
        <v>1749</v>
      </c>
      <c r="O63" s="1" t="s">
        <v>1750</v>
      </c>
      <c r="P63" s="1" t="s">
        <v>1751</v>
      </c>
      <c r="Q63">
        <v>49</v>
      </c>
      <c r="R63" s="1" t="s">
        <v>1752</v>
      </c>
      <c r="S63" s="1" t="s">
        <v>1753</v>
      </c>
      <c r="T63" s="1" t="s">
        <v>1754</v>
      </c>
      <c r="U63" s="1" t="s">
        <v>1755</v>
      </c>
      <c r="V63" s="1" t="s">
        <v>1756</v>
      </c>
      <c r="W63">
        <v>72</v>
      </c>
      <c r="X63">
        <v>72</v>
      </c>
      <c r="Y63" s="1" t="s">
        <v>1757</v>
      </c>
      <c r="Z63" s="2">
        <v>36999</v>
      </c>
      <c r="AA63" s="1" t="s">
        <v>3025</v>
      </c>
      <c r="AB63" s="1" t="s">
        <v>1755</v>
      </c>
      <c r="AC63" s="1" t="s">
        <v>3026</v>
      </c>
      <c r="AD63" s="1" t="s">
        <v>424</v>
      </c>
      <c r="AE63" s="1" t="s">
        <v>1760</v>
      </c>
      <c r="AF63" s="1" t="s">
        <v>1761</v>
      </c>
      <c r="AG63" s="1" t="s">
        <v>1762</v>
      </c>
      <c r="AH63" s="1" t="s">
        <v>3025</v>
      </c>
      <c r="AI63" s="1" t="s">
        <v>3025</v>
      </c>
      <c r="AJ63" s="1" t="s">
        <v>1763</v>
      </c>
      <c r="AK63" s="1" t="s">
        <v>1763</v>
      </c>
      <c r="AL63" s="1" t="s">
        <v>1763</v>
      </c>
      <c r="AM63" s="1" t="s">
        <v>3026</v>
      </c>
      <c r="AN63" s="1" t="s">
        <v>424</v>
      </c>
      <c r="AO63" s="1" t="s">
        <v>3027</v>
      </c>
      <c r="AP63" s="1" t="s">
        <v>1765</v>
      </c>
      <c r="AQ63" s="1" t="s">
        <v>1766</v>
      </c>
      <c r="AR63" s="1" t="s">
        <v>1767</v>
      </c>
      <c r="AS63" s="1" t="s">
        <v>1768</v>
      </c>
      <c r="AT63">
        <v>2010150922131390</v>
      </c>
      <c r="AU63" s="1" t="s">
        <v>1769</v>
      </c>
      <c r="AV63">
        <v>13989782895000</v>
      </c>
      <c r="AW63" s="1" t="s">
        <v>1770</v>
      </c>
      <c r="AX63" s="1" t="s">
        <v>1765</v>
      </c>
      <c r="AY63" s="1" t="s">
        <v>3028</v>
      </c>
      <c r="AZ63" s="1" t="s">
        <v>1897</v>
      </c>
      <c r="BA63" s="1" t="s">
        <v>3029</v>
      </c>
      <c r="BB63">
        <v>610</v>
      </c>
      <c r="BC63" s="1" t="s">
        <v>1774</v>
      </c>
      <c r="BD63" s="1" t="s">
        <v>1775</v>
      </c>
      <c r="BE63" s="1" t="s">
        <v>1776</v>
      </c>
      <c r="BF63" s="1" t="s">
        <v>1777</v>
      </c>
      <c r="BG63" s="1" t="s">
        <v>1778</v>
      </c>
      <c r="BH63" s="1" t="s">
        <v>1779</v>
      </c>
      <c r="BI63" s="1" t="s">
        <v>1779</v>
      </c>
      <c r="BJ63" s="1" t="s">
        <v>1780</v>
      </c>
      <c r="BK63" s="1" t="s">
        <v>1781</v>
      </c>
      <c r="BL63" s="1" t="s">
        <v>1754</v>
      </c>
      <c r="BM63" s="1" t="s">
        <v>1782</v>
      </c>
      <c r="BN63" s="1" t="s">
        <v>1783</v>
      </c>
      <c r="BO63" s="1" t="s">
        <v>1784</v>
      </c>
      <c r="BP63" s="1" t="s">
        <v>1785</v>
      </c>
      <c r="BQ63" s="1" t="s">
        <v>1786</v>
      </c>
      <c r="BR63" s="1" t="s">
        <v>3030</v>
      </c>
      <c r="BS63" s="1" t="s">
        <v>1788</v>
      </c>
      <c r="BT63" s="1" t="s">
        <v>3031</v>
      </c>
      <c r="BU63" s="1" t="s">
        <v>1790</v>
      </c>
      <c r="BV63" s="1" t="s">
        <v>3032</v>
      </c>
      <c r="BW63" s="1" t="s">
        <v>1790</v>
      </c>
      <c r="BX63" s="1" t="s">
        <v>3032</v>
      </c>
      <c r="BY63" s="1" t="s">
        <v>2926</v>
      </c>
      <c r="BZ63" s="1" t="s">
        <v>3033</v>
      </c>
      <c r="CA63" s="1" t="s">
        <v>1794</v>
      </c>
      <c r="CB63" s="1" t="s">
        <v>1795</v>
      </c>
      <c r="CC63" s="1" t="s">
        <v>1796</v>
      </c>
      <c r="CD63" s="1" t="s">
        <v>1797</v>
      </c>
      <c r="CE63" s="1" t="s">
        <v>1798</v>
      </c>
      <c r="CF63" s="1" t="s">
        <v>1799</v>
      </c>
      <c r="CG63" s="1" t="s">
        <v>1800</v>
      </c>
      <c r="CH63" s="1" t="s">
        <v>1794</v>
      </c>
      <c r="CI63" s="1" t="s">
        <v>1801</v>
      </c>
      <c r="CJ63" s="1" t="s">
        <v>1794</v>
      </c>
      <c r="CK63" s="1" t="s">
        <v>1802</v>
      </c>
      <c r="CL63" s="1" t="s">
        <v>1803</v>
      </c>
      <c r="CM63" s="1" t="s">
        <v>1804</v>
      </c>
      <c r="CN63" s="1" t="s">
        <v>1805</v>
      </c>
      <c r="CO63" s="1" t="s">
        <v>1794</v>
      </c>
      <c r="CP63" s="1" t="s">
        <v>1806</v>
      </c>
      <c r="CQ63" s="1" t="s">
        <v>1807</v>
      </c>
      <c r="CR63" s="1" t="s">
        <v>1808</v>
      </c>
      <c r="CS63" s="1" t="s">
        <v>1809</v>
      </c>
      <c r="CT63" s="1" t="s">
        <v>1810</v>
      </c>
      <c r="CU63" s="1" t="s">
        <v>1811</v>
      </c>
      <c r="CV63" s="1" t="s">
        <v>1812</v>
      </c>
      <c r="CW63" s="1" t="s">
        <v>1813</v>
      </c>
      <c r="CX63" s="1" t="s">
        <v>1814</v>
      </c>
      <c r="CY63" s="1" t="s">
        <v>1813</v>
      </c>
      <c r="CZ63" s="1" t="s">
        <v>1813</v>
      </c>
      <c r="DA63" s="1" t="s">
        <v>1775</v>
      </c>
      <c r="DB63" s="1" t="s">
        <v>1776</v>
      </c>
      <c r="DC63" s="1" t="s">
        <v>1752</v>
      </c>
      <c r="DD63" s="1" t="s">
        <v>1765</v>
      </c>
      <c r="DE63" s="1" t="s">
        <v>1815</v>
      </c>
      <c r="DF63" s="1" t="s">
        <v>1816</v>
      </c>
      <c r="DG63" s="1" t="s">
        <v>1817</v>
      </c>
      <c r="DH63" s="1" t="s">
        <v>1818</v>
      </c>
      <c r="DI63" s="1" t="s">
        <v>1819</v>
      </c>
      <c r="DJ63" s="1" t="s">
        <v>1820</v>
      </c>
      <c r="DK63" s="1" t="s">
        <v>1821</v>
      </c>
      <c r="DL63" s="1" t="s">
        <v>1822</v>
      </c>
      <c r="DM63" s="1" t="s">
        <v>1765</v>
      </c>
      <c r="DN63" s="1" t="s">
        <v>1765</v>
      </c>
      <c r="DO63" s="1" t="s">
        <v>1823</v>
      </c>
      <c r="DP63" s="1" t="s">
        <v>1824</v>
      </c>
      <c r="DQ63" s="1" t="s">
        <v>1824</v>
      </c>
      <c r="DR63" s="1" t="s">
        <v>1765</v>
      </c>
      <c r="DS63" s="1" t="s">
        <v>1825</v>
      </c>
      <c r="DT63" s="1" t="s">
        <v>1816</v>
      </c>
      <c r="DU63" s="1" t="s">
        <v>1826</v>
      </c>
      <c r="DV63" s="1" t="s">
        <v>3034</v>
      </c>
      <c r="DW63" s="1" t="s">
        <v>1828</v>
      </c>
      <c r="DX63" s="1" t="s">
        <v>3035</v>
      </c>
      <c r="DY63" s="1" t="s">
        <v>424</v>
      </c>
      <c r="DZ63" s="1" t="s">
        <v>1752</v>
      </c>
      <c r="EA63" s="1" t="s">
        <v>218</v>
      </c>
      <c r="EB63" s="1" t="s">
        <v>892</v>
      </c>
      <c r="EC63" s="1" t="s">
        <v>3026</v>
      </c>
      <c r="ED63" s="1" t="s">
        <v>3036</v>
      </c>
      <c r="EE63" s="1" t="s">
        <v>3036</v>
      </c>
      <c r="EF63" s="1" t="s">
        <v>3037</v>
      </c>
      <c r="EG63" s="1" t="s">
        <v>1929</v>
      </c>
      <c r="EH63" s="1" t="s">
        <v>3038</v>
      </c>
      <c r="EI63" s="1" t="s">
        <v>1931</v>
      </c>
      <c r="EJ63" s="1" t="s">
        <v>3039</v>
      </c>
      <c r="EK63" s="1" t="s">
        <v>1836</v>
      </c>
      <c r="EL63" s="1" t="s">
        <v>1837</v>
      </c>
      <c r="EM63" s="1" t="s">
        <v>1838</v>
      </c>
      <c r="EN63" s="1" t="s">
        <v>3040</v>
      </c>
      <c r="EO63" s="1" t="s">
        <v>1840</v>
      </c>
      <c r="EP63" s="1" t="s">
        <v>3041</v>
      </c>
      <c r="EQ63" s="1" t="s">
        <v>1782</v>
      </c>
      <c r="ER63" s="1" t="s">
        <v>1802</v>
      </c>
      <c r="ES63" s="1" t="s">
        <v>1802</v>
      </c>
      <c r="ET63" s="1" t="s">
        <v>1802</v>
      </c>
      <c r="EU63" s="1" t="s">
        <v>1802</v>
      </c>
      <c r="EV63" s="1" t="s">
        <v>1802</v>
      </c>
      <c r="EW63" s="1" t="s">
        <v>1802</v>
      </c>
      <c r="EX63" s="1" t="s">
        <v>1802</v>
      </c>
      <c r="EY63" s="1" t="s">
        <v>1802</v>
      </c>
      <c r="EZ63" s="1" t="s">
        <v>1802</v>
      </c>
      <c r="FA63" s="1" t="s">
        <v>1802</v>
      </c>
      <c r="FB63" s="1" t="s">
        <v>1802</v>
      </c>
      <c r="FC63" s="1" t="s">
        <v>1802</v>
      </c>
      <c r="FD63" s="1" t="s">
        <v>1802</v>
      </c>
      <c r="FE63" s="1" t="s">
        <v>1802</v>
      </c>
      <c r="FF63" s="1" t="s">
        <v>1802</v>
      </c>
      <c r="FG63" s="1" t="s">
        <v>1802</v>
      </c>
      <c r="FH63" s="1" t="s">
        <v>1802</v>
      </c>
      <c r="FI63" s="1" t="s">
        <v>1802</v>
      </c>
      <c r="FJ63" s="1" t="s">
        <v>1802</v>
      </c>
      <c r="FK63" s="1" t="s">
        <v>1802</v>
      </c>
      <c r="FL63" s="1" t="s">
        <v>1802</v>
      </c>
      <c r="FM63" s="1" t="s">
        <v>1802</v>
      </c>
      <c r="FN63" s="1" t="s">
        <v>1802</v>
      </c>
      <c r="FO63" s="1" t="s">
        <v>1802</v>
      </c>
      <c r="FP63" s="1" t="s">
        <v>1802</v>
      </c>
      <c r="FQ63" s="1" t="s">
        <v>1802</v>
      </c>
      <c r="FR63" s="2"/>
      <c r="FS63" s="1" t="s">
        <v>1802</v>
      </c>
    </row>
    <row r="64" spans="1:175" x14ac:dyDescent="0.3">
      <c r="A64" s="1" t="s">
        <v>3042</v>
      </c>
      <c r="B64" s="1" t="s">
        <v>1739</v>
      </c>
      <c r="C64" s="1" t="s">
        <v>1118</v>
      </c>
      <c r="D64" s="1" t="s">
        <v>1740</v>
      </c>
      <c r="E64" s="1" t="s">
        <v>1741</v>
      </c>
      <c r="F64" s="1" t="s">
        <v>3043</v>
      </c>
      <c r="G64" s="1" t="s">
        <v>3043</v>
      </c>
      <c r="H64" s="1" t="s">
        <v>3044</v>
      </c>
      <c r="I64" s="1" t="s">
        <v>1744</v>
      </c>
      <c r="J64" s="1" t="s">
        <v>1745</v>
      </c>
      <c r="K64" s="1" t="s">
        <v>1746</v>
      </c>
      <c r="L64" s="1" t="s">
        <v>1747</v>
      </c>
      <c r="M64" s="1" t="s">
        <v>1748</v>
      </c>
      <c r="N64" s="1" t="s">
        <v>1749</v>
      </c>
      <c r="O64" s="1" t="s">
        <v>1750</v>
      </c>
      <c r="P64" s="1" t="s">
        <v>1751</v>
      </c>
      <c r="Q64">
        <v>49</v>
      </c>
      <c r="R64" s="1" t="s">
        <v>1752</v>
      </c>
      <c r="S64" s="1" t="s">
        <v>1753</v>
      </c>
      <c r="T64" s="1" t="s">
        <v>1754</v>
      </c>
      <c r="U64" s="1" t="s">
        <v>1755</v>
      </c>
      <c r="V64" s="1" t="s">
        <v>1756</v>
      </c>
      <c r="W64">
        <v>72</v>
      </c>
      <c r="X64">
        <v>72</v>
      </c>
      <c r="Y64" s="1" t="s">
        <v>1757</v>
      </c>
      <c r="Z64" s="2">
        <v>36999</v>
      </c>
      <c r="AA64" s="1" t="s">
        <v>3045</v>
      </c>
      <c r="AB64" s="1" t="s">
        <v>1755</v>
      </c>
      <c r="AC64" s="1" t="s">
        <v>3046</v>
      </c>
      <c r="AD64" s="1" t="s">
        <v>424</v>
      </c>
      <c r="AE64" s="1" t="s">
        <v>1760</v>
      </c>
      <c r="AF64" s="1" t="s">
        <v>3047</v>
      </c>
      <c r="AG64" s="1" t="s">
        <v>1762</v>
      </c>
      <c r="AH64" s="1" t="s">
        <v>3045</v>
      </c>
      <c r="AI64" s="1" t="s">
        <v>3045</v>
      </c>
      <c r="AJ64" s="1" t="s">
        <v>1763</v>
      </c>
      <c r="AK64" s="1" t="s">
        <v>1763</v>
      </c>
      <c r="AL64" s="1" t="s">
        <v>1763</v>
      </c>
      <c r="AM64" s="1" t="s">
        <v>3046</v>
      </c>
      <c r="AN64" s="1" t="s">
        <v>424</v>
      </c>
      <c r="AO64" s="1" t="s">
        <v>3048</v>
      </c>
      <c r="AP64" s="1" t="s">
        <v>1765</v>
      </c>
      <c r="AQ64" s="1" t="s">
        <v>1766</v>
      </c>
      <c r="AR64" s="1" t="s">
        <v>1767</v>
      </c>
      <c r="AS64" s="1" t="s">
        <v>1768</v>
      </c>
      <c r="AT64">
        <v>2010150922131390</v>
      </c>
      <c r="AU64" s="1" t="s">
        <v>1769</v>
      </c>
      <c r="AV64">
        <v>18214852127541</v>
      </c>
      <c r="AW64" s="1" t="s">
        <v>1770</v>
      </c>
      <c r="AX64" s="1" t="s">
        <v>1765</v>
      </c>
      <c r="AY64" s="1" t="s">
        <v>3049</v>
      </c>
      <c r="AZ64" s="1" t="s">
        <v>1897</v>
      </c>
      <c r="BA64" s="1" t="s">
        <v>3050</v>
      </c>
      <c r="BB64">
        <v>676</v>
      </c>
      <c r="BC64" s="1" t="s">
        <v>1774</v>
      </c>
      <c r="BD64" s="1" t="s">
        <v>1775</v>
      </c>
      <c r="BE64" s="1" t="s">
        <v>1776</v>
      </c>
      <c r="BF64" s="1" t="s">
        <v>1777</v>
      </c>
      <c r="BG64" s="1" t="s">
        <v>1778</v>
      </c>
      <c r="BH64" s="1" t="s">
        <v>1779</v>
      </c>
      <c r="BI64" s="1" t="s">
        <v>1779</v>
      </c>
      <c r="BJ64" s="1" t="s">
        <v>1780</v>
      </c>
      <c r="BK64" s="1" t="s">
        <v>1781</v>
      </c>
      <c r="BL64" s="1" t="s">
        <v>1754</v>
      </c>
      <c r="BM64" s="1" t="s">
        <v>1782</v>
      </c>
      <c r="BN64" s="1" t="s">
        <v>1783</v>
      </c>
      <c r="BO64" s="1" t="s">
        <v>1784</v>
      </c>
      <c r="BP64" s="1" t="s">
        <v>1785</v>
      </c>
      <c r="BQ64" s="1" t="s">
        <v>1786</v>
      </c>
      <c r="BR64" s="1" t="s">
        <v>3051</v>
      </c>
      <c r="BS64" s="1" t="s">
        <v>1788</v>
      </c>
      <c r="BT64" s="1" t="s">
        <v>3052</v>
      </c>
      <c r="BU64" s="1" t="s">
        <v>1790</v>
      </c>
      <c r="BV64" s="1" t="s">
        <v>3053</v>
      </c>
      <c r="BW64" s="1" t="s">
        <v>1790</v>
      </c>
      <c r="BX64" s="1" t="s">
        <v>3053</v>
      </c>
      <c r="BY64" s="1" t="s">
        <v>2926</v>
      </c>
      <c r="BZ64" s="1" t="s">
        <v>3054</v>
      </c>
      <c r="CA64" s="1" t="s">
        <v>1794</v>
      </c>
      <c r="CB64" s="1" t="s">
        <v>1795</v>
      </c>
      <c r="CC64" s="1" t="s">
        <v>1796</v>
      </c>
      <c r="CD64" s="1" t="s">
        <v>1797</v>
      </c>
      <c r="CE64" s="1" t="s">
        <v>1798</v>
      </c>
      <c r="CF64" s="1" t="s">
        <v>1799</v>
      </c>
      <c r="CG64" s="1" t="s">
        <v>1800</v>
      </c>
      <c r="CH64" s="1" t="s">
        <v>1794</v>
      </c>
      <c r="CI64" s="1" t="s">
        <v>1801</v>
      </c>
      <c r="CJ64" s="1" t="s">
        <v>1794</v>
      </c>
      <c r="CK64" s="1" t="s">
        <v>1802</v>
      </c>
      <c r="CL64" s="1" t="s">
        <v>1803</v>
      </c>
      <c r="CM64" s="1" t="s">
        <v>1804</v>
      </c>
      <c r="CN64" s="1" t="s">
        <v>1805</v>
      </c>
      <c r="CO64" s="1" t="s">
        <v>1794</v>
      </c>
      <c r="CP64" s="1" t="s">
        <v>1806</v>
      </c>
      <c r="CQ64" s="1" t="s">
        <v>1807</v>
      </c>
      <c r="CR64" s="1" t="s">
        <v>1808</v>
      </c>
      <c r="CS64" s="1" t="s">
        <v>1809</v>
      </c>
      <c r="CT64" s="1" t="s">
        <v>1810</v>
      </c>
      <c r="CU64" s="1" t="s">
        <v>1811</v>
      </c>
      <c r="CV64" s="1" t="s">
        <v>1812</v>
      </c>
      <c r="CW64" s="1" t="s">
        <v>1813</v>
      </c>
      <c r="CX64" s="1" t="s">
        <v>1814</v>
      </c>
      <c r="CY64" s="1" t="s">
        <v>1813</v>
      </c>
      <c r="CZ64" s="1" t="s">
        <v>1813</v>
      </c>
      <c r="DA64" s="1" t="s">
        <v>1775</v>
      </c>
      <c r="DB64" s="1" t="s">
        <v>1776</v>
      </c>
      <c r="DC64" s="1" t="s">
        <v>1752</v>
      </c>
      <c r="DD64" s="1" t="s">
        <v>1765</v>
      </c>
      <c r="DE64" s="1" t="s">
        <v>1815</v>
      </c>
      <c r="DF64" s="1" t="s">
        <v>1816</v>
      </c>
      <c r="DG64" s="1" t="s">
        <v>1817</v>
      </c>
      <c r="DH64" s="1" t="s">
        <v>1818</v>
      </c>
      <c r="DI64" s="1" t="s">
        <v>1819</v>
      </c>
      <c r="DJ64" s="1" t="s">
        <v>1820</v>
      </c>
      <c r="DK64" s="1" t="s">
        <v>1821</v>
      </c>
      <c r="DL64" s="1" t="s">
        <v>1822</v>
      </c>
      <c r="DM64" s="1" t="s">
        <v>1765</v>
      </c>
      <c r="DN64" s="1" t="s">
        <v>1765</v>
      </c>
      <c r="DO64" s="1" t="s">
        <v>1823</v>
      </c>
      <c r="DP64" s="1" t="s">
        <v>1824</v>
      </c>
      <c r="DQ64" s="1" t="s">
        <v>1824</v>
      </c>
      <c r="DR64" s="1" t="s">
        <v>1765</v>
      </c>
      <c r="DS64" s="1" t="s">
        <v>1825</v>
      </c>
      <c r="DT64" s="1" t="s">
        <v>1816</v>
      </c>
      <c r="DU64" s="1" t="s">
        <v>1826</v>
      </c>
      <c r="DV64" s="1" t="s">
        <v>3055</v>
      </c>
      <c r="DW64" s="1" t="s">
        <v>1828</v>
      </c>
      <c r="DX64" s="1" t="s">
        <v>3056</v>
      </c>
      <c r="DY64" s="1" t="s">
        <v>424</v>
      </c>
      <c r="DZ64" s="1" t="s">
        <v>1752</v>
      </c>
      <c r="EA64" s="1" t="s">
        <v>218</v>
      </c>
      <c r="EB64" s="1" t="s">
        <v>892</v>
      </c>
      <c r="EC64" s="1" t="s">
        <v>3046</v>
      </c>
      <c r="ED64" s="1" t="s">
        <v>3057</v>
      </c>
      <c r="EE64" s="1" t="s">
        <v>3057</v>
      </c>
      <c r="EF64" s="1" t="s">
        <v>3058</v>
      </c>
      <c r="EG64" s="1" t="s">
        <v>1973</v>
      </c>
      <c r="EH64" s="1" t="s">
        <v>3059</v>
      </c>
      <c r="EI64" s="1" t="s">
        <v>2711</v>
      </c>
      <c r="EJ64" s="1" t="s">
        <v>3021</v>
      </c>
      <c r="EK64" s="1" t="s">
        <v>1836</v>
      </c>
      <c r="EL64" s="1" t="s">
        <v>1837</v>
      </c>
      <c r="EM64" s="1" t="s">
        <v>1838</v>
      </c>
      <c r="EN64" s="1" t="s">
        <v>3060</v>
      </c>
      <c r="EO64" s="1" t="s">
        <v>1840</v>
      </c>
      <c r="EP64" s="1" t="s">
        <v>711</v>
      </c>
      <c r="EQ64" s="1" t="s">
        <v>1782</v>
      </c>
      <c r="ER64" s="1" t="s">
        <v>1802</v>
      </c>
      <c r="ES64" s="1" t="s">
        <v>1802</v>
      </c>
      <c r="ET64" s="1" t="s">
        <v>1802</v>
      </c>
      <c r="EU64" s="1" t="s">
        <v>1802</v>
      </c>
      <c r="EV64" s="1" t="s">
        <v>1802</v>
      </c>
      <c r="EW64" s="1" t="s">
        <v>1802</v>
      </c>
      <c r="EX64" s="1" t="s">
        <v>1802</v>
      </c>
      <c r="EY64" s="1" t="s">
        <v>1802</v>
      </c>
      <c r="EZ64" s="1" t="s">
        <v>1802</v>
      </c>
      <c r="FA64" s="1" t="s">
        <v>1802</v>
      </c>
      <c r="FB64" s="1" t="s">
        <v>1802</v>
      </c>
      <c r="FC64" s="1" t="s">
        <v>1802</v>
      </c>
      <c r="FD64" s="1" t="s">
        <v>1802</v>
      </c>
      <c r="FE64" s="1" t="s">
        <v>1802</v>
      </c>
      <c r="FF64" s="1" t="s">
        <v>1802</v>
      </c>
      <c r="FG64" s="1" t="s">
        <v>1802</v>
      </c>
      <c r="FH64" s="1" t="s">
        <v>1802</v>
      </c>
      <c r="FI64" s="1" t="s">
        <v>1802</v>
      </c>
      <c r="FJ64" s="1" t="s">
        <v>1802</v>
      </c>
      <c r="FK64" s="1" t="s">
        <v>1802</v>
      </c>
      <c r="FL64" s="1" t="s">
        <v>1802</v>
      </c>
      <c r="FM64" s="1" t="s">
        <v>1802</v>
      </c>
      <c r="FN64" s="1" t="s">
        <v>1802</v>
      </c>
      <c r="FO64" s="1" t="s">
        <v>1802</v>
      </c>
      <c r="FP64" s="1" t="s">
        <v>1802</v>
      </c>
      <c r="FQ64" s="1" t="s">
        <v>1802</v>
      </c>
      <c r="FR64" s="2"/>
      <c r="FS64" s="1" t="s">
        <v>1802</v>
      </c>
    </row>
    <row r="65" spans="1:175" x14ac:dyDescent="0.3">
      <c r="A65" s="1" t="s">
        <v>3061</v>
      </c>
      <c r="B65" s="1" t="s">
        <v>1739</v>
      </c>
      <c r="C65" s="1" t="s">
        <v>1127</v>
      </c>
      <c r="D65" s="1" t="s">
        <v>1740</v>
      </c>
      <c r="E65" s="1" t="s">
        <v>2471</v>
      </c>
      <c r="F65" s="1" t="s">
        <v>3062</v>
      </c>
      <c r="G65" s="1" t="s">
        <v>3062</v>
      </c>
      <c r="H65" s="1" t="s">
        <v>1915</v>
      </c>
      <c r="I65" s="1" t="s">
        <v>1744</v>
      </c>
      <c r="J65" s="1" t="s">
        <v>1745</v>
      </c>
      <c r="K65" s="1" t="s">
        <v>1746</v>
      </c>
      <c r="L65" s="1" t="s">
        <v>1747</v>
      </c>
      <c r="M65" s="1" t="s">
        <v>1748</v>
      </c>
      <c r="N65" s="1" t="s">
        <v>1749</v>
      </c>
      <c r="O65" s="1" t="s">
        <v>1750</v>
      </c>
      <c r="P65" s="1" t="s">
        <v>1751</v>
      </c>
      <c r="Q65">
        <v>49</v>
      </c>
      <c r="R65" s="1" t="s">
        <v>1752</v>
      </c>
      <c r="S65" s="1" t="s">
        <v>1753</v>
      </c>
      <c r="T65" s="1" t="s">
        <v>1754</v>
      </c>
      <c r="U65" s="1" t="s">
        <v>1755</v>
      </c>
      <c r="V65" s="1" t="s">
        <v>1756</v>
      </c>
      <c r="W65">
        <v>72</v>
      </c>
      <c r="X65">
        <v>72</v>
      </c>
      <c r="Y65" s="1" t="s">
        <v>1757</v>
      </c>
      <c r="Z65" s="2">
        <v>36999</v>
      </c>
      <c r="AA65" s="1" t="s">
        <v>3063</v>
      </c>
      <c r="AB65" s="1" t="s">
        <v>1755</v>
      </c>
      <c r="AC65" s="1" t="s">
        <v>3064</v>
      </c>
      <c r="AD65" s="1" t="s">
        <v>424</v>
      </c>
      <c r="AE65" s="1" t="s">
        <v>1760</v>
      </c>
      <c r="AF65" s="1" t="s">
        <v>3065</v>
      </c>
      <c r="AG65" s="1" t="s">
        <v>1762</v>
      </c>
      <c r="AH65" s="1" t="s">
        <v>3063</v>
      </c>
      <c r="AI65" s="1" t="s">
        <v>3063</v>
      </c>
      <c r="AJ65" s="1" t="s">
        <v>1763</v>
      </c>
      <c r="AK65" s="1" t="s">
        <v>1763</v>
      </c>
      <c r="AL65" s="1" t="s">
        <v>1763</v>
      </c>
      <c r="AM65" s="1" t="s">
        <v>3064</v>
      </c>
      <c r="AN65" s="1" t="s">
        <v>424</v>
      </c>
      <c r="AO65" s="1" t="s">
        <v>3066</v>
      </c>
      <c r="AP65" s="1" t="s">
        <v>1765</v>
      </c>
      <c r="AQ65" s="1" t="s">
        <v>1766</v>
      </c>
      <c r="AR65" s="1" t="s">
        <v>1767</v>
      </c>
      <c r="AS65" s="1" t="s">
        <v>1768</v>
      </c>
      <c r="AT65">
        <v>2010150922131390</v>
      </c>
      <c r="AU65" s="1" t="s">
        <v>1769</v>
      </c>
      <c r="AV65">
        <v>21124501510625</v>
      </c>
      <c r="AW65" s="1" t="s">
        <v>1770</v>
      </c>
      <c r="AX65" s="1" t="s">
        <v>1765</v>
      </c>
      <c r="AY65" s="1" t="s">
        <v>3067</v>
      </c>
      <c r="AZ65" s="1" t="s">
        <v>1897</v>
      </c>
      <c r="BA65" s="1" t="s">
        <v>3068</v>
      </c>
      <c r="BB65">
        <v>200</v>
      </c>
      <c r="BC65" s="1" t="s">
        <v>1774</v>
      </c>
      <c r="BD65" s="1" t="s">
        <v>1775</v>
      </c>
      <c r="BE65" s="1" t="s">
        <v>1776</v>
      </c>
      <c r="BF65" s="1" t="s">
        <v>1777</v>
      </c>
      <c r="BG65" s="1" t="s">
        <v>1778</v>
      </c>
      <c r="BH65" s="1" t="s">
        <v>1779</v>
      </c>
      <c r="BI65" s="1" t="s">
        <v>1779</v>
      </c>
      <c r="BJ65" s="1" t="s">
        <v>1780</v>
      </c>
      <c r="BK65" s="1" t="s">
        <v>1781</v>
      </c>
      <c r="BL65" s="1" t="s">
        <v>1754</v>
      </c>
      <c r="BM65" s="1" t="s">
        <v>1782</v>
      </c>
      <c r="BN65" s="1" t="s">
        <v>1783</v>
      </c>
      <c r="BO65" s="1" t="s">
        <v>1784</v>
      </c>
      <c r="BP65" s="1" t="s">
        <v>1785</v>
      </c>
      <c r="BQ65" s="1" t="s">
        <v>1786</v>
      </c>
      <c r="BR65" s="1" t="s">
        <v>3069</v>
      </c>
      <c r="BS65" s="1" t="s">
        <v>1788</v>
      </c>
      <c r="BT65" s="1" t="s">
        <v>3070</v>
      </c>
      <c r="BU65" s="1" t="s">
        <v>1790</v>
      </c>
      <c r="BV65" s="1" t="s">
        <v>3071</v>
      </c>
      <c r="BW65" s="1" t="s">
        <v>1790</v>
      </c>
      <c r="BX65" s="1" t="s">
        <v>3071</v>
      </c>
      <c r="BY65" s="1" t="s">
        <v>2926</v>
      </c>
      <c r="BZ65" s="1" t="s">
        <v>2144</v>
      </c>
      <c r="CA65" s="1" t="s">
        <v>1794</v>
      </c>
      <c r="CB65" s="1" t="s">
        <v>1795</v>
      </c>
      <c r="CC65" s="1" t="s">
        <v>1796</v>
      </c>
      <c r="CD65" s="1" t="s">
        <v>1797</v>
      </c>
      <c r="CE65" s="1" t="s">
        <v>1798</v>
      </c>
      <c r="CF65" s="1" t="s">
        <v>1799</v>
      </c>
      <c r="CG65" s="1" t="s">
        <v>1800</v>
      </c>
      <c r="CH65" s="1" t="s">
        <v>1794</v>
      </c>
      <c r="CI65" s="1" t="s">
        <v>1801</v>
      </c>
      <c r="CJ65" s="1" t="s">
        <v>1794</v>
      </c>
      <c r="CK65" s="1" t="s">
        <v>1802</v>
      </c>
      <c r="CL65" s="1" t="s">
        <v>1803</v>
      </c>
      <c r="CM65" s="1" t="s">
        <v>1804</v>
      </c>
      <c r="CN65" s="1" t="s">
        <v>1805</v>
      </c>
      <c r="CO65" s="1" t="s">
        <v>1794</v>
      </c>
      <c r="CP65" s="1" t="s">
        <v>1806</v>
      </c>
      <c r="CQ65" s="1" t="s">
        <v>1807</v>
      </c>
      <c r="CR65" s="1" t="s">
        <v>1808</v>
      </c>
      <c r="CS65" s="1" t="s">
        <v>1809</v>
      </c>
      <c r="CT65" s="1" t="s">
        <v>1810</v>
      </c>
      <c r="CU65" s="1" t="s">
        <v>1811</v>
      </c>
      <c r="CV65" s="1" t="s">
        <v>1812</v>
      </c>
      <c r="CW65" s="1" t="s">
        <v>1813</v>
      </c>
      <c r="CX65" s="1" t="s">
        <v>1814</v>
      </c>
      <c r="CY65" s="1" t="s">
        <v>1813</v>
      </c>
      <c r="CZ65" s="1" t="s">
        <v>1813</v>
      </c>
      <c r="DA65" s="1" t="s">
        <v>1775</v>
      </c>
      <c r="DB65" s="1" t="s">
        <v>1776</v>
      </c>
      <c r="DC65" s="1" t="s">
        <v>1752</v>
      </c>
      <c r="DD65" s="1" t="s">
        <v>1765</v>
      </c>
      <c r="DE65" s="1" t="s">
        <v>1815</v>
      </c>
      <c r="DF65" s="1" t="s">
        <v>1816</v>
      </c>
      <c r="DG65" s="1" t="s">
        <v>1817</v>
      </c>
      <c r="DH65" s="1" t="s">
        <v>1818</v>
      </c>
      <c r="DI65" s="1" t="s">
        <v>1819</v>
      </c>
      <c r="DJ65" s="1" t="s">
        <v>1820</v>
      </c>
      <c r="DK65" s="1" t="s">
        <v>1821</v>
      </c>
      <c r="DL65" s="1" t="s">
        <v>1822</v>
      </c>
      <c r="DM65" s="1" t="s">
        <v>1765</v>
      </c>
      <c r="DN65" s="1" t="s">
        <v>1765</v>
      </c>
      <c r="DO65" s="1" t="s">
        <v>1823</v>
      </c>
      <c r="DP65" s="1" t="s">
        <v>1824</v>
      </c>
      <c r="DQ65" s="1" t="s">
        <v>1824</v>
      </c>
      <c r="DR65" s="1" t="s">
        <v>1765</v>
      </c>
      <c r="DS65" s="1" t="s">
        <v>1825</v>
      </c>
      <c r="DT65" s="1" t="s">
        <v>1816</v>
      </c>
      <c r="DU65" s="1" t="s">
        <v>1826</v>
      </c>
      <c r="DV65" s="1" t="s">
        <v>3072</v>
      </c>
      <c r="DW65" s="1" t="s">
        <v>2170</v>
      </c>
      <c r="DX65" s="1" t="s">
        <v>3073</v>
      </c>
      <c r="DY65" s="1" t="s">
        <v>424</v>
      </c>
      <c r="DZ65" s="1" t="s">
        <v>1752</v>
      </c>
      <c r="EA65" s="1" t="s">
        <v>218</v>
      </c>
      <c r="EB65" s="1" t="s">
        <v>892</v>
      </c>
      <c r="EC65" s="1" t="s">
        <v>3064</v>
      </c>
      <c r="ED65" s="1" t="s">
        <v>3074</v>
      </c>
      <c r="EE65" s="1" t="s">
        <v>3074</v>
      </c>
      <c r="EF65" s="1" t="s">
        <v>3075</v>
      </c>
      <c r="EG65" s="1" t="s">
        <v>2149</v>
      </c>
      <c r="EH65" s="1" t="s">
        <v>3076</v>
      </c>
      <c r="EI65" s="1" t="s">
        <v>3077</v>
      </c>
      <c r="EJ65" s="1" t="s">
        <v>3078</v>
      </c>
      <c r="EK65" s="1" t="s">
        <v>1836</v>
      </c>
      <c r="EL65" s="1" t="s">
        <v>1837</v>
      </c>
      <c r="EM65" s="1" t="s">
        <v>1838</v>
      </c>
      <c r="EN65" s="1" t="s">
        <v>3079</v>
      </c>
      <c r="EO65" s="1" t="s">
        <v>1840</v>
      </c>
      <c r="EP65" s="1" t="s">
        <v>352</v>
      </c>
      <c r="EQ65" s="1" t="s">
        <v>1782</v>
      </c>
      <c r="ER65" s="1" t="s">
        <v>1802</v>
      </c>
      <c r="ES65" s="1" t="s">
        <v>1802</v>
      </c>
      <c r="ET65" s="1" t="s">
        <v>1802</v>
      </c>
      <c r="EU65" s="1" t="s">
        <v>1802</v>
      </c>
      <c r="EV65" s="1" t="s">
        <v>1802</v>
      </c>
      <c r="EW65" s="1" t="s">
        <v>1802</v>
      </c>
      <c r="EX65" s="1" t="s">
        <v>1802</v>
      </c>
      <c r="EY65" s="1" t="s">
        <v>1802</v>
      </c>
      <c r="EZ65" s="1" t="s">
        <v>1802</v>
      </c>
      <c r="FA65" s="1" t="s">
        <v>1802</v>
      </c>
      <c r="FB65" s="1" t="s">
        <v>1802</v>
      </c>
      <c r="FC65" s="1" t="s">
        <v>1802</v>
      </c>
      <c r="FD65" s="1" t="s">
        <v>1802</v>
      </c>
      <c r="FE65" s="1" t="s">
        <v>1802</v>
      </c>
      <c r="FF65" s="1" t="s">
        <v>1802</v>
      </c>
      <c r="FG65" s="1" t="s">
        <v>1802</v>
      </c>
      <c r="FH65" s="1" t="s">
        <v>1802</v>
      </c>
      <c r="FI65" s="1" t="s">
        <v>1802</v>
      </c>
      <c r="FJ65" s="1" t="s">
        <v>1802</v>
      </c>
      <c r="FK65" s="1" t="s">
        <v>1802</v>
      </c>
      <c r="FL65" s="1" t="s">
        <v>1802</v>
      </c>
      <c r="FM65" s="1" t="s">
        <v>1802</v>
      </c>
      <c r="FN65" s="1" t="s">
        <v>1802</v>
      </c>
      <c r="FO65" s="1" t="s">
        <v>1802</v>
      </c>
      <c r="FP65" s="1" t="s">
        <v>1802</v>
      </c>
      <c r="FQ65" s="1" t="s">
        <v>1802</v>
      </c>
      <c r="FR65" s="2"/>
      <c r="FS65" s="1" t="s">
        <v>1802</v>
      </c>
    </row>
    <row r="66" spans="1:175" x14ac:dyDescent="0.3">
      <c r="A66" s="1" t="s">
        <v>3080</v>
      </c>
      <c r="B66" s="1" t="s">
        <v>1739</v>
      </c>
      <c r="C66" s="1" t="s">
        <v>1138</v>
      </c>
      <c r="D66" s="1" t="s">
        <v>1740</v>
      </c>
      <c r="E66" s="1" t="s">
        <v>3081</v>
      </c>
      <c r="F66" s="1" t="s">
        <v>3082</v>
      </c>
      <c r="G66" s="1" t="s">
        <v>3082</v>
      </c>
      <c r="H66" s="1" t="s">
        <v>3083</v>
      </c>
      <c r="I66" s="1" t="s">
        <v>1744</v>
      </c>
      <c r="J66" s="1" t="s">
        <v>1745</v>
      </c>
      <c r="K66" s="1" t="s">
        <v>1746</v>
      </c>
      <c r="L66" s="1" t="s">
        <v>1747</v>
      </c>
      <c r="M66" s="1" t="s">
        <v>1748</v>
      </c>
      <c r="N66" s="1" t="s">
        <v>1749</v>
      </c>
      <c r="O66" s="1" t="s">
        <v>1750</v>
      </c>
      <c r="P66" s="1" t="s">
        <v>1751</v>
      </c>
      <c r="Q66">
        <v>49</v>
      </c>
      <c r="R66" s="1" t="s">
        <v>1752</v>
      </c>
      <c r="S66" s="1" t="s">
        <v>1753</v>
      </c>
      <c r="T66" s="1" t="s">
        <v>1754</v>
      </c>
      <c r="U66" s="1" t="s">
        <v>1755</v>
      </c>
      <c r="V66" s="1" t="s">
        <v>1756</v>
      </c>
      <c r="W66">
        <v>72</v>
      </c>
      <c r="X66">
        <v>72</v>
      </c>
      <c r="Y66" s="1" t="s">
        <v>1757</v>
      </c>
      <c r="Z66" s="2">
        <v>36999</v>
      </c>
      <c r="AA66" s="1" t="s">
        <v>3084</v>
      </c>
      <c r="AB66" s="1" t="s">
        <v>1755</v>
      </c>
      <c r="AC66" s="1" t="s">
        <v>2205</v>
      </c>
      <c r="AD66" s="1" t="s">
        <v>424</v>
      </c>
      <c r="AE66" s="1" t="s">
        <v>1760</v>
      </c>
      <c r="AF66" s="1" t="s">
        <v>2206</v>
      </c>
      <c r="AG66" s="1" t="s">
        <v>1762</v>
      </c>
      <c r="AH66" s="1" t="s">
        <v>3084</v>
      </c>
      <c r="AI66" s="1" t="s">
        <v>3084</v>
      </c>
      <c r="AJ66" s="1" t="s">
        <v>1763</v>
      </c>
      <c r="AK66" s="1" t="s">
        <v>1763</v>
      </c>
      <c r="AL66" s="1" t="s">
        <v>1763</v>
      </c>
      <c r="AM66" s="1" t="s">
        <v>2205</v>
      </c>
      <c r="AN66" s="1" t="s">
        <v>424</v>
      </c>
      <c r="AO66" s="1" t="s">
        <v>3085</v>
      </c>
      <c r="AP66" s="1" t="s">
        <v>3086</v>
      </c>
      <c r="AQ66" s="1" t="s">
        <v>1766</v>
      </c>
      <c r="AR66" s="1" t="s">
        <v>1767</v>
      </c>
      <c r="AS66" s="1" t="s">
        <v>1768</v>
      </c>
      <c r="AT66">
        <v>2010150922131390</v>
      </c>
      <c r="AU66" s="1" t="s">
        <v>1769</v>
      </c>
      <c r="AV66">
        <v>25122612439916</v>
      </c>
      <c r="AW66" s="1" t="s">
        <v>1770</v>
      </c>
      <c r="AX66" s="1" t="s">
        <v>1765</v>
      </c>
      <c r="AY66" s="1" t="s">
        <v>3087</v>
      </c>
      <c r="AZ66" s="1" t="s">
        <v>1772</v>
      </c>
      <c r="BA66" s="1" t="s">
        <v>3088</v>
      </c>
      <c r="BB66">
        <v>32</v>
      </c>
      <c r="BC66" s="1" t="s">
        <v>1774</v>
      </c>
      <c r="BD66" s="1" t="s">
        <v>1775</v>
      </c>
      <c r="BE66" s="1" t="s">
        <v>1776</v>
      </c>
      <c r="BF66" s="1" t="s">
        <v>1777</v>
      </c>
      <c r="BG66" s="1" t="s">
        <v>1778</v>
      </c>
      <c r="BH66" s="1" t="s">
        <v>1779</v>
      </c>
      <c r="BI66" s="1" t="s">
        <v>1779</v>
      </c>
      <c r="BJ66" s="1" t="s">
        <v>1780</v>
      </c>
      <c r="BK66" s="1" t="s">
        <v>1781</v>
      </c>
      <c r="BL66" s="1" t="s">
        <v>1754</v>
      </c>
      <c r="BM66" s="1" t="s">
        <v>1782</v>
      </c>
      <c r="BN66" s="1" t="s">
        <v>1784</v>
      </c>
      <c r="BO66" s="1" t="s">
        <v>1785</v>
      </c>
      <c r="BP66" s="1" t="s">
        <v>1786</v>
      </c>
      <c r="BQ66" s="1" t="s">
        <v>3089</v>
      </c>
      <c r="BR66" s="1" t="s">
        <v>1788</v>
      </c>
      <c r="BS66" s="1" t="s">
        <v>1765</v>
      </c>
      <c r="BT66" s="1" t="s">
        <v>1790</v>
      </c>
      <c r="BU66" s="1" t="s">
        <v>3090</v>
      </c>
      <c r="BV66" s="1" t="s">
        <v>1790</v>
      </c>
      <c r="BW66" s="1" t="s">
        <v>3090</v>
      </c>
      <c r="BX66" s="1" t="s">
        <v>2926</v>
      </c>
      <c r="BY66" s="1" t="s">
        <v>3091</v>
      </c>
      <c r="BZ66" s="1" t="s">
        <v>1794</v>
      </c>
      <c r="CA66" s="1" t="s">
        <v>1795</v>
      </c>
      <c r="CB66" s="1" t="s">
        <v>1796</v>
      </c>
      <c r="CC66" s="1" t="s">
        <v>1797</v>
      </c>
      <c r="CD66" s="1" t="s">
        <v>1798</v>
      </c>
      <c r="CE66" s="1" t="s">
        <v>1799</v>
      </c>
      <c r="CF66" s="1" t="s">
        <v>1800</v>
      </c>
      <c r="CG66" s="1" t="s">
        <v>1794</v>
      </c>
      <c r="CH66" s="1" t="s">
        <v>1801</v>
      </c>
      <c r="CI66" s="1" t="s">
        <v>1794</v>
      </c>
      <c r="CJ66" s="1" t="s">
        <v>1802</v>
      </c>
      <c r="CK66" s="1" t="s">
        <v>1803</v>
      </c>
      <c r="CL66" s="1" t="s">
        <v>1804</v>
      </c>
      <c r="CM66" s="1" t="s">
        <v>1805</v>
      </c>
      <c r="CN66" s="1" t="s">
        <v>1794</v>
      </c>
      <c r="CO66" s="1" t="s">
        <v>1806</v>
      </c>
      <c r="CP66" s="1" t="s">
        <v>1807</v>
      </c>
      <c r="CQ66" s="1" t="s">
        <v>1808</v>
      </c>
      <c r="CR66" s="1" t="s">
        <v>1809</v>
      </c>
      <c r="CS66" s="1" t="s">
        <v>1810</v>
      </c>
      <c r="CT66" s="1" t="s">
        <v>1811</v>
      </c>
      <c r="CU66" s="1" t="s">
        <v>1812</v>
      </c>
      <c r="CV66" s="1" t="s">
        <v>1813</v>
      </c>
      <c r="CW66" s="1" t="s">
        <v>1814</v>
      </c>
      <c r="CX66" s="1" t="s">
        <v>1813</v>
      </c>
      <c r="CY66" s="1" t="s">
        <v>1813</v>
      </c>
      <c r="CZ66" s="1" t="s">
        <v>1775</v>
      </c>
      <c r="DA66" s="1" t="s">
        <v>1776</v>
      </c>
      <c r="DB66" s="1" t="s">
        <v>1752</v>
      </c>
      <c r="DC66" s="1" t="s">
        <v>1765</v>
      </c>
      <c r="DD66" s="1" t="s">
        <v>1815</v>
      </c>
      <c r="DE66" s="1" t="s">
        <v>1816</v>
      </c>
      <c r="DF66" s="1" t="s">
        <v>1817</v>
      </c>
      <c r="DG66" s="1" t="s">
        <v>1818</v>
      </c>
      <c r="DH66" s="1" t="s">
        <v>1819</v>
      </c>
      <c r="DI66" s="1" t="s">
        <v>1820</v>
      </c>
      <c r="DJ66" s="1" t="s">
        <v>1821</v>
      </c>
      <c r="DK66" s="1" t="s">
        <v>1822</v>
      </c>
      <c r="DL66" s="1" t="s">
        <v>1765</v>
      </c>
      <c r="DM66" s="1" t="s">
        <v>1765</v>
      </c>
      <c r="DN66" s="1" t="s">
        <v>1823</v>
      </c>
      <c r="DO66" s="1" t="s">
        <v>1824</v>
      </c>
      <c r="DP66" s="1" t="s">
        <v>1824</v>
      </c>
      <c r="DQ66" s="1" t="s">
        <v>1765</v>
      </c>
      <c r="DR66" s="1" t="s">
        <v>1825</v>
      </c>
      <c r="DS66" s="1" t="s">
        <v>1816</v>
      </c>
      <c r="DT66" s="1" t="s">
        <v>1826</v>
      </c>
      <c r="DU66" s="1" t="s">
        <v>3092</v>
      </c>
      <c r="DV66" s="1" t="s">
        <v>2170</v>
      </c>
      <c r="DW66" s="1" t="s">
        <v>3093</v>
      </c>
      <c r="DX66" s="1" t="s">
        <v>424</v>
      </c>
      <c r="DY66" s="1" t="s">
        <v>1752</v>
      </c>
      <c r="DZ66" s="1" t="s">
        <v>218</v>
      </c>
      <c r="EA66" s="1" t="s">
        <v>892</v>
      </c>
      <c r="EB66" s="1" t="s">
        <v>2205</v>
      </c>
      <c r="EC66" s="1" t="s">
        <v>3094</v>
      </c>
      <c r="ED66" s="1" t="s">
        <v>3094</v>
      </c>
      <c r="EE66" s="1" t="s">
        <v>3095</v>
      </c>
      <c r="EF66" s="1" t="s">
        <v>1884</v>
      </c>
      <c r="EG66" s="1" t="s">
        <v>3096</v>
      </c>
      <c r="EH66" s="1" t="s">
        <v>2108</v>
      </c>
      <c r="EI66" s="1" t="s">
        <v>3097</v>
      </c>
      <c r="EJ66" s="1" t="s">
        <v>1836</v>
      </c>
      <c r="EK66" s="1" t="s">
        <v>1837</v>
      </c>
      <c r="EL66" s="1" t="s">
        <v>1838</v>
      </c>
      <c r="EM66" s="1" t="s">
        <v>3098</v>
      </c>
      <c r="EN66" s="1" t="s">
        <v>1840</v>
      </c>
      <c r="EO66" s="1" t="s">
        <v>36</v>
      </c>
      <c r="EP66" s="1" t="s">
        <v>1782</v>
      </c>
      <c r="EQ66" s="1" t="s">
        <v>1802</v>
      </c>
      <c r="ER66" s="1" t="s">
        <v>1802</v>
      </c>
      <c r="ES66" s="1" t="s">
        <v>1802</v>
      </c>
      <c r="ET66" s="1" t="s">
        <v>1802</v>
      </c>
      <c r="EU66" s="1" t="s">
        <v>1802</v>
      </c>
      <c r="EV66" s="1" t="s">
        <v>1802</v>
      </c>
      <c r="EW66" s="1" t="s">
        <v>1802</v>
      </c>
      <c r="EX66" s="1" t="s">
        <v>1802</v>
      </c>
      <c r="EY66" s="1" t="s">
        <v>1802</v>
      </c>
      <c r="EZ66" s="1" t="s">
        <v>1802</v>
      </c>
      <c r="FA66" s="1" t="s">
        <v>1802</v>
      </c>
      <c r="FB66" s="1" t="s">
        <v>1802</v>
      </c>
      <c r="FC66" s="1" t="s">
        <v>1802</v>
      </c>
      <c r="FD66" s="1" t="s">
        <v>1802</v>
      </c>
      <c r="FE66" s="1" t="s">
        <v>1802</v>
      </c>
      <c r="FF66" s="1" t="s">
        <v>1802</v>
      </c>
      <c r="FG66" s="1" t="s">
        <v>1802</v>
      </c>
      <c r="FH66" s="1" t="s">
        <v>1802</v>
      </c>
      <c r="FI66" s="1" t="s">
        <v>1802</v>
      </c>
      <c r="FJ66" s="1" t="s">
        <v>1802</v>
      </c>
      <c r="FK66" s="1" t="s">
        <v>1802</v>
      </c>
      <c r="FL66" s="1" t="s">
        <v>1802</v>
      </c>
      <c r="FM66" s="1" t="s">
        <v>1802</v>
      </c>
      <c r="FN66" s="1" t="s">
        <v>1802</v>
      </c>
      <c r="FO66" s="1" t="s">
        <v>1802</v>
      </c>
      <c r="FP66" s="1" t="s">
        <v>1802</v>
      </c>
      <c r="FQ66" s="1" t="s">
        <v>1802</v>
      </c>
      <c r="FR66" s="2"/>
      <c r="FS66" s="1" t="s">
        <v>1802</v>
      </c>
    </row>
    <row r="67" spans="1:175" x14ac:dyDescent="0.3">
      <c r="A67" s="1" t="s">
        <v>3099</v>
      </c>
      <c r="B67" s="1" t="s">
        <v>1739</v>
      </c>
      <c r="C67" s="1" t="s">
        <v>1154</v>
      </c>
      <c r="D67" s="1" t="s">
        <v>1740</v>
      </c>
      <c r="E67" s="1" t="s">
        <v>3100</v>
      </c>
      <c r="F67" s="1" t="s">
        <v>3101</v>
      </c>
      <c r="G67" s="1" t="s">
        <v>3101</v>
      </c>
      <c r="H67" s="1" t="s">
        <v>3102</v>
      </c>
      <c r="I67" s="1" t="s">
        <v>1744</v>
      </c>
      <c r="J67" s="1" t="s">
        <v>1745</v>
      </c>
      <c r="K67" s="1" t="s">
        <v>1746</v>
      </c>
      <c r="L67" s="1" t="s">
        <v>1747</v>
      </c>
      <c r="M67" s="1" t="s">
        <v>1748</v>
      </c>
      <c r="N67" s="1" t="s">
        <v>1749</v>
      </c>
      <c r="O67" s="1" t="s">
        <v>1750</v>
      </c>
      <c r="P67" s="1" t="s">
        <v>1751</v>
      </c>
      <c r="Q67">
        <v>49</v>
      </c>
      <c r="R67" s="1" t="s">
        <v>1752</v>
      </c>
      <c r="S67" s="1" t="s">
        <v>1753</v>
      </c>
      <c r="T67" s="1" t="s">
        <v>1754</v>
      </c>
      <c r="U67" s="1" t="s">
        <v>1755</v>
      </c>
      <c r="V67" s="1" t="s">
        <v>1756</v>
      </c>
      <c r="W67">
        <v>72</v>
      </c>
      <c r="X67">
        <v>72</v>
      </c>
      <c r="Y67" s="1" t="s">
        <v>1757</v>
      </c>
      <c r="Z67" s="2">
        <v>36999</v>
      </c>
      <c r="AA67" s="1" t="s">
        <v>3103</v>
      </c>
      <c r="AB67" s="1" t="s">
        <v>1755</v>
      </c>
      <c r="AC67" s="1" t="s">
        <v>2515</v>
      </c>
      <c r="AD67" s="1" t="s">
        <v>424</v>
      </c>
      <c r="AE67" s="1" t="s">
        <v>1760</v>
      </c>
      <c r="AF67" s="1" t="s">
        <v>2559</v>
      </c>
      <c r="AG67" s="1" t="s">
        <v>1762</v>
      </c>
      <c r="AH67" s="1" t="s">
        <v>3103</v>
      </c>
      <c r="AI67" s="1" t="s">
        <v>3103</v>
      </c>
      <c r="AJ67" s="1" t="s">
        <v>1763</v>
      </c>
      <c r="AK67" s="1" t="s">
        <v>1763</v>
      </c>
      <c r="AL67" s="1" t="s">
        <v>1763</v>
      </c>
      <c r="AM67" s="1" t="s">
        <v>2515</v>
      </c>
      <c r="AN67" s="1" t="s">
        <v>424</v>
      </c>
      <c r="AO67" s="1" t="s">
        <v>3104</v>
      </c>
      <c r="AP67" s="1" t="s">
        <v>3105</v>
      </c>
      <c r="AQ67" s="1" t="s">
        <v>1766</v>
      </c>
      <c r="AR67" s="1" t="s">
        <v>1767</v>
      </c>
      <c r="AS67" s="1" t="s">
        <v>1768</v>
      </c>
      <c r="AT67">
        <v>2010150922131390</v>
      </c>
      <c r="AU67" s="1" t="s">
        <v>1769</v>
      </c>
      <c r="AV67">
        <v>28458898216958</v>
      </c>
      <c r="AW67" s="1" t="s">
        <v>1770</v>
      </c>
      <c r="AX67" s="1" t="s">
        <v>1765</v>
      </c>
      <c r="AY67" s="1" t="s">
        <v>3106</v>
      </c>
      <c r="AZ67" s="1" t="s">
        <v>1772</v>
      </c>
      <c r="BA67" s="1" t="s">
        <v>3107</v>
      </c>
      <c r="BB67">
        <v>772</v>
      </c>
      <c r="BC67" s="1" t="s">
        <v>1774</v>
      </c>
      <c r="BD67" s="1" t="s">
        <v>1775</v>
      </c>
      <c r="BE67" s="1" t="s">
        <v>1776</v>
      </c>
      <c r="BF67" s="1" t="s">
        <v>1777</v>
      </c>
      <c r="BG67" s="1" t="s">
        <v>1778</v>
      </c>
      <c r="BH67" s="1" t="s">
        <v>1779</v>
      </c>
      <c r="BI67" s="1" t="s">
        <v>1779</v>
      </c>
      <c r="BJ67" s="1" t="s">
        <v>1780</v>
      </c>
      <c r="BK67" s="1" t="s">
        <v>1781</v>
      </c>
      <c r="BL67" s="1" t="s">
        <v>1754</v>
      </c>
      <c r="BM67" s="1" t="s">
        <v>1782</v>
      </c>
      <c r="BN67" s="1" t="s">
        <v>2521</v>
      </c>
      <c r="BO67" s="1" t="s">
        <v>2522</v>
      </c>
      <c r="BP67" s="1" t="s">
        <v>2523</v>
      </c>
      <c r="BQ67" s="1" t="s">
        <v>1784</v>
      </c>
      <c r="BR67" s="1" t="s">
        <v>1785</v>
      </c>
      <c r="BS67" s="1" t="s">
        <v>1786</v>
      </c>
      <c r="BT67" s="1" t="s">
        <v>3108</v>
      </c>
      <c r="BU67" s="1" t="s">
        <v>1788</v>
      </c>
      <c r="BV67" s="1" t="s">
        <v>3109</v>
      </c>
      <c r="BW67" s="1" t="s">
        <v>1790</v>
      </c>
      <c r="BX67" s="1" t="s">
        <v>3110</v>
      </c>
      <c r="BY67" s="1" t="s">
        <v>1790</v>
      </c>
      <c r="BZ67" s="1" t="s">
        <v>3110</v>
      </c>
      <c r="CA67" s="1" t="s">
        <v>2926</v>
      </c>
      <c r="CB67" s="1" t="s">
        <v>3111</v>
      </c>
      <c r="CC67" s="1" t="s">
        <v>1794</v>
      </c>
      <c r="CD67" s="1" t="s">
        <v>1795</v>
      </c>
      <c r="CE67" s="1" t="s">
        <v>1796</v>
      </c>
      <c r="CF67" s="1" t="s">
        <v>1797</v>
      </c>
      <c r="CG67" s="1" t="s">
        <v>1798</v>
      </c>
      <c r="CH67" s="1" t="s">
        <v>1799</v>
      </c>
      <c r="CI67" s="1" t="s">
        <v>1800</v>
      </c>
      <c r="CJ67" s="1" t="s">
        <v>1794</v>
      </c>
      <c r="CK67" s="1" t="s">
        <v>1801</v>
      </c>
      <c r="CL67" s="1" t="s">
        <v>1794</v>
      </c>
      <c r="CM67" s="1" t="s">
        <v>1802</v>
      </c>
      <c r="CN67" s="1" t="s">
        <v>1803</v>
      </c>
      <c r="CO67" s="1" t="s">
        <v>1804</v>
      </c>
      <c r="CP67" s="1" t="s">
        <v>1805</v>
      </c>
      <c r="CQ67" s="1" t="s">
        <v>1794</v>
      </c>
      <c r="CR67" s="1" t="s">
        <v>1806</v>
      </c>
      <c r="CS67" s="1" t="s">
        <v>1807</v>
      </c>
      <c r="CT67" s="1" t="s">
        <v>1808</v>
      </c>
      <c r="CU67" s="1" t="s">
        <v>1809</v>
      </c>
      <c r="CV67" s="1" t="s">
        <v>1810</v>
      </c>
      <c r="CW67" s="1" t="s">
        <v>1811</v>
      </c>
      <c r="CX67" s="1" t="s">
        <v>1812</v>
      </c>
      <c r="CY67" s="1" t="s">
        <v>1813</v>
      </c>
      <c r="CZ67" s="1" t="s">
        <v>1814</v>
      </c>
      <c r="DA67" s="1" t="s">
        <v>1813</v>
      </c>
      <c r="DB67" s="1" t="s">
        <v>1813</v>
      </c>
      <c r="DC67" s="1" t="s">
        <v>1775</v>
      </c>
      <c r="DD67" s="1" t="s">
        <v>1776</v>
      </c>
      <c r="DE67" s="1" t="s">
        <v>1752</v>
      </c>
      <c r="DF67" s="1" t="s">
        <v>1765</v>
      </c>
      <c r="DG67" s="1" t="s">
        <v>1815</v>
      </c>
      <c r="DH67" s="1" t="s">
        <v>1816</v>
      </c>
      <c r="DI67" s="1" t="s">
        <v>1817</v>
      </c>
      <c r="DJ67" s="1" t="s">
        <v>1818</v>
      </c>
      <c r="DK67" s="1" t="s">
        <v>1819</v>
      </c>
      <c r="DL67" s="1" t="s">
        <v>1820</v>
      </c>
      <c r="DM67" s="1" t="s">
        <v>1821</v>
      </c>
      <c r="DN67" s="1" t="s">
        <v>1822</v>
      </c>
      <c r="DO67" s="1" t="s">
        <v>1765</v>
      </c>
      <c r="DP67" s="1" t="s">
        <v>1765</v>
      </c>
      <c r="DQ67" s="1" t="s">
        <v>1823</v>
      </c>
      <c r="DR67" s="1" t="s">
        <v>1824</v>
      </c>
      <c r="DS67" s="1" t="s">
        <v>1824</v>
      </c>
      <c r="DT67" s="1" t="s">
        <v>1765</v>
      </c>
      <c r="DU67" s="1" t="s">
        <v>1825</v>
      </c>
      <c r="DV67" s="1" t="s">
        <v>1816</v>
      </c>
      <c r="DW67" s="1" t="s">
        <v>1826</v>
      </c>
      <c r="DX67" s="1" t="s">
        <v>3112</v>
      </c>
      <c r="DY67" s="1" t="s">
        <v>2170</v>
      </c>
      <c r="DZ67" s="1" t="s">
        <v>3113</v>
      </c>
      <c r="EA67" s="1" t="s">
        <v>424</v>
      </c>
      <c r="EB67" s="1" t="s">
        <v>1752</v>
      </c>
      <c r="EC67" s="1" t="s">
        <v>218</v>
      </c>
      <c r="ED67" s="1" t="s">
        <v>892</v>
      </c>
      <c r="EE67" s="1" t="s">
        <v>2515</v>
      </c>
      <c r="EF67" s="1" t="s">
        <v>3114</v>
      </c>
      <c r="EG67" s="1" t="s">
        <v>3114</v>
      </c>
      <c r="EH67" s="1" t="s">
        <v>3115</v>
      </c>
      <c r="EI67" s="1" t="s">
        <v>1929</v>
      </c>
      <c r="EJ67" s="1" t="s">
        <v>3116</v>
      </c>
      <c r="EK67" s="1" t="s">
        <v>3117</v>
      </c>
      <c r="EL67" s="1" t="s">
        <v>3118</v>
      </c>
      <c r="EM67" s="1" t="s">
        <v>1836</v>
      </c>
      <c r="EN67" s="1" t="s">
        <v>1837</v>
      </c>
      <c r="EO67" s="1" t="s">
        <v>1838</v>
      </c>
      <c r="EP67" s="1" t="s">
        <v>3119</v>
      </c>
      <c r="EQ67" s="1" t="s">
        <v>1840</v>
      </c>
      <c r="ER67" s="1" t="s">
        <v>11</v>
      </c>
      <c r="ES67" s="1" t="s">
        <v>1782</v>
      </c>
      <c r="ET67" s="1" t="s">
        <v>1802</v>
      </c>
      <c r="EU67" s="1" t="s">
        <v>1802</v>
      </c>
      <c r="EV67" s="1" t="s">
        <v>1802</v>
      </c>
      <c r="EW67" s="1" t="s">
        <v>1802</v>
      </c>
      <c r="EX67" s="1" t="s">
        <v>1802</v>
      </c>
      <c r="EY67" s="1" t="s">
        <v>1802</v>
      </c>
      <c r="EZ67" s="1" t="s">
        <v>1802</v>
      </c>
      <c r="FA67" s="1" t="s">
        <v>1802</v>
      </c>
      <c r="FB67" s="1" t="s">
        <v>1802</v>
      </c>
      <c r="FC67" s="1" t="s">
        <v>1802</v>
      </c>
      <c r="FD67" s="1" t="s">
        <v>1802</v>
      </c>
      <c r="FE67" s="1" t="s">
        <v>1802</v>
      </c>
      <c r="FF67" s="1" t="s">
        <v>1802</v>
      </c>
      <c r="FG67" s="1" t="s">
        <v>1802</v>
      </c>
      <c r="FH67" s="1" t="s">
        <v>1802</v>
      </c>
      <c r="FI67" s="1" t="s">
        <v>1802</v>
      </c>
      <c r="FJ67" s="1" t="s">
        <v>1802</v>
      </c>
      <c r="FK67" s="1" t="s">
        <v>1802</v>
      </c>
      <c r="FL67" s="1" t="s">
        <v>1802</v>
      </c>
      <c r="FM67" s="1" t="s">
        <v>1802</v>
      </c>
      <c r="FN67" s="1" t="s">
        <v>1802</v>
      </c>
      <c r="FO67" s="1" t="s">
        <v>1802</v>
      </c>
      <c r="FP67" s="1" t="s">
        <v>1802</v>
      </c>
      <c r="FQ67" s="1" t="s">
        <v>1802</v>
      </c>
      <c r="FR67" s="2"/>
      <c r="FS67" s="1" t="s">
        <v>1802</v>
      </c>
    </row>
    <row r="68" spans="1:175" x14ac:dyDescent="0.3">
      <c r="A68" s="1" t="s">
        <v>3120</v>
      </c>
      <c r="B68" s="1" t="s">
        <v>1739</v>
      </c>
      <c r="C68" s="1" t="s">
        <v>1164</v>
      </c>
      <c r="D68" s="1" t="s">
        <v>1740</v>
      </c>
      <c r="E68" s="1" t="s">
        <v>3121</v>
      </c>
      <c r="F68" s="1" t="s">
        <v>3122</v>
      </c>
      <c r="G68" s="1" t="s">
        <v>3122</v>
      </c>
      <c r="H68" s="1" t="s">
        <v>3123</v>
      </c>
      <c r="I68" s="1" t="s">
        <v>1744</v>
      </c>
      <c r="J68" s="1" t="s">
        <v>1745</v>
      </c>
      <c r="K68" s="1" t="s">
        <v>1746</v>
      </c>
      <c r="L68" s="1" t="s">
        <v>1747</v>
      </c>
      <c r="M68" s="1" t="s">
        <v>1748</v>
      </c>
      <c r="N68" s="1" t="s">
        <v>1749</v>
      </c>
      <c r="O68" s="1" t="s">
        <v>1750</v>
      </c>
      <c r="P68" s="1" t="s">
        <v>1751</v>
      </c>
      <c r="Q68">
        <v>49</v>
      </c>
      <c r="R68" s="1" t="s">
        <v>1752</v>
      </c>
      <c r="S68" s="1" t="s">
        <v>1753</v>
      </c>
      <c r="T68" s="1" t="s">
        <v>1754</v>
      </c>
      <c r="U68" s="1" t="s">
        <v>1755</v>
      </c>
      <c r="V68" s="1" t="s">
        <v>1756</v>
      </c>
      <c r="W68">
        <v>72</v>
      </c>
      <c r="X68">
        <v>72</v>
      </c>
      <c r="Y68" s="1" t="s">
        <v>1757</v>
      </c>
      <c r="Z68" s="2">
        <v>36999</v>
      </c>
      <c r="AA68" s="1" t="s">
        <v>3124</v>
      </c>
      <c r="AB68" s="1" t="s">
        <v>1755</v>
      </c>
      <c r="AC68" s="1" t="s">
        <v>2160</v>
      </c>
      <c r="AD68" s="1" t="s">
        <v>424</v>
      </c>
      <c r="AE68" s="1" t="s">
        <v>1760</v>
      </c>
      <c r="AF68" s="1" t="s">
        <v>2182</v>
      </c>
      <c r="AG68" s="1" t="s">
        <v>1762</v>
      </c>
      <c r="AH68" s="1" t="s">
        <v>3124</v>
      </c>
      <c r="AI68" s="1" t="s">
        <v>3124</v>
      </c>
      <c r="AJ68" s="1" t="s">
        <v>1763</v>
      </c>
      <c r="AK68" s="1" t="s">
        <v>1763</v>
      </c>
      <c r="AL68" s="1" t="s">
        <v>1763</v>
      </c>
      <c r="AM68" s="1" t="s">
        <v>2160</v>
      </c>
      <c r="AN68" s="1" t="s">
        <v>424</v>
      </c>
      <c r="AO68" s="1" t="s">
        <v>3125</v>
      </c>
      <c r="AP68" s="1" t="s">
        <v>1765</v>
      </c>
      <c r="AQ68" s="1" t="s">
        <v>1766</v>
      </c>
      <c r="AR68" s="1" t="s">
        <v>1767</v>
      </c>
      <c r="AS68" s="1" t="s">
        <v>1768</v>
      </c>
      <c r="AT68">
        <v>2010150922131390</v>
      </c>
      <c r="AU68" s="1" t="s">
        <v>1769</v>
      </c>
      <c r="AV68">
        <v>28463372262416</v>
      </c>
      <c r="AW68" s="1" t="s">
        <v>1770</v>
      </c>
      <c r="AX68" s="1" t="s">
        <v>1765</v>
      </c>
      <c r="AY68" s="1" t="s">
        <v>3126</v>
      </c>
      <c r="AZ68" s="1" t="s">
        <v>1897</v>
      </c>
      <c r="BA68" s="1" t="s">
        <v>3127</v>
      </c>
      <c r="BB68">
        <v>421</v>
      </c>
      <c r="BC68" s="1" t="s">
        <v>1774</v>
      </c>
      <c r="BD68" s="1" t="s">
        <v>1775</v>
      </c>
      <c r="BE68" s="1" t="s">
        <v>1776</v>
      </c>
      <c r="BF68" s="1" t="s">
        <v>1777</v>
      </c>
      <c r="BG68" s="1" t="s">
        <v>1778</v>
      </c>
      <c r="BH68" s="1" t="s">
        <v>1779</v>
      </c>
      <c r="BI68" s="1" t="s">
        <v>1779</v>
      </c>
      <c r="BJ68" s="1" t="s">
        <v>1780</v>
      </c>
      <c r="BK68" s="1" t="s">
        <v>1781</v>
      </c>
      <c r="BL68" s="1" t="s">
        <v>1754</v>
      </c>
      <c r="BM68" s="1" t="s">
        <v>1782</v>
      </c>
      <c r="BN68" s="1" t="s">
        <v>1783</v>
      </c>
      <c r="BO68" s="1" t="s">
        <v>1784</v>
      </c>
      <c r="BP68" s="1" t="s">
        <v>1785</v>
      </c>
      <c r="BQ68" s="1" t="s">
        <v>1786</v>
      </c>
      <c r="BR68" s="1" t="s">
        <v>3128</v>
      </c>
      <c r="BS68" s="1" t="s">
        <v>1788</v>
      </c>
      <c r="BT68" s="1" t="s">
        <v>1765</v>
      </c>
      <c r="BU68" s="1" t="s">
        <v>1790</v>
      </c>
      <c r="BV68" s="1" t="s">
        <v>3129</v>
      </c>
      <c r="BW68" s="1" t="s">
        <v>1790</v>
      </c>
      <c r="BX68" s="1" t="s">
        <v>3129</v>
      </c>
      <c r="BY68" s="1" t="s">
        <v>2926</v>
      </c>
      <c r="BZ68" s="1" t="s">
        <v>3130</v>
      </c>
      <c r="CA68" s="1" t="s">
        <v>1794</v>
      </c>
      <c r="CB68" s="1" t="s">
        <v>1795</v>
      </c>
      <c r="CC68" s="1" t="s">
        <v>1796</v>
      </c>
      <c r="CD68" s="1" t="s">
        <v>1797</v>
      </c>
      <c r="CE68" s="1" t="s">
        <v>1798</v>
      </c>
      <c r="CF68" s="1" t="s">
        <v>1799</v>
      </c>
      <c r="CG68" s="1" t="s">
        <v>1800</v>
      </c>
      <c r="CH68" s="1" t="s">
        <v>1794</v>
      </c>
      <c r="CI68" s="1" t="s">
        <v>1801</v>
      </c>
      <c r="CJ68" s="1" t="s">
        <v>1794</v>
      </c>
      <c r="CK68" s="1" t="s">
        <v>1802</v>
      </c>
      <c r="CL68" s="1" t="s">
        <v>1803</v>
      </c>
      <c r="CM68" s="1" t="s">
        <v>1804</v>
      </c>
      <c r="CN68" s="1" t="s">
        <v>1805</v>
      </c>
      <c r="CO68" s="1" t="s">
        <v>1794</v>
      </c>
      <c r="CP68" s="1" t="s">
        <v>1806</v>
      </c>
      <c r="CQ68" s="1" t="s">
        <v>1807</v>
      </c>
      <c r="CR68" s="1" t="s">
        <v>1808</v>
      </c>
      <c r="CS68" s="1" t="s">
        <v>1809</v>
      </c>
      <c r="CT68" s="1" t="s">
        <v>1810</v>
      </c>
      <c r="CU68" s="1" t="s">
        <v>1811</v>
      </c>
      <c r="CV68" s="1" t="s">
        <v>1812</v>
      </c>
      <c r="CW68" s="1" t="s">
        <v>1813</v>
      </c>
      <c r="CX68" s="1" t="s">
        <v>1814</v>
      </c>
      <c r="CY68" s="1" t="s">
        <v>1813</v>
      </c>
      <c r="CZ68" s="1" t="s">
        <v>1813</v>
      </c>
      <c r="DA68" s="1" t="s">
        <v>1775</v>
      </c>
      <c r="DB68" s="1" t="s">
        <v>1776</v>
      </c>
      <c r="DC68" s="1" t="s">
        <v>1752</v>
      </c>
      <c r="DD68" s="1" t="s">
        <v>1765</v>
      </c>
      <c r="DE68" s="1" t="s">
        <v>1815</v>
      </c>
      <c r="DF68" s="1" t="s">
        <v>1816</v>
      </c>
      <c r="DG68" s="1" t="s">
        <v>1817</v>
      </c>
      <c r="DH68" s="1" t="s">
        <v>1818</v>
      </c>
      <c r="DI68" s="1" t="s">
        <v>1819</v>
      </c>
      <c r="DJ68" s="1" t="s">
        <v>1820</v>
      </c>
      <c r="DK68" s="1" t="s">
        <v>1821</v>
      </c>
      <c r="DL68" s="1" t="s">
        <v>1822</v>
      </c>
      <c r="DM68" s="1" t="s">
        <v>1765</v>
      </c>
      <c r="DN68" s="1" t="s">
        <v>1765</v>
      </c>
      <c r="DO68" s="1" t="s">
        <v>1823</v>
      </c>
      <c r="DP68" s="1" t="s">
        <v>1824</v>
      </c>
      <c r="DQ68" s="1" t="s">
        <v>1824</v>
      </c>
      <c r="DR68" s="1" t="s">
        <v>1765</v>
      </c>
      <c r="DS68" s="1" t="s">
        <v>1825</v>
      </c>
      <c r="DT68" s="1" t="s">
        <v>1816</v>
      </c>
      <c r="DU68" s="1" t="s">
        <v>1826</v>
      </c>
      <c r="DV68" s="1" t="s">
        <v>3131</v>
      </c>
      <c r="DW68" s="1" t="s">
        <v>2170</v>
      </c>
      <c r="DX68" s="1" t="s">
        <v>3132</v>
      </c>
      <c r="DY68" s="1" t="s">
        <v>424</v>
      </c>
      <c r="DZ68" s="1" t="s">
        <v>1752</v>
      </c>
      <c r="EA68" s="1" t="s">
        <v>218</v>
      </c>
      <c r="EB68" s="1" t="s">
        <v>892</v>
      </c>
      <c r="EC68" s="1" t="s">
        <v>2160</v>
      </c>
      <c r="ED68" s="1" t="s">
        <v>3133</v>
      </c>
      <c r="EE68" s="1" t="s">
        <v>3133</v>
      </c>
      <c r="EF68" s="1" t="s">
        <v>3134</v>
      </c>
      <c r="EG68" s="1" t="s">
        <v>1929</v>
      </c>
      <c r="EH68" s="1" t="s">
        <v>3135</v>
      </c>
      <c r="EI68" s="1" t="s">
        <v>2468</v>
      </c>
      <c r="EJ68" s="1" t="s">
        <v>3097</v>
      </c>
      <c r="EK68" s="1" t="s">
        <v>1836</v>
      </c>
      <c r="EL68" s="1" t="s">
        <v>1837</v>
      </c>
      <c r="EM68" s="1" t="s">
        <v>1838</v>
      </c>
      <c r="EN68" s="1" t="s">
        <v>3136</v>
      </c>
      <c r="EO68" s="1" t="s">
        <v>1840</v>
      </c>
      <c r="EP68" s="1" t="s">
        <v>2199</v>
      </c>
      <c r="EQ68" s="1" t="s">
        <v>1782</v>
      </c>
      <c r="ER68" s="1" t="s">
        <v>1802</v>
      </c>
      <c r="ES68" s="1" t="s">
        <v>1802</v>
      </c>
      <c r="ET68" s="1" t="s">
        <v>1802</v>
      </c>
      <c r="EU68" s="1" t="s">
        <v>1802</v>
      </c>
      <c r="EV68" s="1" t="s">
        <v>1802</v>
      </c>
      <c r="EW68" s="1" t="s">
        <v>1802</v>
      </c>
      <c r="EX68" s="1" t="s">
        <v>1802</v>
      </c>
      <c r="EY68" s="1" t="s">
        <v>1802</v>
      </c>
      <c r="EZ68" s="1" t="s">
        <v>1802</v>
      </c>
      <c r="FA68" s="1" t="s">
        <v>1802</v>
      </c>
      <c r="FB68" s="1" t="s">
        <v>1802</v>
      </c>
      <c r="FC68" s="1" t="s">
        <v>1802</v>
      </c>
      <c r="FD68" s="1" t="s">
        <v>1802</v>
      </c>
      <c r="FE68" s="1" t="s">
        <v>1802</v>
      </c>
      <c r="FF68" s="1" t="s">
        <v>1802</v>
      </c>
      <c r="FG68" s="1" t="s">
        <v>1802</v>
      </c>
      <c r="FH68" s="1" t="s">
        <v>1802</v>
      </c>
      <c r="FI68" s="1" t="s">
        <v>1802</v>
      </c>
      <c r="FJ68" s="1" t="s">
        <v>1802</v>
      </c>
      <c r="FK68" s="1" t="s">
        <v>1802</v>
      </c>
      <c r="FL68" s="1" t="s">
        <v>1802</v>
      </c>
      <c r="FM68" s="1" t="s">
        <v>1802</v>
      </c>
      <c r="FN68" s="1" t="s">
        <v>1802</v>
      </c>
      <c r="FO68" s="1" t="s">
        <v>1802</v>
      </c>
      <c r="FP68" s="1" t="s">
        <v>1802</v>
      </c>
      <c r="FQ68" s="1" t="s">
        <v>1802</v>
      </c>
      <c r="FR68" s="2"/>
      <c r="FS68" s="1" t="s">
        <v>1802</v>
      </c>
    </row>
    <row r="69" spans="1:175" x14ac:dyDescent="0.3">
      <c r="A69" s="1" t="s">
        <v>3137</v>
      </c>
      <c r="B69" s="1" t="s">
        <v>1739</v>
      </c>
      <c r="C69" s="1" t="s">
        <v>1175</v>
      </c>
      <c r="D69" s="1" t="s">
        <v>1740</v>
      </c>
      <c r="E69" s="1" t="s">
        <v>1890</v>
      </c>
      <c r="F69" s="1" t="s">
        <v>3138</v>
      </c>
      <c r="G69" s="1" t="s">
        <v>3138</v>
      </c>
      <c r="H69" s="1" t="s">
        <v>3139</v>
      </c>
      <c r="I69" s="1" t="s">
        <v>1744</v>
      </c>
      <c r="J69" s="1" t="s">
        <v>1745</v>
      </c>
      <c r="K69" s="1" t="s">
        <v>1746</v>
      </c>
      <c r="L69" s="1" t="s">
        <v>1747</v>
      </c>
      <c r="M69" s="1" t="s">
        <v>1748</v>
      </c>
      <c r="N69" s="1" t="s">
        <v>1749</v>
      </c>
      <c r="O69" s="1" t="s">
        <v>1750</v>
      </c>
      <c r="P69" s="1" t="s">
        <v>1751</v>
      </c>
      <c r="Q69">
        <v>49</v>
      </c>
      <c r="R69" s="1" t="s">
        <v>1752</v>
      </c>
      <c r="S69" s="1" t="s">
        <v>1753</v>
      </c>
      <c r="T69" s="1" t="s">
        <v>1754</v>
      </c>
      <c r="U69" s="1" t="s">
        <v>1755</v>
      </c>
      <c r="V69" s="1" t="s">
        <v>1756</v>
      </c>
      <c r="W69">
        <v>72</v>
      </c>
      <c r="X69">
        <v>72</v>
      </c>
      <c r="Y69" s="1" t="s">
        <v>1757</v>
      </c>
      <c r="Z69" s="2">
        <v>36999</v>
      </c>
      <c r="AA69" s="1" t="s">
        <v>3140</v>
      </c>
      <c r="AB69" s="1" t="s">
        <v>1755</v>
      </c>
      <c r="AC69" s="1" t="s">
        <v>3141</v>
      </c>
      <c r="AD69" s="1" t="s">
        <v>424</v>
      </c>
      <c r="AE69" s="1" t="s">
        <v>1760</v>
      </c>
      <c r="AF69" s="1" t="s">
        <v>1761</v>
      </c>
      <c r="AG69" s="1" t="s">
        <v>1762</v>
      </c>
      <c r="AH69" s="1" t="s">
        <v>3140</v>
      </c>
      <c r="AI69" s="1" t="s">
        <v>3140</v>
      </c>
      <c r="AJ69" s="1" t="s">
        <v>1763</v>
      </c>
      <c r="AK69" s="1" t="s">
        <v>1763</v>
      </c>
      <c r="AL69" s="1" t="s">
        <v>1763</v>
      </c>
      <c r="AM69" s="1" t="s">
        <v>3141</v>
      </c>
      <c r="AN69" s="1" t="s">
        <v>424</v>
      </c>
      <c r="AO69" s="1" t="s">
        <v>3142</v>
      </c>
      <c r="AP69" s="1" t="s">
        <v>1765</v>
      </c>
      <c r="AQ69" s="1" t="s">
        <v>1766</v>
      </c>
      <c r="AR69" s="1" t="s">
        <v>1767</v>
      </c>
      <c r="AS69" s="1" t="s">
        <v>1768</v>
      </c>
      <c r="AT69">
        <v>2010150922131390</v>
      </c>
      <c r="AU69" s="1" t="s">
        <v>1769</v>
      </c>
      <c r="AV69">
        <v>32607154881625</v>
      </c>
      <c r="AW69" s="1" t="s">
        <v>1770</v>
      </c>
      <c r="AX69" s="1" t="s">
        <v>1765</v>
      </c>
      <c r="AY69" s="1" t="s">
        <v>3143</v>
      </c>
      <c r="AZ69" s="1" t="s">
        <v>1897</v>
      </c>
      <c r="BA69" s="1" t="s">
        <v>3144</v>
      </c>
      <c r="BB69">
        <v>811</v>
      </c>
      <c r="BC69" s="1" t="s">
        <v>1774</v>
      </c>
      <c r="BD69" s="1" t="s">
        <v>1775</v>
      </c>
      <c r="BE69" s="1" t="s">
        <v>1776</v>
      </c>
      <c r="BF69" s="1" t="s">
        <v>1777</v>
      </c>
      <c r="BG69" s="1" t="s">
        <v>1778</v>
      </c>
      <c r="BH69" s="1" t="s">
        <v>1779</v>
      </c>
      <c r="BI69" s="1" t="s">
        <v>1779</v>
      </c>
      <c r="BJ69" s="1" t="s">
        <v>1780</v>
      </c>
      <c r="BK69" s="1" t="s">
        <v>1781</v>
      </c>
      <c r="BL69" s="1" t="s">
        <v>1754</v>
      </c>
      <c r="BM69" s="1" t="s">
        <v>1782</v>
      </c>
      <c r="BN69" s="1" t="s">
        <v>1783</v>
      </c>
      <c r="BO69" s="1" t="s">
        <v>1784</v>
      </c>
      <c r="BP69" s="1" t="s">
        <v>1785</v>
      </c>
      <c r="BQ69" s="1" t="s">
        <v>1786</v>
      </c>
      <c r="BR69" s="1" t="s">
        <v>3145</v>
      </c>
      <c r="BS69" s="1" t="s">
        <v>1788</v>
      </c>
      <c r="BT69" s="1" t="s">
        <v>3146</v>
      </c>
      <c r="BU69" s="1" t="s">
        <v>1790</v>
      </c>
      <c r="BV69" s="1" t="s">
        <v>3147</v>
      </c>
      <c r="BW69" s="1" t="s">
        <v>1790</v>
      </c>
      <c r="BX69" s="1" t="s">
        <v>3147</v>
      </c>
      <c r="BY69" s="1" t="s">
        <v>3148</v>
      </c>
      <c r="BZ69" s="1" t="s">
        <v>3149</v>
      </c>
      <c r="CA69" s="1" t="s">
        <v>1794</v>
      </c>
      <c r="CB69" s="1" t="s">
        <v>1795</v>
      </c>
      <c r="CC69" s="1" t="s">
        <v>1796</v>
      </c>
      <c r="CD69" s="1" t="s">
        <v>1797</v>
      </c>
      <c r="CE69" s="1" t="s">
        <v>1798</v>
      </c>
      <c r="CF69" s="1" t="s">
        <v>1799</v>
      </c>
      <c r="CG69" s="1" t="s">
        <v>1800</v>
      </c>
      <c r="CH69" s="1" t="s">
        <v>1794</v>
      </c>
      <c r="CI69" s="1" t="s">
        <v>1801</v>
      </c>
      <c r="CJ69" s="1" t="s">
        <v>1794</v>
      </c>
      <c r="CK69" s="1" t="s">
        <v>1802</v>
      </c>
      <c r="CL69" s="1" t="s">
        <v>1803</v>
      </c>
      <c r="CM69" s="1" t="s">
        <v>1804</v>
      </c>
      <c r="CN69" s="1" t="s">
        <v>1805</v>
      </c>
      <c r="CO69" s="1" t="s">
        <v>1794</v>
      </c>
      <c r="CP69" s="1" t="s">
        <v>1806</v>
      </c>
      <c r="CQ69" s="1" t="s">
        <v>1807</v>
      </c>
      <c r="CR69" s="1" t="s">
        <v>1808</v>
      </c>
      <c r="CS69" s="1" t="s">
        <v>1809</v>
      </c>
      <c r="CT69" s="1" t="s">
        <v>1810</v>
      </c>
      <c r="CU69" s="1" t="s">
        <v>1811</v>
      </c>
      <c r="CV69" s="1" t="s">
        <v>1812</v>
      </c>
      <c r="CW69" s="1" t="s">
        <v>1813</v>
      </c>
      <c r="CX69" s="1" t="s">
        <v>1814</v>
      </c>
      <c r="CY69" s="1" t="s">
        <v>1813</v>
      </c>
      <c r="CZ69" s="1" t="s">
        <v>1813</v>
      </c>
      <c r="DA69" s="1" t="s">
        <v>1775</v>
      </c>
      <c r="DB69" s="1" t="s">
        <v>1776</v>
      </c>
      <c r="DC69" s="1" t="s">
        <v>1752</v>
      </c>
      <c r="DD69" s="1" t="s">
        <v>1765</v>
      </c>
      <c r="DE69" s="1" t="s">
        <v>1815</v>
      </c>
      <c r="DF69" s="1" t="s">
        <v>1816</v>
      </c>
      <c r="DG69" s="1" t="s">
        <v>1817</v>
      </c>
      <c r="DH69" s="1" t="s">
        <v>1818</v>
      </c>
      <c r="DI69" s="1" t="s">
        <v>1819</v>
      </c>
      <c r="DJ69" s="1" t="s">
        <v>1820</v>
      </c>
      <c r="DK69" s="1" t="s">
        <v>1821</v>
      </c>
      <c r="DL69" s="1" t="s">
        <v>1822</v>
      </c>
      <c r="DM69" s="1" t="s">
        <v>1765</v>
      </c>
      <c r="DN69" s="1" t="s">
        <v>1765</v>
      </c>
      <c r="DO69" s="1" t="s">
        <v>1823</v>
      </c>
      <c r="DP69" s="1" t="s">
        <v>1824</v>
      </c>
      <c r="DQ69" s="1" t="s">
        <v>1824</v>
      </c>
      <c r="DR69" s="1" t="s">
        <v>1765</v>
      </c>
      <c r="DS69" s="1" t="s">
        <v>1825</v>
      </c>
      <c r="DT69" s="1" t="s">
        <v>1816</v>
      </c>
      <c r="DU69" s="1" t="s">
        <v>1826</v>
      </c>
      <c r="DV69" s="1" t="s">
        <v>3150</v>
      </c>
      <c r="DW69" s="1" t="s">
        <v>1828</v>
      </c>
      <c r="DX69" s="1" t="s">
        <v>3151</v>
      </c>
      <c r="DY69" s="1" t="s">
        <v>424</v>
      </c>
      <c r="DZ69" s="1" t="s">
        <v>1752</v>
      </c>
      <c r="EA69" s="1" t="s">
        <v>218</v>
      </c>
      <c r="EB69" s="1" t="s">
        <v>892</v>
      </c>
      <c r="EC69" s="1" t="s">
        <v>3141</v>
      </c>
      <c r="ED69" s="1" t="s">
        <v>3152</v>
      </c>
      <c r="EE69" s="1" t="s">
        <v>3152</v>
      </c>
      <c r="EF69" s="1" t="s">
        <v>3153</v>
      </c>
      <c r="EG69" s="1" t="s">
        <v>1929</v>
      </c>
      <c r="EH69" s="1" t="s">
        <v>3154</v>
      </c>
      <c r="EI69" s="1" t="s">
        <v>2036</v>
      </c>
      <c r="EJ69" s="1" t="s">
        <v>2283</v>
      </c>
      <c r="EK69" s="1" t="s">
        <v>1836</v>
      </c>
      <c r="EL69" s="1" t="s">
        <v>1837</v>
      </c>
      <c r="EM69" s="1" t="s">
        <v>1838</v>
      </c>
      <c r="EN69" s="1" t="s">
        <v>3155</v>
      </c>
      <c r="EO69" s="1" t="s">
        <v>1840</v>
      </c>
      <c r="EP69" s="1" t="s">
        <v>157</v>
      </c>
      <c r="EQ69" s="1" t="s">
        <v>1782</v>
      </c>
      <c r="ER69" s="1" t="s">
        <v>1802</v>
      </c>
      <c r="ES69" s="1" t="s">
        <v>1802</v>
      </c>
      <c r="ET69" s="1" t="s">
        <v>1802</v>
      </c>
      <c r="EU69" s="1" t="s">
        <v>1802</v>
      </c>
      <c r="EV69" s="1" t="s">
        <v>1802</v>
      </c>
      <c r="EW69" s="1" t="s">
        <v>1802</v>
      </c>
      <c r="EX69" s="1" t="s">
        <v>1802</v>
      </c>
      <c r="EY69" s="1" t="s">
        <v>1802</v>
      </c>
      <c r="EZ69" s="1" t="s">
        <v>1802</v>
      </c>
      <c r="FA69" s="1" t="s">
        <v>1802</v>
      </c>
      <c r="FB69" s="1" t="s">
        <v>1802</v>
      </c>
      <c r="FC69" s="1" t="s">
        <v>1802</v>
      </c>
      <c r="FD69" s="1" t="s">
        <v>1802</v>
      </c>
      <c r="FE69" s="1" t="s">
        <v>1802</v>
      </c>
      <c r="FF69" s="1" t="s">
        <v>1802</v>
      </c>
      <c r="FG69" s="1" t="s">
        <v>1802</v>
      </c>
      <c r="FH69" s="1" t="s">
        <v>1802</v>
      </c>
      <c r="FI69" s="1" t="s">
        <v>1802</v>
      </c>
      <c r="FJ69" s="1" t="s">
        <v>1802</v>
      </c>
      <c r="FK69" s="1" t="s">
        <v>1802</v>
      </c>
      <c r="FL69" s="1" t="s">
        <v>1802</v>
      </c>
      <c r="FM69" s="1" t="s">
        <v>1802</v>
      </c>
      <c r="FN69" s="1" t="s">
        <v>1802</v>
      </c>
      <c r="FO69" s="1" t="s">
        <v>1802</v>
      </c>
      <c r="FP69" s="1" t="s">
        <v>1802</v>
      </c>
      <c r="FQ69" s="1" t="s">
        <v>1802</v>
      </c>
      <c r="FR69" s="2"/>
      <c r="FS69" s="1" t="s">
        <v>1802</v>
      </c>
    </row>
    <row r="70" spans="1:175" x14ac:dyDescent="0.3">
      <c r="A70" s="1" t="s">
        <v>3156</v>
      </c>
      <c r="B70" s="1" t="s">
        <v>1739</v>
      </c>
      <c r="C70" s="1" t="s">
        <v>1180</v>
      </c>
      <c r="D70" s="1" t="s">
        <v>1740</v>
      </c>
      <c r="E70" s="1" t="s">
        <v>1913</v>
      </c>
      <c r="F70" s="1" t="s">
        <v>3157</v>
      </c>
      <c r="G70" s="1" t="s">
        <v>3157</v>
      </c>
      <c r="H70" s="1" t="s">
        <v>1915</v>
      </c>
      <c r="I70" s="1" t="s">
        <v>1744</v>
      </c>
      <c r="J70" s="1" t="s">
        <v>1745</v>
      </c>
      <c r="K70" s="1" t="s">
        <v>1746</v>
      </c>
      <c r="L70" s="1" t="s">
        <v>1747</v>
      </c>
      <c r="M70" s="1" t="s">
        <v>1748</v>
      </c>
      <c r="N70" s="1" t="s">
        <v>1749</v>
      </c>
      <c r="O70" s="1" t="s">
        <v>1750</v>
      </c>
      <c r="P70" s="1" t="s">
        <v>1751</v>
      </c>
      <c r="Q70">
        <v>49</v>
      </c>
      <c r="R70" s="1" t="s">
        <v>1752</v>
      </c>
      <c r="S70" s="1" t="s">
        <v>1753</v>
      </c>
      <c r="T70" s="1" t="s">
        <v>1754</v>
      </c>
      <c r="U70" s="1" t="s">
        <v>1755</v>
      </c>
      <c r="V70" s="1" t="s">
        <v>1756</v>
      </c>
      <c r="W70">
        <v>72</v>
      </c>
      <c r="X70">
        <v>72</v>
      </c>
      <c r="Y70" s="1" t="s">
        <v>1757</v>
      </c>
      <c r="Z70" s="2">
        <v>36999</v>
      </c>
      <c r="AA70" s="1" t="s">
        <v>1755</v>
      </c>
      <c r="AB70" s="1" t="s">
        <v>3158</v>
      </c>
      <c r="AC70" s="1" t="s">
        <v>424</v>
      </c>
      <c r="AD70" s="1" t="s">
        <v>1760</v>
      </c>
      <c r="AE70" s="1" t="s">
        <v>1761</v>
      </c>
      <c r="AF70" s="1" t="s">
        <v>1762</v>
      </c>
      <c r="AG70" s="1" t="s">
        <v>3159</v>
      </c>
      <c r="AH70" s="1" t="s">
        <v>1763</v>
      </c>
      <c r="AI70" s="1" t="s">
        <v>1763</v>
      </c>
      <c r="AJ70" s="1" t="s">
        <v>1763</v>
      </c>
      <c r="AK70" s="1" t="s">
        <v>3158</v>
      </c>
      <c r="AL70" s="1" t="s">
        <v>424</v>
      </c>
      <c r="AM70" s="1" t="s">
        <v>3160</v>
      </c>
      <c r="AN70" s="1" t="s">
        <v>1765</v>
      </c>
      <c r="AO70" s="1" t="s">
        <v>1766</v>
      </c>
      <c r="AP70" s="1" t="s">
        <v>1767</v>
      </c>
      <c r="AQ70" s="1" t="s">
        <v>1768</v>
      </c>
      <c r="AR70" s="1" t="s">
        <v>3161</v>
      </c>
      <c r="AS70" s="1" t="s">
        <v>1769</v>
      </c>
      <c r="AT70">
        <v>35556844774958</v>
      </c>
      <c r="AU70" s="1" t="s">
        <v>1770</v>
      </c>
      <c r="AV70">
        <v>0</v>
      </c>
      <c r="AW70" s="1" t="s">
        <v>3162</v>
      </c>
      <c r="AX70" s="1" t="s">
        <v>1897</v>
      </c>
      <c r="AY70" s="1" t="s">
        <v>3163</v>
      </c>
      <c r="AZ70" s="1" t="s">
        <v>3163</v>
      </c>
      <c r="BA70" s="1" t="s">
        <v>1774</v>
      </c>
      <c r="BB70">
        <v>4032</v>
      </c>
      <c r="BC70" s="1" t="s">
        <v>1776</v>
      </c>
      <c r="BD70" s="1" t="s">
        <v>1777</v>
      </c>
      <c r="BE70" s="1" t="s">
        <v>1778</v>
      </c>
      <c r="BF70" s="1" t="s">
        <v>1779</v>
      </c>
      <c r="BG70" s="1" t="s">
        <v>1779</v>
      </c>
      <c r="BH70" s="1" t="s">
        <v>1780</v>
      </c>
      <c r="BI70" s="1" t="s">
        <v>1781</v>
      </c>
      <c r="BJ70" s="1" t="s">
        <v>1754</v>
      </c>
      <c r="BK70" s="1" t="s">
        <v>1782</v>
      </c>
      <c r="BL70" s="1" t="s">
        <v>1783</v>
      </c>
      <c r="BM70" s="1" t="s">
        <v>1784</v>
      </c>
      <c r="BN70" s="1" t="s">
        <v>1785</v>
      </c>
      <c r="BO70" s="1" t="s">
        <v>1786</v>
      </c>
      <c r="BP70" s="1" t="s">
        <v>3164</v>
      </c>
      <c r="BQ70" s="1" t="s">
        <v>1788</v>
      </c>
      <c r="BR70" s="1" t="s">
        <v>3165</v>
      </c>
      <c r="BS70" s="1" t="s">
        <v>1790</v>
      </c>
      <c r="BT70" s="1" t="s">
        <v>3166</v>
      </c>
      <c r="BU70" s="1" t="s">
        <v>1790</v>
      </c>
      <c r="BV70" s="1" t="s">
        <v>3166</v>
      </c>
      <c r="BW70" s="1" t="s">
        <v>3167</v>
      </c>
      <c r="BX70" s="1" t="s">
        <v>3168</v>
      </c>
      <c r="BY70" s="1" t="s">
        <v>1856</v>
      </c>
      <c r="BZ70" s="1" t="s">
        <v>3159</v>
      </c>
      <c r="CA70" s="1" t="s">
        <v>1857</v>
      </c>
      <c r="CB70" s="1" t="s">
        <v>3159</v>
      </c>
      <c r="CC70" s="1" t="s">
        <v>3159</v>
      </c>
      <c r="CD70" s="1" t="s">
        <v>3169</v>
      </c>
      <c r="CE70" s="1" t="s">
        <v>3170</v>
      </c>
      <c r="CF70" s="1" t="s">
        <v>3171</v>
      </c>
      <c r="CG70" s="1" t="s">
        <v>3172</v>
      </c>
      <c r="CH70" s="1" t="s">
        <v>3173</v>
      </c>
      <c r="CI70" s="1" t="s">
        <v>3174</v>
      </c>
      <c r="CJ70" s="1" t="s">
        <v>3175</v>
      </c>
      <c r="CK70" s="1" t="s">
        <v>1765</v>
      </c>
      <c r="CL70" s="1" t="s">
        <v>1816</v>
      </c>
      <c r="CM70" s="1" t="s">
        <v>1816</v>
      </c>
      <c r="CN70" s="1" t="s">
        <v>1776</v>
      </c>
      <c r="CO70" s="1" t="s">
        <v>1775</v>
      </c>
      <c r="CP70" s="1" t="s">
        <v>3176</v>
      </c>
      <c r="CQ70" s="1" t="s">
        <v>1794</v>
      </c>
      <c r="CR70" s="1" t="s">
        <v>1795</v>
      </c>
      <c r="CS70" s="1" t="s">
        <v>1796</v>
      </c>
      <c r="CT70" s="1" t="s">
        <v>1797</v>
      </c>
      <c r="CU70" s="1" t="s">
        <v>1798</v>
      </c>
      <c r="CV70" s="1" t="s">
        <v>1799</v>
      </c>
      <c r="CW70" s="1" t="s">
        <v>1800</v>
      </c>
      <c r="CX70" s="1" t="s">
        <v>1794</v>
      </c>
      <c r="CY70" s="1" t="s">
        <v>1801</v>
      </c>
      <c r="CZ70" s="1" t="s">
        <v>1794</v>
      </c>
      <c r="DA70" s="1" t="s">
        <v>1802</v>
      </c>
      <c r="DB70" s="1" t="s">
        <v>1803</v>
      </c>
      <c r="DC70" s="1" t="s">
        <v>1804</v>
      </c>
      <c r="DD70" s="1" t="s">
        <v>1805</v>
      </c>
      <c r="DE70" s="1" t="s">
        <v>1794</v>
      </c>
      <c r="DF70" s="1" t="s">
        <v>1806</v>
      </c>
      <c r="DG70" s="1" t="s">
        <v>1807</v>
      </c>
      <c r="DH70" s="1" t="s">
        <v>1808</v>
      </c>
      <c r="DI70" s="1" t="s">
        <v>1809</v>
      </c>
      <c r="DJ70" s="1" t="s">
        <v>1810</v>
      </c>
      <c r="DK70" s="1" t="s">
        <v>1811</v>
      </c>
      <c r="DL70" s="1" t="s">
        <v>1812</v>
      </c>
      <c r="DM70" s="1" t="s">
        <v>1813</v>
      </c>
      <c r="DN70" s="1" t="s">
        <v>1814</v>
      </c>
      <c r="DO70" s="1" t="s">
        <v>1813</v>
      </c>
      <c r="DP70" s="1" t="s">
        <v>1813</v>
      </c>
      <c r="DQ70" s="1" t="s">
        <v>1775</v>
      </c>
      <c r="DR70" s="1" t="s">
        <v>1776</v>
      </c>
      <c r="DS70" s="1" t="s">
        <v>1752</v>
      </c>
      <c r="DT70" s="1" t="s">
        <v>1765</v>
      </c>
      <c r="DU70" s="1" t="s">
        <v>1815</v>
      </c>
      <c r="DV70" s="1" t="s">
        <v>1816</v>
      </c>
      <c r="DW70" s="1" t="s">
        <v>1817</v>
      </c>
      <c r="DX70" s="1" t="s">
        <v>1818</v>
      </c>
      <c r="DY70" s="1" t="s">
        <v>1819</v>
      </c>
      <c r="DZ70" s="1" t="s">
        <v>1820</v>
      </c>
      <c r="EA70" s="1" t="s">
        <v>1821</v>
      </c>
      <c r="EB70" s="1" t="s">
        <v>1822</v>
      </c>
      <c r="EC70" s="1" t="s">
        <v>1765</v>
      </c>
      <c r="ED70" s="1" t="s">
        <v>1765</v>
      </c>
      <c r="EE70" s="1" t="s">
        <v>1823</v>
      </c>
      <c r="EF70" s="1" t="s">
        <v>1824</v>
      </c>
      <c r="EG70" s="1" t="s">
        <v>1824</v>
      </c>
      <c r="EH70" s="1" t="s">
        <v>1765</v>
      </c>
      <c r="EI70" s="1" t="s">
        <v>1825</v>
      </c>
      <c r="EJ70" s="1" t="s">
        <v>1816</v>
      </c>
      <c r="EK70" s="1" t="s">
        <v>1826</v>
      </c>
      <c r="EL70" s="1" t="s">
        <v>3177</v>
      </c>
      <c r="EM70" s="1" t="s">
        <v>3178</v>
      </c>
      <c r="EN70" s="1" t="s">
        <v>3179</v>
      </c>
      <c r="EO70" s="1" t="s">
        <v>424</v>
      </c>
      <c r="EP70" s="1" t="s">
        <v>1752</v>
      </c>
      <c r="EQ70" s="1" t="s">
        <v>218</v>
      </c>
      <c r="ER70" s="1" t="s">
        <v>892</v>
      </c>
      <c r="ES70" s="1" t="s">
        <v>3158</v>
      </c>
      <c r="ET70" s="1" t="s">
        <v>3180</v>
      </c>
      <c r="EU70" s="1" t="s">
        <v>3180</v>
      </c>
      <c r="EV70" s="1" t="s">
        <v>3181</v>
      </c>
      <c r="EW70" s="1" t="s">
        <v>2034</v>
      </c>
      <c r="EX70" s="1" t="s">
        <v>3182</v>
      </c>
      <c r="EY70" s="1" t="s">
        <v>3183</v>
      </c>
      <c r="EZ70" s="1" t="s">
        <v>2574</v>
      </c>
      <c r="FA70" s="1" t="s">
        <v>1836</v>
      </c>
      <c r="FB70" s="1" t="s">
        <v>1837</v>
      </c>
      <c r="FC70" s="1" t="s">
        <v>1838</v>
      </c>
      <c r="FD70" s="1" t="s">
        <v>3184</v>
      </c>
      <c r="FE70" s="1" t="s">
        <v>1840</v>
      </c>
      <c r="FF70" s="1" t="s">
        <v>444</v>
      </c>
      <c r="FG70" s="1" t="s">
        <v>1782</v>
      </c>
      <c r="FH70" s="1" t="s">
        <v>1802</v>
      </c>
      <c r="FI70" s="1" t="s">
        <v>1802</v>
      </c>
      <c r="FJ70" s="1" t="s">
        <v>1802</v>
      </c>
      <c r="FK70" s="1" t="s">
        <v>1802</v>
      </c>
      <c r="FL70" s="1" t="s">
        <v>1802</v>
      </c>
      <c r="FM70" s="1" t="s">
        <v>1802</v>
      </c>
      <c r="FN70" s="1" t="s">
        <v>1802</v>
      </c>
      <c r="FO70" s="1" t="s">
        <v>1802</v>
      </c>
      <c r="FP70" s="1" t="s">
        <v>1802</v>
      </c>
      <c r="FQ70" s="1" t="s">
        <v>1802</v>
      </c>
      <c r="FR70" s="2"/>
      <c r="FS70" s="1" t="s">
        <v>1802</v>
      </c>
    </row>
    <row r="71" spans="1:175" x14ac:dyDescent="0.3">
      <c r="A71" s="1" t="s">
        <v>3185</v>
      </c>
      <c r="B71" s="1" t="s">
        <v>1739</v>
      </c>
      <c r="C71" s="1" t="s">
        <v>1192</v>
      </c>
      <c r="D71" s="1" t="s">
        <v>1740</v>
      </c>
      <c r="E71" s="1" t="s">
        <v>1741</v>
      </c>
      <c r="F71" s="1" t="s">
        <v>3186</v>
      </c>
      <c r="G71" s="1" t="s">
        <v>3186</v>
      </c>
      <c r="H71" s="1" t="s">
        <v>3187</v>
      </c>
      <c r="I71" s="1" t="s">
        <v>1744</v>
      </c>
      <c r="J71" s="1" t="s">
        <v>1745</v>
      </c>
      <c r="K71" s="1" t="s">
        <v>1746</v>
      </c>
      <c r="L71" s="1" t="s">
        <v>1747</v>
      </c>
      <c r="M71" s="1" t="s">
        <v>1748</v>
      </c>
      <c r="N71" s="1" t="s">
        <v>1749</v>
      </c>
      <c r="O71" s="1" t="s">
        <v>1750</v>
      </c>
      <c r="P71" s="1" t="s">
        <v>1751</v>
      </c>
      <c r="Q71">
        <v>49</v>
      </c>
      <c r="R71" s="1" t="s">
        <v>1752</v>
      </c>
      <c r="S71" s="1" t="s">
        <v>1753</v>
      </c>
      <c r="T71" s="1" t="s">
        <v>1754</v>
      </c>
      <c r="U71" s="1" t="s">
        <v>1755</v>
      </c>
      <c r="V71" s="1" t="s">
        <v>1756</v>
      </c>
      <c r="W71">
        <v>72</v>
      </c>
      <c r="X71">
        <v>72</v>
      </c>
      <c r="Y71" s="1" t="s">
        <v>1757</v>
      </c>
      <c r="Z71" s="2">
        <v>36999</v>
      </c>
      <c r="AA71" s="1" t="s">
        <v>3188</v>
      </c>
      <c r="AB71" s="1" t="s">
        <v>1755</v>
      </c>
      <c r="AC71" s="1" t="s">
        <v>3189</v>
      </c>
      <c r="AD71" s="1" t="s">
        <v>424</v>
      </c>
      <c r="AE71" s="1" t="s">
        <v>1760</v>
      </c>
      <c r="AF71" s="1" t="s">
        <v>1761</v>
      </c>
      <c r="AG71" s="1" t="s">
        <v>1762</v>
      </c>
      <c r="AH71" s="1" t="s">
        <v>3188</v>
      </c>
      <c r="AI71" s="1" t="s">
        <v>3188</v>
      </c>
      <c r="AJ71" s="1" t="s">
        <v>1763</v>
      </c>
      <c r="AK71" s="1" t="s">
        <v>1763</v>
      </c>
      <c r="AL71" s="1" t="s">
        <v>1763</v>
      </c>
      <c r="AM71" s="1" t="s">
        <v>3189</v>
      </c>
      <c r="AN71" s="1" t="s">
        <v>424</v>
      </c>
      <c r="AO71" s="1" t="s">
        <v>3190</v>
      </c>
      <c r="AP71" s="1" t="s">
        <v>1765</v>
      </c>
      <c r="AQ71" s="1" t="s">
        <v>1766</v>
      </c>
      <c r="AR71" s="1" t="s">
        <v>1767</v>
      </c>
      <c r="AS71" s="1" t="s">
        <v>1768</v>
      </c>
      <c r="AT71">
        <v>2010150922131390</v>
      </c>
      <c r="AU71" s="1" t="s">
        <v>1769</v>
      </c>
      <c r="AV71">
        <v>42953995373750</v>
      </c>
      <c r="AW71" s="1" t="s">
        <v>1770</v>
      </c>
      <c r="AX71" s="1" t="s">
        <v>1765</v>
      </c>
      <c r="AY71" s="1" t="s">
        <v>3191</v>
      </c>
      <c r="AZ71" s="1" t="s">
        <v>1897</v>
      </c>
      <c r="BA71" s="1" t="s">
        <v>3192</v>
      </c>
      <c r="BB71">
        <v>612</v>
      </c>
      <c r="BC71" s="1" t="s">
        <v>1774</v>
      </c>
      <c r="BD71" s="1" t="s">
        <v>1775</v>
      </c>
      <c r="BE71" s="1" t="s">
        <v>1776</v>
      </c>
      <c r="BF71" s="1" t="s">
        <v>1777</v>
      </c>
      <c r="BG71" s="1" t="s">
        <v>1778</v>
      </c>
      <c r="BH71" s="1" t="s">
        <v>1779</v>
      </c>
      <c r="BI71" s="1" t="s">
        <v>1779</v>
      </c>
      <c r="BJ71" s="1" t="s">
        <v>1780</v>
      </c>
      <c r="BK71" s="1" t="s">
        <v>1781</v>
      </c>
      <c r="BL71" s="1" t="s">
        <v>1754</v>
      </c>
      <c r="BM71" s="1" t="s">
        <v>1782</v>
      </c>
      <c r="BN71" s="1" t="s">
        <v>1783</v>
      </c>
      <c r="BO71" s="1" t="s">
        <v>1784</v>
      </c>
      <c r="BP71" s="1" t="s">
        <v>1785</v>
      </c>
      <c r="BQ71" s="1" t="s">
        <v>1786</v>
      </c>
      <c r="BR71" s="1" t="s">
        <v>3193</v>
      </c>
      <c r="BS71" s="1" t="s">
        <v>1788</v>
      </c>
      <c r="BT71" s="1" t="s">
        <v>3194</v>
      </c>
      <c r="BU71" s="1" t="s">
        <v>1790</v>
      </c>
      <c r="BV71" s="1" t="s">
        <v>3195</v>
      </c>
      <c r="BW71" s="1" t="s">
        <v>1790</v>
      </c>
      <c r="BX71" s="1" t="s">
        <v>3195</v>
      </c>
      <c r="BY71" s="1" t="s">
        <v>3167</v>
      </c>
      <c r="BZ71" s="1" t="s">
        <v>3196</v>
      </c>
      <c r="CA71" s="1" t="s">
        <v>1794</v>
      </c>
      <c r="CB71" s="1" t="s">
        <v>1795</v>
      </c>
      <c r="CC71" s="1" t="s">
        <v>1796</v>
      </c>
      <c r="CD71" s="1" t="s">
        <v>1797</v>
      </c>
      <c r="CE71" s="1" t="s">
        <v>1798</v>
      </c>
      <c r="CF71" s="1" t="s">
        <v>1799</v>
      </c>
      <c r="CG71" s="1" t="s">
        <v>1800</v>
      </c>
      <c r="CH71" s="1" t="s">
        <v>1794</v>
      </c>
      <c r="CI71" s="1" t="s">
        <v>1801</v>
      </c>
      <c r="CJ71" s="1" t="s">
        <v>1794</v>
      </c>
      <c r="CK71" s="1" t="s">
        <v>1802</v>
      </c>
      <c r="CL71" s="1" t="s">
        <v>1803</v>
      </c>
      <c r="CM71" s="1" t="s">
        <v>1804</v>
      </c>
      <c r="CN71" s="1" t="s">
        <v>1805</v>
      </c>
      <c r="CO71" s="1" t="s">
        <v>1794</v>
      </c>
      <c r="CP71" s="1" t="s">
        <v>1806</v>
      </c>
      <c r="CQ71" s="1" t="s">
        <v>1807</v>
      </c>
      <c r="CR71" s="1" t="s">
        <v>1808</v>
      </c>
      <c r="CS71" s="1" t="s">
        <v>1809</v>
      </c>
      <c r="CT71" s="1" t="s">
        <v>1810</v>
      </c>
      <c r="CU71" s="1" t="s">
        <v>1811</v>
      </c>
      <c r="CV71" s="1" t="s">
        <v>1812</v>
      </c>
      <c r="CW71" s="1" t="s">
        <v>1813</v>
      </c>
      <c r="CX71" s="1" t="s">
        <v>1814</v>
      </c>
      <c r="CY71" s="1" t="s">
        <v>1813</v>
      </c>
      <c r="CZ71" s="1" t="s">
        <v>1813</v>
      </c>
      <c r="DA71" s="1" t="s">
        <v>1775</v>
      </c>
      <c r="DB71" s="1" t="s">
        <v>1776</v>
      </c>
      <c r="DC71" s="1" t="s">
        <v>1752</v>
      </c>
      <c r="DD71" s="1" t="s">
        <v>1765</v>
      </c>
      <c r="DE71" s="1" t="s">
        <v>1815</v>
      </c>
      <c r="DF71" s="1" t="s">
        <v>1816</v>
      </c>
      <c r="DG71" s="1" t="s">
        <v>1817</v>
      </c>
      <c r="DH71" s="1" t="s">
        <v>1818</v>
      </c>
      <c r="DI71" s="1" t="s">
        <v>1819</v>
      </c>
      <c r="DJ71" s="1" t="s">
        <v>1820</v>
      </c>
      <c r="DK71" s="1" t="s">
        <v>1821</v>
      </c>
      <c r="DL71" s="1" t="s">
        <v>1822</v>
      </c>
      <c r="DM71" s="1" t="s">
        <v>1765</v>
      </c>
      <c r="DN71" s="1" t="s">
        <v>1765</v>
      </c>
      <c r="DO71" s="1" t="s">
        <v>1823</v>
      </c>
      <c r="DP71" s="1" t="s">
        <v>1824</v>
      </c>
      <c r="DQ71" s="1" t="s">
        <v>1824</v>
      </c>
      <c r="DR71" s="1" t="s">
        <v>1765</v>
      </c>
      <c r="DS71" s="1" t="s">
        <v>1825</v>
      </c>
      <c r="DT71" s="1" t="s">
        <v>1816</v>
      </c>
      <c r="DU71" s="1" t="s">
        <v>1826</v>
      </c>
      <c r="DV71" s="1" t="s">
        <v>3197</v>
      </c>
      <c r="DW71" s="1" t="s">
        <v>1828</v>
      </c>
      <c r="DX71" s="1" t="s">
        <v>3198</v>
      </c>
      <c r="DY71" s="1" t="s">
        <v>424</v>
      </c>
      <c r="DZ71" s="1" t="s">
        <v>1752</v>
      </c>
      <c r="EA71" s="1" t="s">
        <v>218</v>
      </c>
      <c r="EB71" s="1" t="s">
        <v>892</v>
      </c>
      <c r="EC71" s="1" t="s">
        <v>3189</v>
      </c>
      <c r="ED71" s="1" t="s">
        <v>3199</v>
      </c>
      <c r="EE71" s="1" t="s">
        <v>3199</v>
      </c>
      <c r="EF71" s="1" t="s">
        <v>3200</v>
      </c>
      <c r="EG71" s="1" t="s">
        <v>1929</v>
      </c>
      <c r="EH71" s="1" t="s">
        <v>3201</v>
      </c>
      <c r="EI71" s="1" t="s">
        <v>3202</v>
      </c>
      <c r="EJ71" s="1" t="s">
        <v>3203</v>
      </c>
      <c r="EK71" s="1" t="s">
        <v>1836</v>
      </c>
      <c r="EL71" s="1" t="s">
        <v>1837</v>
      </c>
      <c r="EM71" s="1" t="s">
        <v>1838</v>
      </c>
      <c r="EN71" s="1" t="s">
        <v>3204</v>
      </c>
      <c r="EO71" s="1" t="s">
        <v>1840</v>
      </c>
      <c r="EP71" s="1" t="s">
        <v>157</v>
      </c>
      <c r="EQ71" s="1" t="s">
        <v>1782</v>
      </c>
      <c r="ER71" s="1" t="s">
        <v>1802</v>
      </c>
      <c r="ES71" s="1" t="s">
        <v>1802</v>
      </c>
      <c r="ET71" s="1" t="s">
        <v>1802</v>
      </c>
      <c r="EU71" s="1" t="s">
        <v>1802</v>
      </c>
      <c r="EV71" s="1" t="s">
        <v>1802</v>
      </c>
      <c r="EW71" s="1" t="s">
        <v>1802</v>
      </c>
      <c r="EX71" s="1" t="s">
        <v>1802</v>
      </c>
      <c r="EY71" s="1" t="s">
        <v>1802</v>
      </c>
      <c r="EZ71" s="1" t="s">
        <v>1802</v>
      </c>
      <c r="FA71" s="1" t="s">
        <v>1802</v>
      </c>
      <c r="FB71" s="1" t="s">
        <v>1802</v>
      </c>
      <c r="FC71" s="1" t="s">
        <v>1802</v>
      </c>
      <c r="FD71" s="1" t="s">
        <v>1802</v>
      </c>
      <c r="FE71" s="1" t="s">
        <v>1802</v>
      </c>
      <c r="FF71" s="1" t="s">
        <v>1802</v>
      </c>
      <c r="FG71" s="1" t="s">
        <v>1802</v>
      </c>
      <c r="FH71" s="1" t="s">
        <v>1802</v>
      </c>
      <c r="FI71" s="1" t="s">
        <v>1802</v>
      </c>
      <c r="FJ71" s="1" t="s">
        <v>1802</v>
      </c>
      <c r="FK71" s="1" t="s">
        <v>1802</v>
      </c>
      <c r="FL71" s="1" t="s">
        <v>1802</v>
      </c>
      <c r="FM71" s="1" t="s">
        <v>1802</v>
      </c>
      <c r="FN71" s="1" t="s">
        <v>1802</v>
      </c>
      <c r="FO71" s="1" t="s">
        <v>1802</v>
      </c>
      <c r="FP71" s="1" t="s">
        <v>1802</v>
      </c>
      <c r="FQ71" s="1" t="s">
        <v>1802</v>
      </c>
      <c r="FR71" s="2"/>
      <c r="FS71" s="1" t="s">
        <v>1802</v>
      </c>
    </row>
    <row r="72" spans="1:175" x14ac:dyDescent="0.3">
      <c r="A72" s="1" t="s">
        <v>3205</v>
      </c>
      <c r="B72" s="1" t="s">
        <v>1739</v>
      </c>
      <c r="C72" s="1" t="s">
        <v>1211</v>
      </c>
      <c r="D72" s="1" t="s">
        <v>1740</v>
      </c>
      <c r="E72" s="1" t="s">
        <v>1741</v>
      </c>
      <c r="F72" s="1" t="s">
        <v>3206</v>
      </c>
      <c r="G72" s="1" t="s">
        <v>3206</v>
      </c>
      <c r="H72" s="1" t="s">
        <v>3207</v>
      </c>
      <c r="I72" s="1" t="s">
        <v>1744</v>
      </c>
      <c r="J72" s="1" t="s">
        <v>1745</v>
      </c>
      <c r="K72" s="1" t="s">
        <v>1746</v>
      </c>
      <c r="L72" s="1" t="s">
        <v>1747</v>
      </c>
      <c r="M72" s="1" t="s">
        <v>1748</v>
      </c>
      <c r="N72" s="1" t="s">
        <v>1749</v>
      </c>
      <c r="O72" s="1" t="s">
        <v>1750</v>
      </c>
      <c r="P72" s="1" t="s">
        <v>1751</v>
      </c>
      <c r="Q72">
        <v>49</v>
      </c>
      <c r="R72" s="1" t="s">
        <v>1752</v>
      </c>
      <c r="S72" s="1" t="s">
        <v>1753</v>
      </c>
      <c r="T72" s="1" t="s">
        <v>1754</v>
      </c>
      <c r="U72" s="1" t="s">
        <v>1755</v>
      </c>
      <c r="V72" s="1" t="s">
        <v>1756</v>
      </c>
      <c r="W72">
        <v>72</v>
      </c>
      <c r="X72">
        <v>72</v>
      </c>
      <c r="Y72" s="1" t="s">
        <v>1757</v>
      </c>
      <c r="Z72" s="2">
        <v>36999</v>
      </c>
      <c r="AA72" s="1" t="s">
        <v>1755</v>
      </c>
      <c r="AB72" s="1" t="s">
        <v>3208</v>
      </c>
      <c r="AC72" s="1" t="s">
        <v>424</v>
      </c>
      <c r="AD72" s="1" t="s">
        <v>1760</v>
      </c>
      <c r="AE72" s="1" t="s">
        <v>1761</v>
      </c>
      <c r="AF72" s="1" t="s">
        <v>1762</v>
      </c>
      <c r="AG72" s="1" t="s">
        <v>3209</v>
      </c>
      <c r="AH72" s="1" t="s">
        <v>1763</v>
      </c>
      <c r="AI72" s="1" t="s">
        <v>1763</v>
      </c>
      <c r="AJ72" s="1" t="s">
        <v>1763</v>
      </c>
      <c r="AK72" s="1" t="s">
        <v>3208</v>
      </c>
      <c r="AL72" s="1" t="s">
        <v>424</v>
      </c>
      <c r="AM72" s="1" t="s">
        <v>3210</v>
      </c>
      <c r="AN72" s="1" t="s">
        <v>1765</v>
      </c>
      <c r="AO72" s="1" t="s">
        <v>1766</v>
      </c>
      <c r="AP72" s="1" t="s">
        <v>1767</v>
      </c>
      <c r="AQ72" s="1" t="s">
        <v>1768</v>
      </c>
      <c r="AR72" s="1" t="s">
        <v>3211</v>
      </c>
      <c r="AS72" s="1" t="s">
        <v>1769</v>
      </c>
      <c r="AT72">
        <v>46337482417166</v>
      </c>
      <c r="AU72" s="1" t="s">
        <v>1770</v>
      </c>
      <c r="AV72">
        <v>0</v>
      </c>
      <c r="AW72" s="1" t="s">
        <v>3212</v>
      </c>
      <c r="AX72" s="1" t="s">
        <v>1897</v>
      </c>
      <c r="AY72" s="1" t="s">
        <v>3213</v>
      </c>
      <c r="AZ72" s="1" t="s">
        <v>3213</v>
      </c>
      <c r="BA72" s="1" t="s">
        <v>1774</v>
      </c>
      <c r="BB72">
        <v>4032</v>
      </c>
      <c r="BC72" s="1" t="s">
        <v>1776</v>
      </c>
      <c r="BD72" s="1" t="s">
        <v>1777</v>
      </c>
      <c r="BE72" s="1" t="s">
        <v>1778</v>
      </c>
      <c r="BF72" s="1" t="s">
        <v>1779</v>
      </c>
      <c r="BG72" s="1" t="s">
        <v>1779</v>
      </c>
      <c r="BH72" s="1" t="s">
        <v>1780</v>
      </c>
      <c r="BI72" s="1" t="s">
        <v>1781</v>
      </c>
      <c r="BJ72" s="1" t="s">
        <v>1754</v>
      </c>
      <c r="BK72" s="1" t="s">
        <v>1782</v>
      </c>
      <c r="BL72" s="1" t="s">
        <v>1783</v>
      </c>
      <c r="BM72" s="1" t="s">
        <v>1784</v>
      </c>
      <c r="BN72" s="1" t="s">
        <v>1785</v>
      </c>
      <c r="BO72" s="1" t="s">
        <v>1786</v>
      </c>
      <c r="BP72" s="1" t="s">
        <v>3214</v>
      </c>
      <c r="BQ72" s="1" t="s">
        <v>1788</v>
      </c>
      <c r="BR72" s="1" t="s">
        <v>3215</v>
      </c>
      <c r="BS72" s="1" t="s">
        <v>1790</v>
      </c>
      <c r="BT72" s="1" t="s">
        <v>3216</v>
      </c>
      <c r="BU72" s="1" t="s">
        <v>1790</v>
      </c>
      <c r="BV72" s="1" t="s">
        <v>3216</v>
      </c>
      <c r="BW72" s="1" t="s">
        <v>3167</v>
      </c>
      <c r="BX72" s="1" t="s">
        <v>3217</v>
      </c>
      <c r="BY72" s="1" t="s">
        <v>1856</v>
      </c>
      <c r="BZ72" s="1" t="s">
        <v>3209</v>
      </c>
      <c r="CA72" s="1" t="s">
        <v>1857</v>
      </c>
      <c r="CB72" s="1" t="s">
        <v>3209</v>
      </c>
      <c r="CC72" s="1" t="s">
        <v>3209</v>
      </c>
      <c r="CD72" s="1" t="s">
        <v>3218</v>
      </c>
      <c r="CE72" s="1" t="s">
        <v>3219</v>
      </c>
      <c r="CF72" s="1" t="s">
        <v>3220</v>
      </c>
      <c r="CG72" s="1" t="s">
        <v>3221</v>
      </c>
      <c r="CH72" s="1" t="s">
        <v>3173</v>
      </c>
      <c r="CI72" s="1" t="s">
        <v>3174</v>
      </c>
      <c r="CJ72" s="1" t="s">
        <v>3222</v>
      </c>
      <c r="CK72" s="1" t="s">
        <v>1765</v>
      </c>
      <c r="CL72" s="1" t="s">
        <v>3223</v>
      </c>
      <c r="CM72" s="1" t="s">
        <v>3224</v>
      </c>
      <c r="CN72" s="1" t="s">
        <v>1776</v>
      </c>
      <c r="CO72" s="1" t="s">
        <v>1775</v>
      </c>
      <c r="CP72" s="1" t="s">
        <v>3176</v>
      </c>
      <c r="CQ72" s="1" t="s">
        <v>1794</v>
      </c>
      <c r="CR72" s="1" t="s">
        <v>1795</v>
      </c>
      <c r="CS72" s="1" t="s">
        <v>1796</v>
      </c>
      <c r="CT72" s="1" t="s">
        <v>1797</v>
      </c>
      <c r="CU72" s="1" t="s">
        <v>1798</v>
      </c>
      <c r="CV72" s="1" t="s">
        <v>1799</v>
      </c>
      <c r="CW72" s="1" t="s">
        <v>1800</v>
      </c>
      <c r="CX72" s="1" t="s">
        <v>1794</v>
      </c>
      <c r="CY72" s="1" t="s">
        <v>1801</v>
      </c>
      <c r="CZ72" s="1" t="s">
        <v>1794</v>
      </c>
      <c r="DA72" s="1" t="s">
        <v>1802</v>
      </c>
      <c r="DB72" s="1" t="s">
        <v>1803</v>
      </c>
      <c r="DC72" s="1" t="s">
        <v>1804</v>
      </c>
      <c r="DD72" s="1" t="s">
        <v>1805</v>
      </c>
      <c r="DE72" s="1" t="s">
        <v>1794</v>
      </c>
      <c r="DF72" s="1" t="s">
        <v>1806</v>
      </c>
      <c r="DG72" s="1" t="s">
        <v>1807</v>
      </c>
      <c r="DH72" s="1" t="s">
        <v>1808</v>
      </c>
      <c r="DI72" s="1" t="s">
        <v>1809</v>
      </c>
      <c r="DJ72" s="1" t="s">
        <v>1810</v>
      </c>
      <c r="DK72" s="1" t="s">
        <v>1811</v>
      </c>
      <c r="DL72" s="1" t="s">
        <v>1812</v>
      </c>
      <c r="DM72" s="1" t="s">
        <v>1813</v>
      </c>
      <c r="DN72" s="1" t="s">
        <v>1814</v>
      </c>
      <c r="DO72" s="1" t="s">
        <v>1813</v>
      </c>
      <c r="DP72" s="1" t="s">
        <v>1813</v>
      </c>
      <c r="DQ72" s="1" t="s">
        <v>1775</v>
      </c>
      <c r="DR72" s="1" t="s">
        <v>1776</v>
      </c>
      <c r="DS72" s="1" t="s">
        <v>1752</v>
      </c>
      <c r="DT72" s="1" t="s">
        <v>1765</v>
      </c>
      <c r="DU72" s="1" t="s">
        <v>1815</v>
      </c>
      <c r="DV72" s="1" t="s">
        <v>1816</v>
      </c>
      <c r="DW72" s="1" t="s">
        <v>1817</v>
      </c>
      <c r="DX72" s="1" t="s">
        <v>1818</v>
      </c>
      <c r="DY72" s="1" t="s">
        <v>1819</v>
      </c>
      <c r="DZ72" s="1" t="s">
        <v>1820</v>
      </c>
      <c r="EA72" s="1" t="s">
        <v>1821</v>
      </c>
      <c r="EB72" s="1" t="s">
        <v>1822</v>
      </c>
      <c r="EC72" s="1" t="s">
        <v>1765</v>
      </c>
      <c r="ED72" s="1" t="s">
        <v>1765</v>
      </c>
      <c r="EE72" s="1" t="s">
        <v>1823</v>
      </c>
      <c r="EF72" s="1" t="s">
        <v>1824</v>
      </c>
      <c r="EG72" s="1" t="s">
        <v>1824</v>
      </c>
      <c r="EH72" s="1" t="s">
        <v>1765</v>
      </c>
      <c r="EI72" s="1" t="s">
        <v>1825</v>
      </c>
      <c r="EJ72" s="1" t="s">
        <v>1816</v>
      </c>
      <c r="EK72" s="1" t="s">
        <v>1826</v>
      </c>
      <c r="EL72" s="1" t="s">
        <v>3225</v>
      </c>
      <c r="EM72" s="1" t="s">
        <v>3178</v>
      </c>
      <c r="EN72" s="1" t="s">
        <v>3226</v>
      </c>
      <c r="EO72" s="1" t="s">
        <v>424</v>
      </c>
      <c r="EP72" s="1" t="s">
        <v>1752</v>
      </c>
      <c r="EQ72" s="1" t="s">
        <v>218</v>
      </c>
      <c r="ER72" s="1" t="s">
        <v>892</v>
      </c>
      <c r="ES72" s="1" t="s">
        <v>3208</v>
      </c>
      <c r="ET72" s="1" t="s">
        <v>3227</v>
      </c>
      <c r="EU72" s="1" t="s">
        <v>3227</v>
      </c>
      <c r="EV72" s="1" t="s">
        <v>3228</v>
      </c>
      <c r="EW72" s="1" t="s">
        <v>3229</v>
      </c>
      <c r="EX72" s="1" t="s">
        <v>3230</v>
      </c>
      <c r="EY72" s="1" t="s">
        <v>3231</v>
      </c>
      <c r="EZ72" s="1" t="s">
        <v>2509</v>
      </c>
      <c r="FA72" s="1" t="s">
        <v>1836</v>
      </c>
      <c r="FB72" s="1" t="s">
        <v>1837</v>
      </c>
      <c r="FC72" s="1" t="s">
        <v>1838</v>
      </c>
      <c r="FD72" s="1" t="s">
        <v>3232</v>
      </c>
      <c r="FE72" s="1" t="s">
        <v>1840</v>
      </c>
      <c r="FF72" s="1" t="s">
        <v>137</v>
      </c>
      <c r="FG72" s="1" t="s">
        <v>1782</v>
      </c>
      <c r="FH72" s="1" t="s">
        <v>1802</v>
      </c>
      <c r="FI72" s="1" t="s">
        <v>1802</v>
      </c>
      <c r="FJ72" s="1" t="s">
        <v>1802</v>
      </c>
      <c r="FK72" s="1" t="s">
        <v>1802</v>
      </c>
      <c r="FL72" s="1" t="s">
        <v>1802</v>
      </c>
      <c r="FM72" s="1" t="s">
        <v>1802</v>
      </c>
      <c r="FN72" s="1" t="s">
        <v>1802</v>
      </c>
      <c r="FO72" s="1" t="s">
        <v>1802</v>
      </c>
      <c r="FP72" s="1" t="s">
        <v>1802</v>
      </c>
      <c r="FQ72" s="1" t="s">
        <v>1802</v>
      </c>
      <c r="FR72" s="2"/>
      <c r="FS72" s="1" t="s">
        <v>1802</v>
      </c>
    </row>
    <row r="73" spans="1:175" x14ac:dyDescent="0.3">
      <c r="A73" s="1" t="s">
        <v>3233</v>
      </c>
      <c r="B73" s="1" t="s">
        <v>1739</v>
      </c>
      <c r="C73" s="1" t="s">
        <v>1221</v>
      </c>
      <c r="D73" s="1" t="s">
        <v>1740</v>
      </c>
      <c r="E73" s="1" t="s">
        <v>2577</v>
      </c>
      <c r="F73" s="1" t="s">
        <v>3234</v>
      </c>
      <c r="G73" s="1" t="s">
        <v>3234</v>
      </c>
      <c r="H73" s="1" t="s">
        <v>3235</v>
      </c>
      <c r="I73" s="1" t="s">
        <v>1744</v>
      </c>
      <c r="J73" s="1" t="s">
        <v>1745</v>
      </c>
      <c r="K73" s="1" t="s">
        <v>1746</v>
      </c>
      <c r="L73" s="1" t="s">
        <v>1747</v>
      </c>
      <c r="M73" s="1" t="s">
        <v>1748</v>
      </c>
      <c r="N73" s="1" t="s">
        <v>1749</v>
      </c>
      <c r="O73" s="1" t="s">
        <v>1750</v>
      </c>
      <c r="P73" s="1" t="s">
        <v>1751</v>
      </c>
      <c r="Q73">
        <v>49</v>
      </c>
      <c r="R73" s="1" t="s">
        <v>1752</v>
      </c>
      <c r="S73" s="1" t="s">
        <v>1753</v>
      </c>
      <c r="T73" s="1" t="s">
        <v>1754</v>
      </c>
      <c r="U73" s="1" t="s">
        <v>1755</v>
      </c>
      <c r="V73" s="1" t="s">
        <v>1756</v>
      </c>
      <c r="W73">
        <v>72</v>
      </c>
      <c r="X73">
        <v>72</v>
      </c>
      <c r="Y73" s="1" t="s">
        <v>1757</v>
      </c>
      <c r="Z73" s="2">
        <v>36999</v>
      </c>
      <c r="AA73" s="1" t="s">
        <v>3236</v>
      </c>
      <c r="AB73" s="1" t="s">
        <v>1755</v>
      </c>
      <c r="AC73" s="1" t="s">
        <v>3237</v>
      </c>
      <c r="AD73" s="1" t="s">
        <v>424</v>
      </c>
      <c r="AE73" s="1" t="s">
        <v>1760</v>
      </c>
      <c r="AF73" s="1" t="s">
        <v>1761</v>
      </c>
      <c r="AG73" s="1" t="s">
        <v>1762</v>
      </c>
      <c r="AH73" s="1" t="s">
        <v>3236</v>
      </c>
      <c r="AI73" s="1" t="s">
        <v>3236</v>
      </c>
      <c r="AJ73" s="1" t="s">
        <v>1763</v>
      </c>
      <c r="AK73" s="1" t="s">
        <v>1763</v>
      </c>
      <c r="AL73" s="1" t="s">
        <v>1763</v>
      </c>
      <c r="AM73" s="1" t="s">
        <v>3237</v>
      </c>
      <c r="AN73" s="1" t="s">
        <v>424</v>
      </c>
      <c r="AO73" s="1" t="s">
        <v>3238</v>
      </c>
      <c r="AP73" s="1" t="s">
        <v>1765</v>
      </c>
      <c r="AQ73" s="1" t="s">
        <v>1766</v>
      </c>
      <c r="AR73" s="1" t="s">
        <v>1767</v>
      </c>
      <c r="AS73" s="1" t="s">
        <v>1768</v>
      </c>
      <c r="AT73">
        <v>2010150922131390</v>
      </c>
      <c r="AU73" s="1" t="s">
        <v>1769</v>
      </c>
      <c r="AV73">
        <v>49632203516541</v>
      </c>
      <c r="AW73" s="1" t="s">
        <v>1770</v>
      </c>
      <c r="AX73" s="1" t="s">
        <v>1765</v>
      </c>
      <c r="AY73" s="1" t="s">
        <v>3239</v>
      </c>
      <c r="AZ73" s="1" t="s">
        <v>1897</v>
      </c>
      <c r="BA73" s="1" t="s">
        <v>3240</v>
      </c>
      <c r="BB73">
        <v>54</v>
      </c>
      <c r="BC73" s="1" t="s">
        <v>1774</v>
      </c>
      <c r="BD73" s="1" t="s">
        <v>1775</v>
      </c>
      <c r="BE73" s="1" t="s">
        <v>1776</v>
      </c>
      <c r="BF73" s="1" t="s">
        <v>1777</v>
      </c>
      <c r="BG73" s="1" t="s">
        <v>1778</v>
      </c>
      <c r="BH73" s="1" t="s">
        <v>1779</v>
      </c>
      <c r="BI73" s="1" t="s">
        <v>1779</v>
      </c>
      <c r="BJ73" s="1" t="s">
        <v>1780</v>
      </c>
      <c r="BK73" s="1" t="s">
        <v>1781</v>
      </c>
      <c r="BL73" s="1" t="s">
        <v>1754</v>
      </c>
      <c r="BM73" s="1" t="s">
        <v>1782</v>
      </c>
      <c r="BN73" s="1" t="s">
        <v>1783</v>
      </c>
      <c r="BO73" s="1" t="s">
        <v>1784</v>
      </c>
      <c r="BP73" s="1" t="s">
        <v>1785</v>
      </c>
      <c r="BQ73" s="1" t="s">
        <v>1786</v>
      </c>
      <c r="BR73" s="1" t="s">
        <v>3241</v>
      </c>
      <c r="BS73" s="1" t="s">
        <v>1788</v>
      </c>
      <c r="BT73" s="1" t="s">
        <v>3242</v>
      </c>
      <c r="BU73" s="1" t="s">
        <v>1790</v>
      </c>
      <c r="BV73" s="1" t="s">
        <v>3243</v>
      </c>
      <c r="BW73" s="1" t="s">
        <v>1790</v>
      </c>
      <c r="BX73" s="1" t="s">
        <v>3243</v>
      </c>
      <c r="BY73" s="1" t="s">
        <v>3167</v>
      </c>
      <c r="BZ73" s="1" t="s">
        <v>3244</v>
      </c>
      <c r="CA73" s="1" t="s">
        <v>1794</v>
      </c>
      <c r="CB73" s="1" t="s">
        <v>1795</v>
      </c>
      <c r="CC73" s="1" t="s">
        <v>1796</v>
      </c>
      <c r="CD73" s="1" t="s">
        <v>1797</v>
      </c>
      <c r="CE73" s="1" t="s">
        <v>1798</v>
      </c>
      <c r="CF73" s="1" t="s">
        <v>1799</v>
      </c>
      <c r="CG73" s="1" t="s">
        <v>1800</v>
      </c>
      <c r="CH73" s="1" t="s">
        <v>1794</v>
      </c>
      <c r="CI73" s="1" t="s">
        <v>1801</v>
      </c>
      <c r="CJ73" s="1" t="s">
        <v>1794</v>
      </c>
      <c r="CK73" s="1" t="s">
        <v>1802</v>
      </c>
      <c r="CL73" s="1" t="s">
        <v>1803</v>
      </c>
      <c r="CM73" s="1" t="s">
        <v>1804</v>
      </c>
      <c r="CN73" s="1" t="s">
        <v>1805</v>
      </c>
      <c r="CO73" s="1" t="s">
        <v>1794</v>
      </c>
      <c r="CP73" s="1" t="s">
        <v>1806</v>
      </c>
      <c r="CQ73" s="1" t="s">
        <v>1807</v>
      </c>
      <c r="CR73" s="1" t="s">
        <v>1808</v>
      </c>
      <c r="CS73" s="1" t="s">
        <v>1809</v>
      </c>
      <c r="CT73" s="1" t="s">
        <v>1810</v>
      </c>
      <c r="CU73" s="1" t="s">
        <v>1811</v>
      </c>
      <c r="CV73" s="1" t="s">
        <v>1812</v>
      </c>
      <c r="CW73" s="1" t="s">
        <v>1813</v>
      </c>
      <c r="CX73" s="1" t="s">
        <v>1814</v>
      </c>
      <c r="CY73" s="1" t="s">
        <v>1813</v>
      </c>
      <c r="CZ73" s="1" t="s">
        <v>1813</v>
      </c>
      <c r="DA73" s="1" t="s">
        <v>1775</v>
      </c>
      <c r="DB73" s="1" t="s">
        <v>1776</v>
      </c>
      <c r="DC73" s="1" t="s">
        <v>1752</v>
      </c>
      <c r="DD73" s="1" t="s">
        <v>1765</v>
      </c>
      <c r="DE73" s="1" t="s">
        <v>1815</v>
      </c>
      <c r="DF73" s="1" t="s">
        <v>1816</v>
      </c>
      <c r="DG73" s="1" t="s">
        <v>1817</v>
      </c>
      <c r="DH73" s="1" t="s">
        <v>1818</v>
      </c>
      <c r="DI73" s="1" t="s">
        <v>1819</v>
      </c>
      <c r="DJ73" s="1" t="s">
        <v>1820</v>
      </c>
      <c r="DK73" s="1" t="s">
        <v>1821</v>
      </c>
      <c r="DL73" s="1" t="s">
        <v>1822</v>
      </c>
      <c r="DM73" s="1" t="s">
        <v>1765</v>
      </c>
      <c r="DN73" s="1" t="s">
        <v>1765</v>
      </c>
      <c r="DO73" s="1" t="s">
        <v>1823</v>
      </c>
      <c r="DP73" s="1" t="s">
        <v>1824</v>
      </c>
      <c r="DQ73" s="1" t="s">
        <v>1824</v>
      </c>
      <c r="DR73" s="1" t="s">
        <v>1765</v>
      </c>
      <c r="DS73" s="1" t="s">
        <v>1825</v>
      </c>
      <c r="DT73" s="1" t="s">
        <v>1816</v>
      </c>
      <c r="DU73" s="1" t="s">
        <v>1826</v>
      </c>
      <c r="DV73" s="1" t="s">
        <v>3245</v>
      </c>
      <c r="DW73" s="1" t="s">
        <v>1828</v>
      </c>
      <c r="DX73" s="1" t="s">
        <v>3246</v>
      </c>
      <c r="DY73" s="1" t="s">
        <v>424</v>
      </c>
      <c r="DZ73" s="1" t="s">
        <v>1752</v>
      </c>
      <c r="EA73" s="1" t="s">
        <v>218</v>
      </c>
      <c r="EB73" s="1" t="s">
        <v>892</v>
      </c>
      <c r="EC73" s="1" t="s">
        <v>3237</v>
      </c>
      <c r="ED73" s="1" t="s">
        <v>3247</v>
      </c>
      <c r="EE73" s="1" t="s">
        <v>3247</v>
      </c>
      <c r="EF73" s="1" t="s">
        <v>3248</v>
      </c>
      <c r="EG73" s="1" t="s">
        <v>1884</v>
      </c>
      <c r="EH73" s="1" t="s">
        <v>3249</v>
      </c>
      <c r="EI73" s="1" t="s">
        <v>2282</v>
      </c>
      <c r="EJ73" s="1" t="s">
        <v>2449</v>
      </c>
      <c r="EK73" s="1" t="s">
        <v>1836</v>
      </c>
      <c r="EL73" s="1" t="s">
        <v>1837</v>
      </c>
      <c r="EM73" s="1" t="s">
        <v>1838</v>
      </c>
      <c r="EN73" s="1" t="s">
        <v>3250</v>
      </c>
      <c r="EO73" s="1" t="s">
        <v>1840</v>
      </c>
      <c r="EP73" s="1" t="s">
        <v>1472</v>
      </c>
      <c r="EQ73" s="1" t="s">
        <v>1782</v>
      </c>
      <c r="ER73" s="1" t="s">
        <v>1802</v>
      </c>
      <c r="ES73" s="1" t="s">
        <v>1802</v>
      </c>
      <c r="ET73" s="1" t="s">
        <v>1802</v>
      </c>
      <c r="EU73" s="1" t="s">
        <v>1802</v>
      </c>
      <c r="EV73" s="1" t="s">
        <v>1802</v>
      </c>
      <c r="EW73" s="1" t="s">
        <v>1802</v>
      </c>
      <c r="EX73" s="1" t="s">
        <v>1802</v>
      </c>
      <c r="EY73" s="1" t="s">
        <v>1802</v>
      </c>
      <c r="EZ73" s="1" t="s">
        <v>1802</v>
      </c>
      <c r="FA73" s="1" t="s">
        <v>1802</v>
      </c>
      <c r="FB73" s="1" t="s">
        <v>1802</v>
      </c>
      <c r="FC73" s="1" t="s">
        <v>1802</v>
      </c>
      <c r="FD73" s="1" t="s">
        <v>1802</v>
      </c>
      <c r="FE73" s="1" t="s">
        <v>1802</v>
      </c>
      <c r="FF73" s="1" t="s">
        <v>1802</v>
      </c>
      <c r="FG73" s="1" t="s">
        <v>1802</v>
      </c>
      <c r="FH73" s="1" t="s">
        <v>1802</v>
      </c>
      <c r="FI73" s="1" t="s">
        <v>1802</v>
      </c>
      <c r="FJ73" s="1" t="s">
        <v>1802</v>
      </c>
      <c r="FK73" s="1" t="s">
        <v>1802</v>
      </c>
      <c r="FL73" s="1" t="s">
        <v>1802</v>
      </c>
      <c r="FM73" s="1" t="s">
        <v>1802</v>
      </c>
      <c r="FN73" s="1" t="s">
        <v>1802</v>
      </c>
      <c r="FO73" s="1" t="s">
        <v>1802</v>
      </c>
      <c r="FP73" s="1" t="s">
        <v>1802</v>
      </c>
      <c r="FQ73" s="1" t="s">
        <v>1802</v>
      </c>
      <c r="FR73" s="2"/>
      <c r="FS73" s="1" t="s">
        <v>1802</v>
      </c>
    </row>
    <row r="74" spans="1:175" x14ac:dyDescent="0.3">
      <c r="A74" s="1" t="s">
        <v>3251</v>
      </c>
      <c r="B74" s="1" t="s">
        <v>1739</v>
      </c>
      <c r="C74" s="1" t="s">
        <v>1232</v>
      </c>
      <c r="D74" s="1" t="s">
        <v>1740</v>
      </c>
      <c r="E74" s="1" t="s">
        <v>3252</v>
      </c>
      <c r="F74" s="1" t="s">
        <v>3253</v>
      </c>
      <c r="G74" s="1" t="s">
        <v>3253</v>
      </c>
      <c r="H74" s="1" t="s">
        <v>1915</v>
      </c>
      <c r="I74" s="1" t="s">
        <v>1744</v>
      </c>
      <c r="J74" s="1" t="s">
        <v>1745</v>
      </c>
      <c r="K74" s="1" t="s">
        <v>1746</v>
      </c>
      <c r="L74" s="1" t="s">
        <v>1747</v>
      </c>
      <c r="M74" s="1" t="s">
        <v>1748</v>
      </c>
      <c r="N74" s="1" t="s">
        <v>1749</v>
      </c>
      <c r="O74" s="1" t="s">
        <v>1750</v>
      </c>
      <c r="P74" s="1" t="s">
        <v>1751</v>
      </c>
      <c r="Q74">
        <v>49</v>
      </c>
      <c r="R74" s="1" t="s">
        <v>1752</v>
      </c>
      <c r="S74" s="1" t="s">
        <v>1753</v>
      </c>
      <c r="T74" s="1" t="s">
        <v>1754</v>
      </c>
      <c r="U74" s="1" t="s">
        <v>1755</v>
      </c>
      <c r="V74" s="1" t="s">
        <v>1756</v>
      </c>
      <c r="W74">
        <v>72</v>
      </c>
      <c r="X74">
        <v>72</v>
      </c>
      <c r="Y74" s="1" t="s">
        <v>1757</v>
      </c>
      <c r="Z74" s="2">
        <v>36999</v>
      </c>
      <c r="AA74" s="1" t="s">
        <v>3254</v>
      </c>
      <c r="AB74" s="1" t="s">
        <v>1755</v>
      </c>
      <c r="AC74" s="1" t="s">
        <v>3255</v>
      </c>
      <c r="AD74" s="1" t="s">
        <v>424</v>
      </c>
      <c r="AE74" s="1" t="s">
        <v>1760</v>
      </c>
      <c r="AF74" s="1" t="s">
        <v>1761</v>
      </c>
      <c r="AG74" s="1" t="s">
        <v>1762</v>
      </c>
      <c r="AH74" s="1" t="s">
        <v>3254</v>
      </c>
      <c r="AI74" s="1" t="s">
        <v>3254</v>
      </c>
      <c r="AJ74" s="1" t="s">
        <v>1763</v>
      </c>
      <c r="AK74" s="1" t="s">
        <v>1763</v>
      </c>
      <c r="AL74" s="1" t="s">
        <v>1763</v>
      </c>
      <c r="AM74" s="1" t="s">
        <v>3255</v>
      </c>
      <c r="AN74" s="1" t="s">
        <v>424</v>
      </c>
      <c r="AO74" s="1" t="s">
        <v>3256</v>
      </c>
      <c r="AP74" s="1" t="s">
        <v>1765</v>
      </c>
      <c r="AQ74" s="1" t="s">
        <v>1766</v>
      </c>
      <c r="AR74" s="1" t="s">
        <v>1767</v>
      </c>
      <c r="AS74" s="1" t="s">
        <v>1768</v>
      </c>
      <c r="AT74">
        <v>2007150722091388</v>
      </c>
      <c r="AU74" s="1" t="s">
        <v>1769</v>
      </c>
      <c r="AV74">
        <v>51565292829208</v>
      </c>
      <c r="AW74" s="1" t="s">
        <v>1770</v>
      </c>
      <c r="AX74" s="1" t="s">
        <v>1765</v>
      </c>
      <c r="AY74" s="1" t="s">
        <v>3257</v>
      </c>
      <c r="AZ74" s="1" t="s">
        <v>1897</v>
      </c>
      <c r="BA74" s="1" t="s">
        <v>3258</v>
      </c>
      <c r="BB74">
        <v>599</v>
      </c>
      <c r="BC74" s="1" t="s">
        <v>1774</v>
      </c>
      <c r="BD74" s="1" t="s">
        <v>1775</v>
      </c>
      <c r="BE74" s="1" t="s">
        <v>1776</v>
      </c>
      <c r="BF74" s="1" t="s">
        <v>1777</v>
      </c>
      <c r="BG74" s="1" t="s">
        <v>1778</v>
      </c>
      <c r="BH74" s="1" t="s">
        <v>1779</v>
      </c>
      <c r="BI74" s="1" t="s">
        <v>1779</v>
      </c>
      <c r="BJ74" s="1" t="s">
        <v>1780</v>
      </c>
      <c r="BK74" s="1" t="s">
        <v>1781</v>
      </c>
      <c r="BL74" s="1" t="s">
        <v>1754</v>
      </c>
      <c r="BM74" s="1" t="s">
        <v>1782</v>
      </c>
      <c r="BN74" s="1" t="s">
        <v>1783</v>
      </c>
      <c r="BO74" s="1" t="s">
        <v>1784</v>
      </c>
      <c r="BP74" s="1" t="s">
        <v>1785</v>
      </c>
      <c r="BQ74" s="1" t="s">
        <v>1786</v>
      </c>
      <c r="BR74" s="1" t="s">
        <v>3259</v>
      </c>
      <c r="BS74" s="1" t="s">
        <v>1788</v>
      </c>
      <c r="BT74" s="1" t="s">
        <v>3260</v>
      </c>
      <c r="BU74" s="1" t="s">
        <v>1790</v>
      </c>
      <c r="BV74" s="1" t="s">
        <v>3261</v>
      </c>
      <c r="BW74" s="1" t="s">
        <v>1790</v>
      </c>
      <c r="BX74" s="1" t="s">
        <v>3261</v>
      </c>
      <c r="BY74" s="1" t="s">
        <v>3167</v>
      </c>
      <c r="BZ74" s="1" t="s">
        <v>3262</v>
      </c>
      <c r="CA74" s="1" t="s">
        <v>1794</v>
      </c>
      <c r="CB74" s="1" t="s">
        <v>1795</v>
      </c>
      <c r="CC74" s="1" t="s">
        <v>1796</v>
      </c>
      <c r="CD74" s="1" t="s">
        <v>1797</v>
      </c>
      <c r="CE74" s="1" t="s">
        <v>1798</v>
      </c>
      <c r="CF74" s="1" t="s">
        <v>1799</v>
      </c>
      <c r="CG74" s="1" t="s">
        <v>1800</v>
      </c>
      <c r="CH74" s="1" t="s">
        <v>1794</v>
      </c>
      <c r="CI74" s="1" t="s">
        <v>1801</v>
      </c>
      <c r="CJ74" s="1" t="s">
        <v>1794</v>
      </c>
      <c r="CK74" s="1" t="s">
        <v>1802</v>
      </c>
      <c r="CL74" s="1" t="s">
        <v>1803</v>
      </c>
      <c r="CM74" s="1" t="s">
        <v>1804</v>
      </c>
      <c r="CN74" s="1" t="s">
        <v>1805</v>
      </c>
      <c r="CO74" s="1" t="s">
        <v>1794</v>
      </c>
      <c r="CP74" s="1" t="s">
        <v>1806</v>
      </c>
      <c r="CQ74" s="1" t="s">
        <v>1807</v>
      </c>
      <c r="CR74" s="1" t="s">
        <v>1808</v>
      </c>
      <c r="CS74" s="1" t="s">
        <v>1809</v>
      </c>
      <c r="CT74" s="1" t="s">
        <v>1810</v>
      </c>
      <c r="CU74" s="1" t="s">
        <v>1811</v>
      </c>
      <c r="CV74" s="1" t="s">
        <v>1812</v>
      </c>
      <c r="CW74" s="1" t="s">
        <v>1813</v>
      </c>
      <c r="CX74" s="1" t="s">
        <v>1814</v>
      </c>
      <c r="CY74" s="1" t="s">
        <v>1813</v>
      </c>
      <c r="CZ74" s="1" t="s">
        <v>1813</v>
      </c>
      <c r="DA74" s="1" t="s">
        <v>1775</v>
      </c>
      <c r="DB74" s="1" t="s">
        <v>1776</v>
      </c>
      <c r="DC74" s="1" t="s">
        <v>1752</v>
      </c>
      <c r="DD74" s="1" t="s">
        <v>1765</v>
      </c>
      <c r="DE74" s="1" t="s">
        <v>1815</v>
      </c>
      <c r="DF74" s="1" t="s">
        <v>1816</v>
      </c>
      <c r="DG74" s="1" t="s">
        <v>1817</v>
      </c>
      <c r="DH74" s="1" t="s">
        <v>1818</v>
      </c>
      <c r="DI74" s="1" t="s">
        <v>1819</v>
      </c>
      <c r="DJ74" s="1" t="s">
        <v>1820</v>
      </c>
      <c r="DK74" s="1" t="s">
        <v>1821</v>
      </c>
      <c r="DL74" s="1" t="s">
        <v>1822</v>
      </c>
      <c r="DM74" s="1" t="s">
        <v>1765</v>
      </c>
      <c r="DN74" s="1" t="s">
        <v>1765</v>
      </c>
      <c r="DO74" s="1" t="s">
        <v>1823</v>
      </c>
      <c r="DP74" s="1" t="s">
        <v>1824</v>
      </c>
      <c r="DQ74" s="1" t="s">
        <v>1824</v>
      </c>
      <c r="DR74" s="1" t="s">
        <v>1765</v>
      </c>
      <c r="DS74" s="1" t="s">
        <v>1825</v>
      </c>
      <c r="DT74" s="1" t="s">
        <v>1816</v>
      </c>
      <c r="DU74" s="1" t="s">
        <v>1826</v>
      </c>
      <c r="DV74" s="1" t="s">
        <v>3263</v>
      </c>
      <c r="DW74" s="1" t="s">
        <v>1828</v>
      </c>
      <c r="DX74" s="1" t="s">
        <v>3264</v>
      </c>
      <c r="DY74" s="1" t="s">
        <v>424</v>
      </c>
      <c r="DZ74" s="1" t="s">
        <v>1752</v>
      </c>
      <c r="EA74" s="1" t="s">
        <v>218</v>
      </c>
      <c r="EB74" s="1" t="s">
        <v>892</v>
      </c>
      <c r="EC74" s="1" t="s">
        <v>3255</v>
      </c>
      <c r="ED74" s="1" t="s">
        <v>3265</v>
      </c>
      <c r="EE74" s="1" t="s">
        <v>3265</v>
      </c>
      <c r="EF74" s="1" t="s">
        <v>3266</v>
      </c>
      <c r="EG74" s="1" t="s">
        <v>2194</v>
      </c>
      <c r="EH74" s="1" t="s">
        <v>3267</v>
      </c>
      <c r="EI74" s="1" t="s">
        <v>2320</v>
      </c>
      <c r="EJ74" s="1" t="s">
        <v>2614</v>
      </c>
      <c r="EK74" s="1" t="s">
        <v>1836</v>
      </c>
      <c r="EL74" s="1" t="s">
        <v>1837</v>
      </c>
      <c r="EM74" s="1" t="s">
        <v>1838</v>
      </c>
      <c r="EN74" s="1" t="s">
        <v>3268</v>
      </c>
      <c r="EO74" s="1" t="s">
        <v>1840</v>
      </c>
      <c r="EP74" s="1" t="s">
        <v>614</v>
      </c>
      <c r="EQ74" s="1" t="s">
        <v>1782</v>
      </c>
      <c r="ER74" s="1" t="s">
        <v>1802</v>
      </c>
      <c r="ES74" s="1" t="s">
        <v>1802</v>
      </c>
      <c r="ET74" s="1" t="s">
        <v>1802</v>
      </c>
      <c r="EU74" s="1" t="s">
        <v>1802</v>
      </c>
      <c r="EV74" s="1" t="s">
        <v>1802</v>
      </c>
      <c r="EW74" s="1" t="s">
        <v>1802</v>
      </c>
      <c r="EX74" s="1" t="s">
        <v>1802</v>
      </c>
      <c r="EY74" s="1" t="s">
        <v>1802</v>
      </c>
      <c r="EZ74" s="1" t="s">
        <v>1802</v>
      </c>
      <c r="FA74" s="1" t="s">
        <v>1802</v>
      </c>
      <c r="FB74" s="1" t="s">
        <v>1802</v>
      </c>
      <c r="FC74" s="1" t="s">
        <v>1802</v>
      </c>
      <c r="FD74" s="1" t="s">
        <v>1802</v>
      </c>
      <c r="FE74" s="1" t="s">
        <v>1802</v>
      </c>
      <c r="FF74" s="1" t="s">
        <v>1802</v>
      </c>
      <c r="FG74" s="1" t="s">
        <v>1802</v>
      </c>
      <c r="FH74" s="1" t="s">
        <v>1802</v>
      </c>
      <c r="FI74" s="1" t="s">
        <v>1802</v>
      </c>
      <c r="FJ74" s="1" t="s">
        <v>1802</v>
      </c>
      <c r="FK74" s="1" t="s">
        <v>1802</v>
      </c>
      <c r="FL74" s="1" t="s">
        <v>1802</v>
      </c>
      <c r="FM74" s="1" t="s">
        <v>1802</v>
      </c>
      <c r="FN74" s="1" t="s">
        <v>1802</v>
      </c>
      <c r="FO74" s="1" t="s">
        <v>1802</v>
      </c>
      <c r="FP74" s="1" t="s">
        <v>1802</v>
      </c>
      <c r="FQ74" s="1" t="s">
        <v>1802</v>
      </c>
      <c r="FR74" s="2"/>
      <c r="FS74" s="1" t="s">
        <v>1802</v>
      </c>
    </row>
    <row r="75" spans="1:175" x14ac:dyDescent="0.3">
      <c r="A75" s="1" t="s">
        <v>3269</v>
      </c>
      <c r="B75" s="1" t="s">
        <v>1739</v>
      </c>
      <c r="C75" s="1" t="s">
        <v>1242</v>
      </c>
      <c r="D75" s="1" t="s">
        <v>1740</v>
      </c>
      <c r="E75" s="1" t="s">
        <v>2002</v>
      </c>
      <c r="F75" s="1" t="s">
        <v>3270</v>
      </c>
      <c r="G75" s="1" t="s">
        <v>3270</v>
      </c>
      <c r="H75" s="1" t="s">
        <v>1915</v>
      </c>
      <c r="I75" s="1" t="s">
        <v>1744</v>
      </c>
      <c r="J75" s="1" t="s">
        <v>1745</v>
      </c>
      <c r="K75" s="1" t="s">
        <v>1746</v>
      </c>
      <c r="L75" s="1" t="s">
        <v>1747</v>
      </c>
      <c r="M75" s="1" t="s">
        <v>1748</v>
      </c>
      <c r="N75" s="1" t="s">
        <v>1749</v>
      </c>
      <c r="O75" s="1" t="s">
        <v>1750</v>
      </c>
      <c r="P75" s="1" t="s">
        <v>1751</v>
      </c>
      <c r="Q75">
        <v>49</v>
      </c>
      <c r="R75" s="1" t="s">
        <v>1752</v>
      </c>
      <c r="S75" s="1" t="s">
        <v>1753</v>
      </c>
      <c r="T75" s="1" t="s">
        <v>1754</v>
      </c>
      <c r="U75" s="1" t="s">
        <v>1755</v>
      </c>
      <c r="V75" s="1" t="s">
        <v>1756</v>
      </c>
      <c r="W75">
        <v>72</v>
      </c>
      <c r="X75">
        <v>72</v>
      </c>
      <c r="Y75" s="1" t="s">
        <v>1757</v>
      </c>
      <c r="Z75" s="2">
        <v>36999</v>
      </c>
      <c r="AA75" s="1" t="s">
        <v>1755</v>
      </c>
      <c r="AB75" s="1" t="s">
        <v>3271</v>
      </c>
      <c r="AC75" s="1" t="s">
        <v>424</v>
      </c>
      <c r="AD75" s="1" t="s">
        <v>1760</v>
      </c>
      <c r="AE75" s="1" t="s">
        <v>1761</v>
      </c>
      <c r="AF75" s="1" t="s">
        <v>1762</v>
      </c>
      <c r="AG75" s="1" t="s">
        <v>3272</v>
      </c>
      <c r="AH75" s="1" t="s">
        <v>1763</v>
      </c>
      <c r="AI75" s="1" t="s">
        <v>1763</v>
      </c>
      <c r="AJ75" s="1" t="s">
        <v>1763</v>
      </c>
      <c r="AK75" s="1" t="s">
        <v>3271</v>
      </c>
      <c r="AL75" s="1" t="s">
        <v>424</v>
      </c>
      <c r="AM75" s="1" t="s">
        <v>3273</v>
      </c>
      <c r="AN75" s="1" t="s">
        <v>1765</v>
      </c>
      <c r="AO75" s="1" t="s">
        <v>1766</v>
      </c>
      <c r="AP75" s="1" t="s">
        <v>1767</v>
      </c>
      <c r="AQ75" s="1" t="s">
        <v>1768</v>
      </c>
      <c r="AR75" s="1" t="s">
        <v>3274</v>
      </c>
      <c r="AS75" s="1" t="s">
        <v>1769</v>
      </c>
      <c r="AT75">
        <v>54625517200583</v>
      </c>
      <c r="AU75" s="1" t="s">
        <v>1770</v>
      </c>
      <c r="AV75">
        <v>0</v>
      </c>
      <c r="AW75" s="1" t="s">
        <v>3275</v>
      </c>
      <c r="AX75" s="1" t="s">
        <v>1897</v>
      </c>
      <c r="AY75" s="1" t="s">
        <v>3276</v>
      </c>
      <c r="AZ75" s="1" t="s">
        <v>3276</v>
      </c>
      <c r="BA75" s="1" t="s">
        <v>1774</v>
      </c>
      <c r="BB75">
        <v>4032</v>
      </c>
      <c r="BC75" s="1" t="s">
        <v>1776</v>
      </c>
      <c r="BD75" s="1" t="s">
        <v>1777</v>
      </c>
      <c r="BE75" s="1" t="s">
        <v>1778</v>
      </c>
      <c r="BF75" s="1" t="s">
        <v>1779</v>
      </c>
      <c r="BG75" s="1" t="s">
        <v>1779</v>
      </c>
      <c r="BH75" s="1" t="s">
        <v>1780</v>
      </c>
      <c r="BI75" s="1" t="s">
        <v>1781</v>
      </c>
      <c r="BJ75" s="1" t="s">
        <v>1754</v>
      </c>
      <c r="BK75" s="1" t="s">
        <v>1782</v>
      </c>
      <c r="BL75" s="1" t="s">
        <v>1783</v>
      </c>
      <c r="BM75" s="1" t="s">
        <v>1784</v>
      </c>
      <c r="BN75" s="1" t="s">
        <v>1785</v>
      </c>
      <c r="BO75" s="1" t="s">
        <v>1786</v>
      </c>
      <c r="BP75" s="1" t="s">
        <v>3277</v>
      </c>
      <c r="BQ75" s="1" t="s">
        <v>1788</v>
      </c>
      <c r="BR75" s="1" t="s">
        <v>3278</v>
      </c>
      <c r="BS75" s="1" t="s">
        <v>1790</v>
      </c>
      <c r="BT75" s="1" t="s">
        <v>3279</v>
      </c>
      <c r="BU75" s="1" t="s">
        <v>1790</v>
      </c>
      <c r="BV75" s="1" t="s">
        <v>3279</v>
      </c>
      <c r="BW75" s="1" t="s">
        <v>3167</v>
      </c>
      <c r="BX75" s="1" t="s">
        <v>3280</v>
      </c>
      <c r="BY75" s="1" t="s">
        <v>1856</v>
      </c>
      <c r="BZ75" s="1" t="s">
        <v>3272</v>
      </c>
      <c r="CA75" s="1" t="s">
        <v>1857</v>
      </c>
      <c r="CB75" s="1" t="s">
        <v>3272</v>
      </c>
      <c r="CC75" s="1" t="s">
        <v>3272</v>
      </c>
      <c r="CD75" s="1" t="s">
        <v>3281</v>
      </c>
      <c r="CE75" s="1" t="s">
        <v>3170</v>
      </c>
      <c r="CF75" s="1" t="s">
        <v>3282</v>
      </c>
      <c r="CG75" s="1" t="s">
        <v>3172</v>
      </c>
      <c r="CH75" s="1" t="s">
        <v>3173</v>
      </c>
      <c r="CI75" s="1" t="s">
        <v>3174</v>
      </c>
      <c r="CJ75" s="1" t="s">
        <v>3175</v>
      </c>
      <c r="CK75" s="1" t="s">
        <v>1765</v>
      </c>
      <c r="CL75" s="1" t="s">
        <v>1816</v>
      </c>
      <c r="CM75" s="1" t="s">
        <v>1816</v>
      </c>
      <c r="CN75" s="1" t="s">
        <v>1776</v>
      </c>
      <c r="CO75" s="1" t="s">
        <v>1775</v>
      </c>
      <c r="CP75" s="1" t="s">
        <v>3176</v>
      </c>
      <c r="CQ75" s="1" t="s">
        <v>1794</v>
      </c>
      <c r="CR75" s="1" t="s">
        <v>1795</v>
      </c>
      <c r="CS75" s="1" t="s">
        <v>1796</v>
      </c>
      <c r="CT75" s="1" t="s">
        <v>1797</v>
      </c>
      <c r="CU75" s="1" t="s">
        <v>1798</v>
      </c>
      <c r="CV75" s="1" t="s">
        <v>1799</v>
      </c>
      <c r="CW75" s="1" t="s">
        <v>1800</v>
      </c>
      <c r="CX75" s="1" t="s">
        <v>1794</v>
      </c>
      <c r="CY75" s="1" t="s">
        <v>1801</v>
      </c>
      <c r="CZ75" s="1" t="s">
        <v>1794</v>
      </c>
      <c r="DA75" s="1" t="s">
        <v>1802</v>
      </c>
      <c r="DB75" s="1" t="s">
        <v>1803</v>
      </c>
      <c r="DC75" s="1" t="s">
        <v>1804</v>
      </c>
      <c r="DD75" s="1" t="s">
        <v>1805</v>
      </c>
      <c r="DE75" s="1" t="s">
        <v>1794</v>
      </c>
      <c r="DF75" s="1" t="s">
        <v>1806</v>
      </c>
      <c r="DG75" s="1" t="s">
        <v>1807</v>
      </c>
      <c r="DH75" s="1" t="s">
        <v>1808</v>
      </c>
      <c r="DI75" s="1" t="s">
        <v>1809</v>
      </c>
      <c r="DJ75" s="1" t="s">
        <v>1810</v>
      </c>
      <c r="DK75" s="1" t="s">
        <v>1811</v>
      </c>
      <c r="DL75" s="1" t="s">
        <v>1812</v>
      </c>
      <c r="DM75" s="1" t="s">
        <v>1813</v>
      </c>
      <c r="DN75" s="1" t="s">
        <v>1814</v>
      </c>
      <c r="DO75" s="1" t="s">
        <v>1813</v>
      </c>
      <c r="DP75" s="1" t="s">
        <v>1813</v>
      </c>
      <c r="DQ75" s="1" t="s">
        <v>1775</v>
      </c>
      <c r="DR75" s="1" t="s">
        <v>1776</v>
      </c>
      <c r="DS75" s="1" t="s">
        <v>1752</v>
      </c>
      <c r="DT75" s="1" t="s">
        <v>1765</v>
      </c>
      <c r="DU75" s="1" t="s">
        <v>1815</v>
      </c>
      <c r="DV75" s="1" t="s">
        <v>1816</v>
      </c>
      <c r="DW75" s="1" t="s">
        <v>1817</v>
      </c>
      <c r="DX75" s="1" t="s">
        <v>1818</v>
      </c>
      <c r="DY75" s="1" t="s">
        <v>1819</v>
      </c>
      <c r="DZ75" s="1" t="s">
        <v>1820</v>
      </c>
      <c r="EA75" s="1" t="s">
        <v>1821</v>
      </c>
      <c r="EB75" s="1" t="s">
        <v>1822</v>
      </c>
      <c r="EC75" s="1" t="s">
        <v>1765</v>
      </c>
      <c r="ED75" s="1" t="s">
        <v>1765</v>
      </c>
      <c r="EE75" s="1" t="s">
        <v>1823</v>
      </c>
      <c r="EF75" s="1" t="s">
        <v>1824</v>
      </c>
      <c r="EG75" s="1" t="s">
        <v>1824</v>
      </c>
      <c r="EH75" s="1" t="s">
        <v>1765</v>
      </c>
      <c r="EI75" s="1" t="s">
        <v>1825</v>
      </c>
      <c r="EJ75" s="1" t="s">
        <v>1816</v>
      </c>
      <c r="EK75" s="1" t="s">
        <v>1826</v>
      </c>
      <c r="EL75" s="1" t="s">
        <v>3283</v>
      </c>
      <c r="EM75" s="1" t="s">
        <v>3178</v>
      </c>
      <c r="EN75" s="1" t="s">
        <v>3284</v>
      </c>
      <c r="EO75" s="1" t="s">
        <v>424</v>
      </c>
      <c r="EP75" s="1" t="s">
        <v>1752</v>
      </c>
      <c r="EQ75" s="1" t="s">
        <v>218</v>
      </c>
      <c r="ER75" s="1" t="s">
        <v>892</v>
      </c>
      <c r="ES75" s="1" t="s">
        <v>3271</v>
      </c>
      <c r="ET75" s="1" t="s">
        <v>3285</v>
      </c>
      <c r="EU75" s="1" t="s">
        <v>3285</v>
      </c>
      <c r="EV75" s="1" t="s">
        <v>3286</v>
      </c>
      <c r="EW75" s="1" t="s">
        <v>2034</v>
      </c>
      <c r="EX75" s="1" t="s">
        <v>3287</v>
      </c>
      <c r="EY75" s="1" t="s">
        <v>1834</v>
      </c>
      <c r="EZ75" s="1" t="s">
        <v>3288</v>
      </c>
      <c r="FA75" s="1" t="s">
        <v>1836</v>
      </c>
      <c r="FB75" s="1" t="s">
        <v>1837</v>
      </c>
      <c r="FC75" s="1" t="s">
        <v>1838</v>
      </c>
      <c r="FD75" s="1" t="s">
        <v>3289</v>
      </c>
      <c r="FE75" s="1" t="s">
        <v>1840</v>
      </c>
      <c r="FF75" s="1" t="s">
        <v>252</v>
      </c>
      <c r="FG75" s="1" t="s">
        <v>1782</v>
      </c>
      <c r="FH75" s="1" t="s">
        <v>1802</v>
      </c>
      <c r="FI75" s="1" t="s">
        <v>1802</v>
      </c>
      <c r="FJ75" s="1" t="s">
        <v>1802</v>
      </c>
      <c r="FK75" s="1" t="s">
        <v>1802</v>
      </c>
      <c r="FL75" s="1" t="s">
        <v>1802</v>
      </c>
      <c r="FM75" s="1" t="s">
        <v>1802</v>
      </c>
      <c r="FN75" s="1" t="s">
        <v>1802</v>
      </c>
      <c r="FO75" s="1" t="s">
        <v>1802</v>
      </c>
      <c r="FP75" s="1" t="s">
        <v>1802</v>
      </c>
      <c r="FQ75" s="1" t="s">
        <v>1802</v>
      </c>
      <c r="FR75" s="2"/>
      <c r="FS75" s="1" t="s">
        <v>1802</v>
      </c>
    </row>
    <row r="76" spans="1:175" x14ac:dyDescent="0.3">
      <c r="A76" s="1" t="s">
        <v>3290</v>
      </c>
      <c r="B76" s="1" t="s">
        <v>1739</v>
      </c>
      <c r="C76" s="1" t="s">
        <v>1254</v>
      </c>
      <c r="D76" s="1" t="s">
        <v>1740</v>
      </c>
      <c r="E76" s="1" t="s">
        <v>1957</v>
      </c>
      <c r="F76" s="1" t="s">
        <v>3291</v>
      </c>
      <c r="G76" s="1" t="s">
        <v>3291</v>
      </c>
      <c r="H76" s="1" t="s">
        <v>3292</v>
      </c>
      <c r="I76" s="1" t="s">
        <v>1744</v>
      </c>
      <c r="J76" s="1" t="s">
        <v>1745</v>
      </c>
      <c r="K76" s="1" t="s">
        <v>1746</v>
      </c>
      <c r="L76" s="1" t="s">
        <v>1747</v>
      </c>
      <c r="M76" s="1" t="s">
        <v>1748</v>
      </c>
      <c r="N76" s="1" t="s">
        <v>1749</v>
      </c>
      <c r="O76" s="1" t="s">
        <v>1750</v>
      </c>
      <c r="P76" s="1" t="s">
        <v>1751</v>
      </c>
      <c r="Q76">
        <v>49</v>
      </c>
      <c r="R76" s="1" t="s">
        <v>1752</v>
      </c>
      <c r="S76" s="1" t="s">
        <v>1753</v>
      </c>
      <c r="T76" s="1" t="s">
        <v>1754</v>
      </c>
      <c r="U76" s="1" t="s">
        <v>1755</v>
      </c>
      <c r="V76" s="1" t="s">
        <v>1756</v>
      </c>
      <c r="W76">
        <v>72</v>
      </c>
      <c r="X76">
        <v>72</v>
      </c>
      <c r="Y76" s="1" t="s">
        <v>1757</v>
      </c>
      <c r="Z76" s="2">
        <v>36999</v>
      </c>
      <c r="AA76" s="1" t="s">
        <v>3293</v>
      </c>
      <c r="AB76" s="1" t="s">
        <v>1755</v>
      </c>
      <c r="AC76" s="1" t="s">
        <v>3294</v>
      </c>
      <c r="AD76" s="1" t="s">
        <v>424</v>
      </c>
      <c r="AE76" s="1" t="s">
        <v>1760</v>
      </c>
      <c r="AF76" s="1" t="s">
        <v>1761</v>
      </c>
      <c r="AG76" s="1" t="s">
        <v>1762</v>
      </c>
      <c r="AH76" s="1" t="s">
        <v>3293</v>
      </c>
      <c r="AI76" s="1" t="s">
        <v>3293</v>
      </c>
      <c r="AJ76" s="1" t="s">
        <v>1763</v>
      </c>
      <c r="AK76" s="1" t="s">
        <v>1763</v>
      </c>
      <c r="AL76" s="1" t="s">
        <v>1763</v>
      </c>
      <c r="AM76" s="1" t="s">
        <v>3294</v>
      </c>
      <c r="AN76" s="1" t="s">
        <v>424</v>
      </c>
      <c r="AO76" s="1" t="s">
        <v>3295</v>
      </c>
      <c r="AP76" s="1" t="s">
        <v>1765</v>
      </c>
      <c r="AQ76" s="1" t="s">
        <v>1766</v>
      </c>
      <c r="AR76" s="1" t="s">
        <v>1767</v>
      </c>
      <c r="AS76" s="1" t="s">
        <v>1768</v>
      </c>
      <c r="AT76">
        <v>2009150923181390</v>
      </c>
      <c r="AU76" s="1" t="s">
        <v>1769</v>
      </c>
      <c r="AV76">
        <v>55956501862833</v>
      </c>
      <c r="AW76" s="1" t="s">
        <v>1770</v>
      </c>
      <c r="AX76" s="1" t="s">
        <v>1765</v>
      </c>
      <c r="AY76" s="1" t="s">
        <v>3296</v>
      </c>
      <c r="AZ76" s="1" t="s">
        <v>1897</v>
      </c>
      <c r="BA76" s="1" t="s">
        <v>3297</v>
      </c>
      <c r="BB76">
        <v>210</v>
      </c>
      <c r="BC76" s="1" t="s">
        <v>1774</v>
      </c>
      <c r="BD76" s="1" t="s">
        <v>1775</v>
      </c>
      <c r="BE76" s="1" t="s">
        <v>1776</v>
      </c>
      <c r="BF76" s="1" t="s">
        <v>1777</v>
      </c>
      <c r="BG76" s="1" t="s">
        <v>1778</v>
      </c>
      <c r="BH76" s="1" t="s">
        <v>1779</v>
      </c>
      <c r="BI76" s="1" t="s">
        <v>1779</v>
      </c>
      <c r="BJ76" s="1" t="s">
        <v>1780</v>
      </c>
      <c r="BK76" s="1" t="s">
        <v>1781</v>
      </c>
      <c r="BL76" s="1" t="s">
        <v>1754</v>
      </c>
      <c r="BM76" s="1" t="s">
        <v>1782</v>
      </c>
      <c r="BN76" s="1" t="s">
        <v>1783</v>
      </c>
      <c r="BO76" s="1" t="s">
        <v>1784</v>
      </c>
      <c r="BP76" s="1" t="s">
        <v>1785</v>
      </c>
      <c r="BQ76" s="1" t="s">
        <v>1786</v>
      </c>
      <c r="BR76" s="1" t="s">
        <v>3298</v>
      </c>
      <c r="BS76" s="1" t="s">
        <v>1788</v>
      </c>
      <c r="BT76" s="1" t="s">
        <v>3299</v>
      </c>
      <c r="BU76" s="1" t="s">
        <v>1790</v>
      </c>
      <c r="BV76" s="1" t="s">
        <v>3300</v>
      </c>
      <c r="BW76" s="1" t="s">
        <v>1790</v>
      </c>
      <c r="BX76" s="1" t="s">
        <v>3300</v>
      </c>
      <c r="BY76" s="1" t="s">
        <v>3167</v>
      </c>
      <c r="BZ76" s="1" t="s">
        <v>3301</v>
      </c>
      <c r="CA76" s="1" t="s">
        <v>1794</v>
      </c>
      <c r="CB76" s="1" t="s">
        <v>1795</v>
      </c>
      <c r="CC76" s="1" t="s">
        <v>1796</v>
      </c>
      <c r="CD76" s="1" t="s">
        <v>1797</v>
      </c>
      <c r="CE76" s="1" t="s">
        <v>1798</v>
      </c>
      <c r="CF76" s="1" t="s">
        <v>1799</v>
      </c>
      <c r="CG76" s="1" t="s">
        <v>1800</v>
      </c>
      <c r="CH76" s="1" t="s">
        <v>1794</v>
      </c>
      <c r="CI76" s="1" t="s">
        <v>1801</v>
      </c>
      <c r="CJ76" s="1" t="s">
        <v>1794</v>
      </c>
      <c r="CK76" s="1" t="s">
        <v>1802</v>
      </c>
      <c r="CL76" s="1" t="s">
        <v>1803</v>
      </c>
      <c r="CM76" s="1" t="s">
        <v>1804</v>
      </c>
      <c r="CN76" s="1" t="s">
        <v>1805</v>
      </c>
      <c r="CO76" s="1" t="s">
        <v>1794</v>
      </c>
      <c r="CP76" s="1" t="s">
        <v>1806</v>
      </c>
      <c r="CQ76" s="1" t="s">
        <v>1807</v>
      </c>
      <c r="CR76" s="1" t="s">
        <v>1808</v>
      </c>
      <c r="CS76" s="1" t="s">
        <v>1809</v>
      </c>
      <c r="CT76" s="1" t="s">
        <v>1810</v>
      </c>
      <c r="CU76" s="1" t="s">
        <v>1811</v>
      </c>
      <c r="CV76" s="1" t="s">
        <v>1812</v>
      </c>
      <c r="CW76" s="1" t="s">
        <v>1813</v>
      </c>
      <c r="CX76" s="1" t="s">
        <v>1814</v>
      </c>
      <c r="CY76" s="1" t="s">
        <v>1813</v>
      </c>
      <c r="CZ76" s="1" t="s">
        <v>1813</v>
      </c>
      <c r="DA76" s="1" t="s">
        <v>1775</v>
      </c>
      <c r="DB76" s="1" t="s">
        <v>1776</v>
      </c>
      <c r="DC76" s="1" t="s">
        <v>1752</v>
      </c>
      <c r="DD76" s="1" t="s">
        <v>1765</v>
      </c>
      <c r="DE76" s="1" t="s">
        <v>1815</v>
      </c>
      <c r="DF76" s="1" t="s">
        <v>1816</v>
      </c>
      <c r="DG76" s="1" t="s">
        <v>1817</v>
      </c>
      <c r="DH76" s="1" t="s">
        <v>1818</v>
      </c>
      <c r="DI76" s="1" t="s">
        <v>1819</v>
      </c>
      <c r="DJ76" s="1" t="s">
        <v>1820</v>
      </c>
      <c r="DK76" s="1" t="s">
        <v>1821</v>
      </c>
      <c r="DL76" s="1" t="s">
        <v>1822</v>
      </c>
      <c r="DM76" s="1" t="s">
        <v>1765</v>
      </c>
      <c r="DN76" s="1" t="s">
        <v>1765</v>
      </c>
      <c r="DO76" s="1" t="s">
        <v>1823</v>
      </c>
      <c r="DP76" s="1" t="s">
        <v>1824</v>
      </c>
      <c r="DQ76" s="1" t="s">
        <v>1824</v>
      </c>
      <c r="DR76" s="1" t="s">
        <v>1765</v>
      </c>
      <c r="DS76" s="1" t="s">
        <v>1825</v>
      </c>
      <c r="DT76" s="1" t="s">
        <v>1816</v>
      </c>
      <c r="DU76" s="1" t="s">
        <v>1826</v>
      </c>
      <c r="DV76" s="1" t="s">
        <v>3302</v>
      </c>
      <c r="DW76" s="1" t="s">
        <v>1828</v>
      </c>
      <c r="DX76" s="1" t="s">
        <v>3303</v>
      </c>
      <c r="DY76" s="1" t="s">
        <v>424</v>
      </c>
      <c r="DZ76" s="1" t="s">
        <v>1752</v>
      </c>
      <c r="EA76" s="1" t="s">
        <v>218</v>
      </c>
      <c r="EB76" s="1" t="s">
        <v>892</v>
      </c>
      <c r="EC76" s="1" t="s">
        <v>3294</v>
      </c>
      <c r="ED76" s="1" t="s">
        <v>3304</v>
      </c>
      <c r="EE76" s="1" t="s">
        <v>3304</v>
      </c>
      <c r="EF76" s="1" t="s">
        <v>3305</v>
      </c>
      <c r="EG76" s="1" t="s">
        <v>2034</v>
      </c>
      <c r="EH76" s="1" t="s">
        <v>3306</v>
      </c>
      <c r="EI76" s="1" t="s">
        <v>2508</v>
      </c>
      <c r="EJ76" s="1" t="s">
        <v>3307</v>
      </c>
      <c r="EK76" s="1" t="s">
        <v>1836</v>
      </c>
      <c r="EL76" s="1" t="s">
        <v>1837</v>
      </c>
      <c r="EM76" s="1" t="s">
        <v>1838</v>
      </c>
      <c r="EN76" s="1" t="s">
        <v>3308</v>
      </c>
      <c r="EO76" s="1" t="s">
        <v>1840</v>
      </c>
      <c r="EP76" s="1" t="s">
        <v>218</v>
      </c>
      <c r="EQ76" s="1" t="s">
        <v>1782</v>
      </c>
      <c r="ER76" s="1" t="s">
        <v>1802</v>
      </c>
      <c r="ES76" s="1" t="s">
        <v>1802</v>
      </c>
      <c r="ET76" s="1" t="s">
        <v>1802</v>
      </c>
      <c r="EU76" s="1" t="s">
        <v>1802</v>
      </c>
      <c r="EV76" s="1" t="s">
        <v>1802</v>
      </c>
      <c r="EW76" s="1" t="s">
        <v>1802</v>
      </c>
      <c r="EX76" s="1" t="s">
        <v>1802</v>
      </c>
      <c r="EY76" s="1" t="s">
        <v>1802</v>
      </c>
      <c r="EZ76" s="1" t="s">
        <v>1802</v>
      </c>
      <c r="FA76" s="1" t="s">
        <v>1802</v>
      </c>
      <c r="FB76" s="1" t="s">
        <v>1802</v>
      </c>
      <c r="FC76" s="1" t="s">
        <v>1802</v>
      </c>
      <c r="FD76" s="1" t="s">
        <v>1802</v>
      </c>
      <c r="FE76" s="1" t="s">
        <v>1802</v>
      </c>
      <c r="FF76" s="1" t="s">
        <v>1802</v>
      </c>
      <c r="FG76" s="1" t="s">
        <v>1802</v>
      </c>
      <c r="FH76" s="1" t="s">
        <v>1802</v>
      </c>
      <c r="FI76" s="1" t="s">
        <v>1802</v>
      </c>
      <c r="FJ76" s="1" t="s">
        <v>1802</v>
      </c>
      <c r="FK76" s="1" t="s">
        <v>1802</v>
      </c>
      <c r="FL76" s="1" t="s">
        <v>1802</v>
      </c>
      <c r="FM76" s="1" t="s">
        <v>1802</v>
      </c>
      <c r="FN76" s="1" t="s">
        <v>1802</v>
      </c>
      <c r="FO76" s="1" t="s">
        <v>1802</v>
      </c>
      <c r="FP76" s="1" t="s">
        <v>1802</v>
      </c>
      <c r="FQ76" s="1" t="s">
        <v>1802</v>
      </c>
      <c r="FR76" s="2"/>
      <c r="FS76" s="1" t="s">
        <v>1802</v>
      </c>
    </row>
    <row r="77" spans="1:175" x14ac:dyDescent="0.3">
      <c r="A77" s="1" t="s">
        <v>3309</v>
      </c>
      <c r="B77" s="1" t="s">
        <v>1739</v>
      </c>
      <c r="C77" s="1" t="s">
        <v>1264</v>
      </c>
      <c r="D77" s="1" t="s">
        <v>1740</v>
      </c>
      <c r="E77" s="1" t="s">
        <v>1741</v>
      </c>
      <c r="F77" s="1" t="s">
        <v>3310</v>
      </c>
      <c r="G77" s="1" t="s">
        <v>3310</v>
      </c>
      <c r="H77" s="1" t="s">
        <v>1915</v>
      </c>
      <c r="I77" s="1" t="s">
        <v>1744</v>
      </c>
      <c r="J77" s="1" t="s">
        <v>1745</v>
      </c>
      <c r="K77" s="1" t="s">
        <v>1746</v>
      </c>
      <c r="L77" s="1" t="s">
        <v>1747</v>
      </c>
      <c r="M77" s="1" t="s">
        <v>1748</v>
      </c>
      <c r="N77" s="1" t="s">
        <v>1749</v>
      </c>
      <c r="O77" s="1" t="s">
        <v>1750</v>
      </c>
      <c r="P77" s="1" t="s">
        <v>1751</v>
      </c>
      <c r="Q77">
        <v>49</v>
      </c>
      <c r="R77" s="1" t="s">
        <v>1752</v>
      </c>
      <c r="S77" s="1" t="s">
        <v>1753</v>
      </c>
      <c r="T77" s="1" t="s">
        <v>1754</v>
      </c>
      <c r="U77" s="1" t="s">
        <v>1755</v>
      </c>
      <c r="V77" s="1" t="s">
        <v>1756</v>
      </c>
      <c r="W77">
        <v>72</v>
      </c>
      <c r="X77">
        <v>72</v>
      </c>
      <c r="Y77" s="1" t="s">
        <v>1757</v>
      </c>
      <c r="Z77" s="2">
        <v>36999</v>
      </c>
      <c r="AA77" s="1" t="s">
        <v>3311</v>
      </c>
      <c r="AB77" s="1" t="s">
        <v>1755</v>
      </c>
      <c r="AC77" s="1" t="s">
        <v>3312</v>
      </c>
      <c r="AD77" s="1" t="s">
        <v>424</v>
      </c>
      <c r="AE77" s="1" t="s">
        <v>1760</v>
      </c>
      <c r="AF77" s="1" t="s">
        <v>1761</v>
      </c>
      <c r="AG77" s="1" t="s">
        <v>1762</v>
      </c>
      <c r="AH77" s="1" t="s">
        <v>3311</v>
      </c>
      <c r="AI77" s="1" t="s">
        <v>3311</v>
      </c>
      <c r="AJ77" s="1" t="s">
        <v>1763</v>
      </c>
      <c r="AK77" s="1" t="s">
        <v>1763</v>
      </c>
      <c r="AL77" s="1" t="s">
        <v>1763</v>
      </c>
      <c r="AM77" s="1" t="s">
        <v>3312</v>
      </c>
      <c r="AN77" s="1" t="s">
        <v>424</v>
      </c>
      <c r="AO77" s="1" t="s">
        <v>3313</v>
      </c>
      <c r="AP77" s="1" t="s">
        <v>1765</v>
      </c>
      <c r="AQ77" s="1" t="s">
        <v>1766</v>
      </c>
      <c r="AR77" s="1" t="s">
        <v>1767</v>
      </c>
      <c r="AS77" s="1" t="s">
        <v>1768</v>
      </c>
      <c r="AT77">
        <v>2010150922131390</v>
      </c>
      <c r="AU77" s="1" t="s">
        <v>1769</v>
      </c>
      <c r="AV77">
        <v>59182039690166</v>
      </c>
      <c r="AW77" s="1" t="s">
        <v>1770</v>
      </c>
      <c r="AX77" s="1" t="s">
        <v>1765</v>
      </c>
      <c r="AY77" s="1" t="s">
        <v>3314</v>
      </c>
      <c r="AZ77" s="1" t="s">
        <v>1897</v>
      </c>
      <c r="BA77" s="1" t="s">
        <v>3315</v>
      </c>
      <c r="BB77">
        <v>116</v>
      </c>
      <c r="BC77" s="1" t="s">
        <v>1774</v>
      </c>
      <c r="BD77" s="1" t="s">
        <v>1775</v>
      </c>
      <c r="BE77" s="1" t="s">
        <v>1776</v>
      </c>
      <c r="BF77" s="1" t="s">
        <v>1777</v>
      </c>
      <c r="BG77" s="1" t="s">
        <v>1778</v>
      </c>
      <c r="BH77" s="1" t="s">
        <v>1779</v>
      </c>
      <c r="BI77" s="1" t="s">
        <v>1779</v>
      </c>
      <c r="BJ77" s="1" t="s">
        <v>1780</v>
      </c>
      <c r="BK77" s="1" t="s">
        <v>1781</v>
      </c>
      <c r="BL77" s="1" t="s">
        <v>1754</v>
      </c>
      <c r="BM77" s="1" t="s">
        <v>1782</v>
      </c>
      <c r="BN77" s="1" t="s">
        <v>1783</v>
      </c>
      <c r="BO77" s="1" t="s">
        <v>1784</v>
      </c>
      <c r="BP77" s="1" t="s">
        <v>1785</v>
      </c>
      <c r="BQ77" s="1" t="s">
        <v>1786</v>
      </c>
      <c r="BR77" s="1" t="s">
        <v>3316</v>
      </c>
      <c r="BS77" s="1" t="s">
        <v>1788</v>
      </c>
      <c r="BT77" s="1" t="s">
        <v>3317</v>
      </c>
      <c r="BU77" s="1" t="s">
        <v>1790</v>
      </c>
      <c r="BV77" s="1" t="s">
        <v>3318</v>
      </c>
      <c r="BW77" s="1" t="s">
        <v>1790</v>
      </c>
      <c r="BX77" s="1" t="s">
        <v>3318</v>
      </c>
      <c r="BY77" s="1" t="s">
        <v>3167</v>
      </c>
      <c r="BZ77" s="1" t="s">
        <v>3319</v>
      </c>
      <c r="CA77" s="1" t="s">
        <v>1794</v>
      </c>
      <c r="CB77" s="1" t="s">
        <v>1795</v>
      </c>
      <c r="CC77" s="1" t="s">
        <v>1796</v>
      </c>
      <c r="CD77" s="1" t="s">
        <v>1797</v>
      </c>
      <c r="CE77" s="1" t="s">
        <v>1798</v>
      </c>
      <c r="CF77" s="1" t="s">
        <v>1799</v>
      </c>
      <c r="CG77" s="1" t="s">
        <v>1800</v>
      </c>
      <c r="CH77" s="1" t="s">
        <v>1794</v>
      </c>
      <c r="CI77" s="1" t="s">
        <v>1801</v>
      </c>
      <c r="CJ77" s="1" t="s">
        <v>1794</v>
      </c>
      <c r="CK77" s="1" t="s">
        <v>1802</v>
      </c>
      <c r="CL77" s="1" t="s">
        <v>1803</v>
      </c>
      <c r="CM77" s="1" t="s">
        <v>1804</v>
      </c>
      <c r="CN77" s="1" t="s">
        <v>1805</v>
      </c>
      <c r="CO77" s="1" t="s">
        <v>1794</v>
      </c>
      <c r="CP77" s="1" t="s">
        <v>1806</v>
      </c>
      <c r="CQ77" s="1" t="s">
        <v>1807</v>
      </c>
      <c r="CR77" s="1" t="s">
        <v>1808</v>
      </c>
      <c r="CS77" s="1" t="s">
        <v>1809</v>
      </c>
      <c r="CT77" s="1" t="s">
        <v>1810</v>
      </c>
      <c r="CU77" s="1" t="s">
        <v>1811</v>
      </c>
      <c r="CV77" s="1" t="s">
        <v>1812</v>
      </c>
      <c r="CW77" s="1" t="s">
        <v>1813</v>
      </c>
      <c r="CX77" s="1" t="s">
        <v>1814</v>
      </c>
      <c r="CY77" s="1" t="s">
        <v>1813</v>
      </c>
      <c r="CZ77" s="1" t="s">
        <v>1813</v>
      </c>
      <c r="DA77" s="1" t="s">
        <v>1775</v>
      </c>
      <c r="DB77" s="1" t="s">
        <v>1776</v>
      </c>
      <c r="DC77" s="1" t="s">
        <v>1752</v>
      </c>
      <c r="DD77" s="1" t="s">
        <v>1765</v>
      </c>
      <c r="DE77" s="1" t="s">
        <v>1815</v>
      </c>
      <c r="DF77" s="1" t="s">
        <v>1816</v>
      </c>
      <c r="DG77" s="1" t="s">
        <v>1817</v>
      </c>
      <c r="DH77" s="1" t="s">
        <v>1818</v>
      </c>
      <c r="DI77" s="1" t="s">
        <v>1819</v>
      </c>
      <c r="DJ77" s="1" t="s">
        <v>1820</v>
      </c>
      <c r="DK77" s="1" t="s">
        <v>1821</v>
      </c>
      <c r="DL77" s="1" t="s">
        <v>1822</v>
      </c>
      <c r="DM77" s="1" t="s">
        <v>1765</v>
      </c>
      <c r="DN77" s="1" t="s">
        <v>1765</v>
      </c>
      <c r="DO77" s="1" t="s">
        <v>1823</v>
      </c>
      <c r="DP77" s="1" t="s">
        <v>1824</v>
      </c>
      <c r="DQ77" s="1" t="s">
        <v>1824</v>
      </c>
      <c r="DR77" s="1" t="s">
        <v>1765</v>
      </c>
      <c r="DS77" s="1" t="s">
        <v>1825</v>
      </c>
      <c r="DT77" s="1" t="s">
        <v>1816</v>
      </c>
      <c r="DU77" s="1" t="s">
        <v>1826</v>
      </c>
      <c r="DV77" s="1" t="s">
        <v>3320</v>
      </c>
      <c r="DW77" s="1" t="s">
        <v>1828</v>
      </c>
      <c r="DX77" s="1" t="s">
        <v>3321</v>
      </c>
      <c r="DY77" s="1" t="s">
        <v>424</v>
      </c>
      <c r="DZ77" s="1" t="s">
        <v>1752</v>
      </c>
      <c r="EA77" s="1" t="s">
        <v>218</v>
      </c>
      <c r="EB77" s="1" t="s">
        <v>892</v>
      </c>
      <c r="EC77" s="1" t="s">
        <v>3312</v>
      </c>
      <c r="ED77" s="1" t="s">
        <v>3322</v>
      </c>
      <c r="EE77" s="1" t="s">
        <v>3322</v>
      </c>
      <c r="EF77" s="1" t="s">
        <v>3323</v>
      </c>
      <c r="EG77" s="1" t="s">
        <v>1884</v>
      </c>
      <c r="EH77" s="1" t="s">
        <v>3324</v>
      </c>
      <c r="EI77" s="1" t="s">
        <v>2241</v>
      </c>
      <c r="EJ77" s="1" t="s">
        <v>3325</v>
      </c>
      <c r="EK77" s="1" t="s">
        <v>1836</v>
      </c>
      <c r="EL77" s="1" t="s">
        <v>1837</v>
      </c>
      <c r="EM77" s="1" t="s">
        <v>1838</v>
      </c>
      <c r="EN77" s="1" t="s">
        <v>3326</v>
      </c>
      <c r="EO77" s="1" t="s">
        <v>1840</v>
      </c>
      <c r="EP77" s="1" t="s">
        <v>549</v>
      </c>
      <c r="EQ77" s="1" t="s">
        <v>1782</v>
      </c>
      <c r="ER77" s="1" t="s">
        <v>1802</v>
      </c>
      <c r="ES77" s="1" t="s">
        <v>1802</v>
      </c>
      <c r="ET77" s="1" t="s">
        <v>1802</v>
      </c>
      <c r="EU77" s="1" t="s">
        <v>1802</v>
      </c>
      <c r="EV77" s="1" t="s">
        <v>1802</v>
      </c>
      <c r="EW77" s="1" t="s">
        <v>1802</v>
      </c>
      <c r="EX77" s="1" t="s">
        <v>1802</v>
      </c>
      <c r="EY77" s="1" t="s">
        <v>1802</v>
      </c>
      <c r="EZ77" s="1" t="s">
        <v>1802</v>
      </c>
      <c r="FA77" s="1" t="s">
        <v>1802</v>
      </c>
      <c r="FB77" s="1" t="s">
        <v>1802</v>
      </c>
      <c r="FC77" s="1" t="s">
        <v>1802</v>
      </c>
      <c r="FD77" s="1" t="s">
        <v>1802</v>
      </c>
      <c r="FE77" s="1" t="s">
        <v>1802</v>
      </c>
      <c r="FF77" s="1" t="s">
        <v>1802</v>
      </c>
      <c r="FG77" s="1" t="s">
        <v>1802</v>
      </c>
      <c r="FH77" s="1" t="s">
        <v>1802</v>
      </c>
      <c r="FI77" s="1" t="s">
        <v>1802</v>
      </c>
      <c r="FJ77" s="1" t="s">
        <v>1802</v>
      </c>
      <c r="FK77" s="1" t="s">
        <v>1802</v>
      </c>
      <c r="FL77" s="1" t="s">
        <v>1802</v>
      </c>
      <c r="FM77" s="1" t="s">
        <v>1802</v>
      </c>
      <c r="FN77" s="1" t="s">
        <v>1802</v>
      </c>
      <c r="FO77" s="1" t="s">
        <v>1802</v>
      </c>
      <c r="FP77" s="1" t="s">
        <v>1802</v>
      </c>
      <c r="FQ77" s="1" t="s">
        <v>1802</v>
      </c>
      <c r="FR77" s="2"/>
      <c r="FS77" s="1" t="s">
        <v>1802</v>
      </c>
    </row>
    <row r="78" spans="1:175" x14ac:dyDescent="0.3">
      <c r="A78" s="1" t="s">
        <v>3327</v>
      </c>
      <c r="B78" s="1" t="s">
        <v>1739</v>
      </c>
      <c r="C78" s="1" t="s">
        <v>1281</v>
      </c>
      <c r="D78" s="1" t="s">
        <v>1740</v>
      </c>
      <c r="E78" s="1" t="s">
        <v>1890</v>
      </c>
      <c r="F78" s="1" t="s">
        <v>3328</v>
      </c>
      <c r="G78" s="1" t="s">
        <v>3328</v>
      </c>
      <c r="H78" s="1" t="s">
        <v>1915</v>
      </c>
      <c r="I78" s="1" t="s">
        <v>1744</v>
      </c>
      <c r="J78" s="1" t="s">
        <v>1745</v>
      </c>
      <c r="K78" s="1" t="s">
        <v>1746</v>
      </c>
      <c r="L78" s="1" t="s">
        <v>1747</v>
      </c>
      <c r="M78" s="1" t="s">
        <v>1748</v>
      </c>
      <c r="N78" s="1" t="s">
        <v>1749</v>
      </c>
      <c r="O78" s="1" t="s">
        <v>1750</v>
      </c>
      <c r="P78" s="1" t="s">
        <v>1751</v>
      </c>
      <c r="Q78">
        <v>49</v>
      </c>
      <c r="R78" s="1" t="s">
        <v>1752</v>
      </c>
      <c r="S78" s="1" t="s">
        <v>1753</v>
      </c>
      <c r="T78" s="1" t="s">
        <v>1754</v>
      </c>
      <c r="U78" s="1" t="s">
        <v>1755</v>
      </c>
      <c r="V78" s="1" t="s">
        <v>1756</v>
      </c>
      <c r="W78">
        <v>72</v>
      </c>
      <c r="X78">
        <v>72</v>
      </c>
      <c r="Y78" s="1" t="s">
        <v>1757</v>
      </c>
      <c r="Z78" s="2">
        <v>36999</v>
      </c>
      <c r="AA78" s="1" t="s">
        <v>3329</v>
      </c>
      <c r="AB78" s="1" t="s">
        <v>1755</v>
      </c>
      <c r="AC78" s="1" t="s">
        <v>2936</v>
      </c>
      <c r="AD78" s="1" t="s">
        <v>424</v>
      </c>
      <c r="AE78" s="1" t="s">
        <v>1760</v>
      </c>
      <c r="AF78" s="1" t="s">
        <v>1761</v>
      </c>
      <c r="AG78" s="1" t="s">
        <v>1762</v>
      </c>
      <c r="AH78" s="1" t="s">
        <v>3329</v>
      </c>
      <c r="AI78" s="1" t="s">
        <v>3329</v>
      </c>
      <c r="AJ78" s="1" t="s">
        <v>1763</v>
      </c>
      <c r="AK78" s="1" t="s">
        <v>1763</v>
      </c>
      <c r="AL78" s="1" t="s">
        <v>1763</v>
      </c>
      <c r="AM78" s="1" t="s">
        <v>2936</v>
      </c>
      <c r="AN78" s="1" t="s">
        <v>424</v>
      </c>
      <c r="AO78" s="1" t="s">
        <v>3330</v>
      </c>
      <c r="AP78" s="1" t="s">
        <v>1765</v>
      </c>
      <c r="AQ78" s="1" t="s">
        <v>1766</v>
      </c>
      <c r="AR78" s="1" t="s">
        <v>1767</v>
      </c>
      <c r="AS78" s="1" t="s">
        <v>1768</v>
      </c>
      <c r="AT78">
        <v>2010150922131390</v>
      </c>
      <c r="AU78" s="1" t="s">
        <v>1769</v>
      </c>
      <c r="AV78">
        <v>61935736600583</v>
      </c>
      <c r="AW78" s="1" t="s">
        <v>1770</v>
      </c>
      <c r="AX78" s="1" t="s">
        <v>1765</v>
      </c>
      <c r="AY78" s="1" t="s">
        <v>3331</v>
      </c>
      <c r="AZ78" s="1" t="s">
        <v>1897</v>
      </c>
      <c r="BA78" s="1" t="s">
        <v>3332</v>
      </c>
      <c r="BB78">
        <v>655</v>
      </c>
      <c r="BC78" s="1" t="s">
        <v>1774</v>
      </c>
      <c r="BD78" s="1" t="s">
        <v>1775</v>
      </c>
      <c r="BE78" s="1" t="s">
        <v>1776</v>
      </c>
      <c r="BF78" s="1" t="s">
        <v>1777</v>
      </c>
      <c r="BG78" s="1" t="s">
        <v>1778</v>
      </c>
      <c r="BH78" s="1" t="s">
        <v>1779</v>
      </c>
      <c r="BI78" s="1" t="s">
        <v>1779</v>
      </c>
      <c r="BJ78" s="1" t="s">
        <v>1780</v>
      </c>
      <c r="BK78" s="1" t="s">
        <v>1781</v>
      </c>
      <c r="BL78" s="1" t="s">
        <v>1754</v>
      </c>
      <c r="BM78" s="1" t="s">
        <v>1782</v>
      </c>
      <c r="BN78" s="1" t="s">
        <v>1783</v>
      </c>
      <c r="BO78" s="1" t="s">
        <v>1784</v>
      </c>
      <c r="BP78" s="1" t="s">
        <v>1785</v>
      </c>
      <c r="BQ78" s="1" t="s">
        <v>1786</v>
      </c>
      <c r="BR78" s="1" t="s">
        <v>3333</v>
      </c>
      <c r="BS78" s="1" t="s">
        <v>1788</v>
      </c>
      <c r="BT78" s="1" t="s">
        <v>3334</v>
      </c>
      <c r="BU78" s="1" t="s">
        <v>1790</v>
      </c>
      <c r="BV78" s="1" t="s">
        <v>3335</v>
      </c>
      <c r="BW78" s="1" t="s">
        <v>1790</v>
      </c>
      <c r="BX78" s="1" t="s">
        <v>3335</v>
      </c>
      <c r="BY78" s="1" t="s">
        <v>3167</v>
      </c>
      <c r="BZ78" s="1" t="s">
        <v>3336</v>
      </c>
      <c r="CA78" s="1" t="s">
        <v>1794</v>
      </c>
      <c r="CB78" s="1" t="s">
        <v>1795</v>
      </c>
      <c r="CC78" s="1" t="s">
        <v>1796</v>
      </c>
      <c r="CD78" s="1" t="s">
        <v>1797</v>
      </c>
      <c r="CE78" s="1" t="s">
        <v>1798</v>
      </c>
      <c r="CF78" s="1" t="s">
        <v>1799</v>
      </c>
      <c r="CG78" s="1" t="s">
        <v>1800</v>
      </c>
      <c r="CH78" s="1" t="s">
        <v>1794</v>
      </c>
      <c r="CI78" s="1" t="s">
        <v>1801</v>
      </c>
      <c r="CJ78" s="1" t="s">
        <v>1794</v>
      </c>
      <c r="CK78" s="1" t="s">
        <v>1802</v>
      </c>
      <c r="CL78" s="1" t="s">
        <v>1803</v>
      </c>
      <c r="CM78" s="1" t="s">
        <v>1804</v>
      </c>
      <c r="CN78" s="1" t="s">
        <v>1805</v>
      </c>
      <c r="CO78" s="1" t="s">
        <v>1794</v>
      </c>
      <c r="CP78" s="1" t="s">
        <v>1806</v>
      </c>
      <c r="CQ78" s="1" t="s">
        <v>1807</v>
      </c>
      <c r="CR78" s="1" t="s">
        <v>1808</v>
      </c>
      <c r="CS78" s="1" t="s">
        <v>1809</v>
      </c>
      <c r="CT78" s="1" t="s">
        <v>1810</v>
      </c>
      <c r="CU78" s="1" t="s">
        <v>1811</v>
      </c>
      <c r="CV78" s="1" t="s">
        <v>1812</v>
      </c>
      <c r="CW78" s="1" t="s">
        <v>1813</v>
      </c>
      <c r="CX78" s="1" t="s">
        <v>1814</v>
      </c>
      <c r="CY78" s="1" t="s">
        <v>1813</v>
      </c>
      <c r="CZ78" s="1" t="s">
        <v>1813</v>
      </c>
      <c r="DA78" s="1" t="s">
        <v>1775</v>
      </c>
      <c r="DB78" s="1" t="s">
        <v>1776</v>
      </c>
      <c r="DC78" s="1" t="s">
        <v>1752</v>
      </c>
      <c r="DD78" s="1" t="s">
        <v>1765</v>
      </c>
      <c r="DE78" s="1" t="s">
        <v>1815</v>
      </c>
      <c r="DF78" s="1" t="s">
        <v>1816</v>
      </c>
      <c r="DG78" s="1" t="s">
        <v>1817</v>
      </c>
      <c r="DH78" s="1" t="s">
        <v>1818</v>
      </c>
      <c r="DI78" s="1" t="s">
        <v>1819</v>
      </c>
      <c r="DJ78" s="1" t="s">
        <v>1820</v>
      </c>
      <c r="DK78" s="1" t="s">
        <v>1821</v>
      </c>
      <c r="DL78" s="1" t="s">
        <v>1822</v>
      </c>
      <c r="DM78" s="1" t="s">
        <v>1765</v>
      </c>
      <c r="DN78" s="1" t="s">
        <v>1765</v>
      </c>
      <c r="DO78" s="1" t="s">
        <v>1823</v>
      </c>
      <c r="DP78" s="1" t="s">
        <v>1824</v>
      </c>
      <c r="DQ78" s="1" t="s">
        <v>1824</v>
      </c>
      <c r="DR78" s="1" t="s">
        <v>1765</v>
      </c>
      <c r="DS78" s="1" t="s">
        <v>1825</v>
      </c>
      <c r="DT78" s="1" t="s">
        <v>1816</v>
      </c>
      <c r="DU78" s="1" t="s">
        <v>1826</v>
      </c>
      <c r="DV78" s="1" t="s">
        <v>3337</v>
      </c>
      <c r="DW78" s="1" t="s">
        <v>1828</v>
      </c>
      <c r="DX78" s="1" t="s">
        <v>3338</v>
      </c>
      <c r="DY78" s="1" t="s">
        <v>424</v>
      </c>
      <c r="DZ78" s="1" t="s">
        <v>1752</v>
      </c>
      <c r="EA78" s="1" t="s">
        <v>218</v>
      </c>
      <c r="EB78" s="1" t="s">
        <v>892</v>
      </c>
      <c r="EC78" s="1" t="s">
        <v>2936</v>
      </c>
      <c r="ED78" s="1" t="s">
        <v>3339</v>
      </c>
      <c r="EE78" s="1" t="s">
        <v>3339</v>
      </c>
      <c r="EF78" s="1" t="s">
        <v>3340</v>
      </c>
      <c r="EG78" s="1" t="s">
        <v>1973</v>
      </c>
      <c r="EH78" s="1" t="s">
        <v>3341</v>
      </c>
      <c r="EI78" s="1" t="s">
        <v>2130</v>
      </c>
      <c r="EJ78" s="1" t="s">
        <v>2786</v>
      </c>
      <c r="EK78" s="1" t="s">
        <v>1836</v>
      </c>
      <c r="EL78" s="1" t="s">
        <v>1837</v>
      </c>
      <c r="EM78" s="1" t="s">
        <v>1838</v>
      </c>
      <c r="EN78" s="1" t="s">
        <v>3342</v>
      </c>
      <c r="EO78" s="1" t="s">
        <v>1840</v>
      </c>
      <c r="EP78" s="1" t="s">
        <v>2949</v>
      </c>
      <c r="EQ78" s="1" t="s">
        <v>1782</v>
      </c>
      <c r="ER78" s="1" t="s">
        <v>1802</v>
      </c>
      <c r="ES78" s="1" t="s">
        <v>1802</v>
      </c>
      <c r="ET78" s="1" t="s">
        <v>1802</v>
      </c>
      <c r="EU78" s="1" t="s">
        <v>1802</v>
      </c>
      <c r="EV78" s="1" t="s">
        <v>1802</v>
      </c>
      <c r="EW78" s="1" t="s">
        <v>1802</v>
      </c>
      <c r="EX78" s="1" t="s">
        <v>1802</v>
      </c>
      <c r="EY78" s="1" t="s">
        <v>1802</v>
      </c>
      <c r="EZ78" s="1" t="s">
        <v>1802</v>
      </c>
      <c r="FA78" s="1" t="s">
        <v>1802</v>
      </c>
      <c r="FB78" s="1" t="s">
        <v>1802</v>
      </c>
      <c r="FC78" s="1" t="s">
        <v>1802</v>
      </c>
      <c r="FD78" s="1" t="s">
        <v>1802</v>
      </c>
      <c r="FE78" s="1" t="s">
        <v>1802</v>
      </c>
      <c r="FF78" s="1" t="s">
        <v>1802</v>
      </c>
      <c r="FG78" s="1" t="s">
        <v>1802</v>
      </c>
      <c r="FH78" s="1" t="s">
        <v>1802</v>
      </c>
      <c r="FI78" s="1" t="s">
        <v>1802</v>
      </c>
      <c r="FJ78" s="1" t="s">
        <v>1802</v>
      </c>
      <c r="FK78" s="1" t="s">
        <v>1802</v>
      </c>
      <c r="FL78" s="1" t="s">
        <v>1802</v>
      </c>
      <c r="FM78" s="1" t="s">
        <v>1802</v>
      </c>
      <c r="FN78" s="1" t="s">
        <v>1802</v>
      </c>
      <c r="FO78" s="1" t="s">
        <v>1802</v>
      </c>
      <c r="FP78" s="1" t="s">
        <v>1802</v>
      </c>
      <c r="FQ78" s="1" t="s">
        <v>1802</v>
      </c>
      <c r="FR78" s="2"/>
      <c r="FS78" s="1" t="s">
        <v>1802</v>
      </c>
    </row>
    <row r="79" spans="1:175" x14ac:dyDescent="0.3">
      <c r="A79" s="1" t="s">
        <v>3343</v>
      </c>
      <c r="B79" s="1" t="s">
        <v>1739</v>
      </c>
      <c r="C79" s="1" t="s">
        <v>1297</v>
      </c>
      <c r="D79" s="1" t="s">
        <v>1740</v>
      </c>
      <c r="E79" s="1" t="s">
        <v>2452</v>
      </c>
      <c r="F79" s="1" t="s">
        <v>3344</v>
      </c>
      <c r="G79" s="1" t="s">
        <v>3344</v>
      </c>
      <c r="H79" s="1" t="s">
        <v>3345</v>
      </c>
      <c r="I79" s="1" t="s">
        <v>1744</v>
      </c>
      <c r="J79" s="1" t="s">
        <v>1745</v>
      </c>
      <c r="K79" s="1" t="s">
        <v>1746</v>
      </c>
      <c r="L79" s="1" t="s">
        <v>1747</v>
      </c>
      <c r="M79" s="1" t="s">
        <v>1748</v>
      </c>
      <c r="N79" s="1" t="s">
        <v>1749</v>
      </c>
      <c r="O79" s="1" t="s">
        <v>1750</v>
      </c>
      <c r="P79" s="1" t="s">
        <v>1751</v>
      </c>
      <c r="Q79">
        <v>49</v>
      </c>
      <c r="R79" s="1" t="s">
        <v>1752</v>
      </c>
      <c r="S79" s="1" t="s">
        <v>1753</v>
      </c>
      <c r="T79" s="1" t="s">
        <v>1754</v>
      </c>
      <c r="U79" s="1" t="s">
        <v>1755</v>
      </c>
      <c r="V79" s="1" t="s">
        <v>1756</v>
      </c>
      <c r="W79">
        <v>72</v>
      </c>
      <c r="X79">
        <v>72</v>
      </c>
      <c r="Y79" s="1" t="s">
        <v>1757</v>
      </c>
      <c r="Z79" s="2">
        <v>36999</v>
      </c>
      <c r="AA79" s="1" t="s">
        <v>1755</v>
      </c>
      <c r="AB79" s="1" t="s">
        <v>2115</v>
      </c>
      <c r="AC79" s="1" t="s">
        <v>424</v>
      </c>
      <c r="AD79" s="1" t="s">
        <v>1760</v>
      </c>
      <c r="AE79" s="1" t="s">
        <v>2116</v>
      </c>
      <c r="AF79" s="1" t="s">
        <v>1762</v>
      </c>
      <c r="AG79" s="1" t="s">
        <v>3346</v>
      </c>
      <c r="AH79" s="1" t="s">
        <v>1763</v>
      </c>
      <c r="AI79" s="1" t="s">
        <v>1763</v>
      </c>
      <c r="AJ79" s="1" t="s">
        <v>1763</v>
      </c>
      <c r="AK79" s="1" t="s">
        <v>2115</v>
      </c>
      <c r="AL79" s="1" t="s">
        <v>424</v>
      </c>
      <c r="AM79" s="1" t="s">
        <v>3347</v>
      </c>
      <c r="AN79" s="1" t="s">
        <v>1765</v>
      </c>
      <c r="AO79" s="1" t="s">
        <v>1766</v>
      </c>
      <c r="AP79" s="1" t="s">
        <v>1767</v>
      </c>
      <c r="AQ79" s="1" t="s">
        <v>1768</v>
      </c>
      <c r="AR79" s="1" t="s">
        <v>3348</v>
      </c>
      <c r="AS79" s="1" t="s">
        <v>1769</v>
      </c>
      <c r="AT79">
        <v>65027101768625</v>
      </c>
      <c r="AU79" s="1" t="s">
        <v>1770</v>
      </c>
      <c r="AV79">
        <v>0</v>
      </c>
      <c r="AW79" s="1" t="s">
        <v>3349</v>
      </c>
      <c r="AX79" s="1" t="s">
        <v>1897</v>
      </c>
      <c r="AY79" s="1" t="s">
        <v>3350</v>
      </c>
      <c r="AZ79" s="1" t="s">
        <v>3350</v>
      </c>
      <c r="BA79" s="1" t="s">
        <v>1774</v>
      </c>
      <c r="BB79">
        <v>4032</v>
      </c>
      <c r="BC79" s="1" t="s">
        <v>1776</v>
      </c>
      <c r="BD79" s="1" t="s">
        <v>1777</v>
      </c>
      <c r="BE79" s="1" t="s">
        <v>1778</v>
      </c>
      <c r="BF79" s="1" t="s">
        <v>1779</v>
      </c>
      <c r="BG79" s="1" t="s">
        <v>1779</v>
      </c>
      <c r="BH79" s="1" t="s">
        <v>1780</v>
      </c>
      <c r="BI79" s="1" t="s">
        <v>1781</v>
      </c>
      <c r="BJ79" s="1" t="s">
        <v>1754</v>
      </c>
      <c r="BK79" s="1" t="s">
        <v>1782</v>
      </c>
      <c r="BL79" s="1" t="s">
        <v>1783</v>
      </c>
      <c r="BM79" s="1" t="s">
        <v>1784</v>
      </c>
      <c r="BN79" s="1" t="s">
        <v>1785</v>
      </c>
      <c r="BO79" s="1" t="s">
        <v>1786</v>
      </c>
      <c r="BP79" s="1" t="s">
        <v>3351</v>
      </c>
      <c r="BQ79" s="1" t="s">
        <v>1788</v>
      </c>
      <c r="BR79" s="1" t="s">
        <v>3352</v>
      </c>
      <c r="BS79" s="1" t="s">
        <v>1790</v>
      </c>
      <c r="BT79" s="1" t="s">
        <v>3353</v>
      </c>
      <c r="BU79" s="1" t="s">
        <v>1790</v>
      </c>
      <c r="BV79" s="1" t="s">
        <v>3353</v>
      </c>
      <c r="BW79" s="1" t="s">
        <v>3167</v>
      </c>
      <c r="BX79" s="1" t="s">
        <v>3354</v>
      </c>
      <c r="BY79" s="1" t="s">
        <v>1856</v>
      </c>
      <c r="BZ79" s="1" t="s">
        <v>3346</v>
      </c>
      <c r="CA79" s="1" t="s">
        <v>1857</v>
      </c>
      <c r="CB79" s="1" t="s">
        <v>3346</v>
      </c>
      <c r="CC79" s="1" t="s">
        <v>3346</v>
      </c>
      <c r="CD79" s="1" t="s">
        <v>3355</v>
      </c>
      <c r="CE79" s="1" t="s">
        <v>3356</v>
      </c>
      <c r="CF79" s="1" t="s">
        <v>3357</v>
      </c>
      <c r="CG79" s="1" t="s">
        <v>3358</v>
      </c>
      <c r="CH79" s="1" t="s">
        <v>3173</v>
      </c>
      <c r="CI79" s="1" t="s">
        <v>3174</v>
      </c>
      <c r="CJ79" s="1" t="s">
        <v>3175</v>
      </c>
      <c r="CK79" s="1" t="s">
        <v>1765</v>
      </c>
      <c r="CL79" s="1" t="s">
        <v>1816</v>
      </c>
      <c r="CM79" s="1" t="s">
        <v>1816</v>
      </c>
      <c r="CN79" s="1" t="s">
        <v>1776</v>
      </c>
      <c r="CO79" s="1" t="s">
        <v>1775</v>
      </c>
      <c r="CP79" s="1" t="s">
        <v>3176</v>
      </c>
      <c r="CQ79" s="1" t="s">
        <v>1794</v>
      </c>
      <c r="CR79" s="1" t="s">
        <v>1795</v>
      </c>
      <c r="CS79" s="1" t="s">
        <v>1796</v>
      </c>
      <c r="CT79" s="1" t="s">
        <v>1797</v>
      </c>
      <c r="CU79" s="1" t="s">
        <v>1798</v>
      </c>
      <c r="CV79" s="1" t="s">
        <v>1799</v>
      </c>
      <c r="CW79" s="1" t="s">
        <v>1800</v>
      </c>
      <c r="CX79" s="1" t="s">
        <v>1794</v>
      </c>
      <c r="CY79" s="1" t="s">
        <v>1801</v>
      </c>
      <c r="CZ79" s="1" t="s">
        <v>1794</v>
      </c>
      <c r="DA79" s="1" t="s">
        <v>1802</v>
      </c>
      <c r="DB79" s="1" t="s">
        <v>1803</v>
      </c>
      <c r="DC79" s="1" t="s">
        <v>1804</v>
      </c>
      <c r="DD79" s="1" t="s">
        <v>1805</v>
      </c>
      <c r="DE79" s="1" t="s">
        <v>1794</v>
      </c>
      <c r="DF79" s="1" t="s">
        <v>1806</v>
      </c>
      <c r="DG79" s="1" t="s">
        <v>1807</v>
      </c>
      <c r="DH79" s="1" t="s">
        <v>1808</v>
      </c>
      <c r="DI79" s="1" t="s">
        <v>1809</v>
      </c>
      <c r="DJ79" s="1" t="s">
        <v>1810</v>
      </c>
      <c r="DK79" s="1" t="s">
        <v>1811</v>
      </c>
      <c r="DL79" s="1" t="s">
        <v>1812</v>
      </c>
      <c r="DM79" s="1" t="s">
        <v>1813</v>
      </c>
      <c r="DN79" s="1" t="s">
        <v>1814</v>
      </c>
      <c r="DO79" s="1" t="s">
        <v>1813</v>
      </c>
      <c r="DP79" s="1" t="s">
        <v>1813</v>
      </c>
      <c r="DQ79" s="1" t="s">
        <v>1775</v>
      </c>
      <c r="DR79" s="1" t="s">
        <v>1776</v>
      </c>
      <c r="DS79" s="1" t="s">
        <v>1752</v>
      </c>
      <c r="DT79" s="1" t="s">
        <v>1765</v>
      </c>
      <c r="DU79" s="1" t="s">
        <v>1815</v>
      </c>
      <c r="DV79" s="1" t="s">
        <v>1816</v>
      </c>
      <c r="DW79" s="1" t="s">
        <v>1817</v>
      </c>
      <c r="DX79" s="1" t="s">
        <v>1818</v>
      </c>
      <c r="DY79" s="1" t="s">
        <v>1819</v>
      </c>
      <c r="DZ79" s="1" t="s">
        <v>1820</v>
      </c>
      <c r="EA79" s="1" t="s">
        <v>1821</v>
      </c>
      <c r="EB79" s="1" t="s">
        <v>1822</v>
      </c>
      <c r="EC79" s="1" t="s">
        <v>1765</v>
      </c>
      <c r="ED79" s="1" t="s">
        <v>1765</v>
      </c>
      <c r="EE79" s="1" t="s">
        <v>1823</v>
      </c>
      <c r="EF79" s="1" t="s">
        <v>1824</v>
      </c>
      <c r="EG79" s="1" t="s">
        <v>1824</v>
      </c>
      <c r="EH79" s="1" t="s">
        <v>1765</v>
      </c>
      <c r="EI79" s="1" t="s">
        <v>1825</v>
      </c>
      <c r="EJ79" s="1" t="s">
        <v>1816</v>
      </c>
      <c r="EK79" s="1" t="s">
        <v>1826</v>
      </c>
      <c r="EL79" s="1" t="s">
        <v>3359</v>
      </c>
      <c r="EM79" s="1" t="s">
        <v>3178</v>
      </c>
      <c r="EN79" s="1" t="s">
        <v>3360</v>
      </c>
      <c r="EO79" s="1" t="s">
        <v>424</v>
      </c>
      <c r="EP79" s="1" t="s">
        <v>1752</v>
      </c>
      <c r="EQ79" s="1" t="s">
        <v>218</v>
      </c>
      <c r="ER79" s="1" t="s">
        <v>892</v>
      </c>
      <c r="ES79" s="1" t="s">
        <v>2115</v>
      </c>
      <c r="ET79" s="1" t="s">
        <v>3361</v>
      </c>
      <c r="EU79" s="1" t="s">
        <v>3361</v>
      </c>
      <c r="EV79" s="1" t="s">
        <v>3362</v>
      </c>
      <c r="EW79" s="1" t="s">
        <v>1973</v>
      </c>
      <c r="EX79" s="1" t="s">
        <v>3363</v>
      </c>
      <c r="EY79" s="1" t="s">
        <v>1931</v>
      </c>
      <c r="EZ79" s="1" t="s">
        <v>2221</v>
      </c>
      <c r="FA79" s="1" t="s">
        <v>1836</v>
      </c>
      <c r="FB79" s="1" t="s">
        <v>1837</v>
      </c>
      <c r="FC79" s="1" t="s">
        <v>1838</v>
      </c>
      <c r="FD79" s="1" t="s">
        <v>3364</v>
      </c>
      <c r="FE79" s="1" t="s">
        <v>1840</v>
      </c>
      <c r="FF79" s="1" t="s">
        <v>1275</v>
      </c>
      <c r="FG79" s="1" t="s">
        <v>1782</v>
      </c>
      <c r="FH79" s="1" t="s">
        <v>1802</v>
      </c>
      <c r="FI79" s="1" t="s">
        <v>1802</v>
      </c>
      <c r="FJ79" s="1" t="s">
        <v>1802</v>
      </c>
      <c r="FK79" s="1" t="s">
        <v>1802</v>
      </c>
      <c r="FL79" s="1" t="s">
        <v>1802</v>
      </c>
      <c r="FM79" s="1" t="s">
        <v>1802</v>
      </c>
      <c r="FN79" s="1" t="s">
        <v>1802</v>
      </c>
      <c r="FO79" s="1" t="s">
        <v>1802</v>
      </c>
      <c r="FP79" s="1" t="s">
        <v>1802</v>
      </c>
      <c r="FQ79" s="1" t="s">
        <v>1802</v>
      </c>
      <c r="FR79" s="2"/>
      <c r="FS79" s="1" t="s">
        <v>1802</v>
      </c>
    </row>
    <row r="80" spans="1:175" x14ac:dyDescent="0.3">
      <c r="A80" s="1" t="s">
        <v>3365</v>
      </c>
      <c r="B80" s="1" t="s">
        <v>1739</v>
      </c>
      <c r="C80" s="1" t="s">
        <v>1305</v>
      </c>
      <c r="D80" s="1" t="s">
        <v>1740</v>
      </c>
      <c r="E80" s="1" t="s">
        <v>1913</v>
      </c>
      <c r="F80" s="1" t="s">
        <v>3366</v>
      </c>
      <c r="G80" s="1" t="s">
        <v>3366</v>
      </c>
      <c r="H80" s="1" t="s">
        <v>3367</v>
      </c>
      <c r="I80" s="1" t="s">
        <v>1744</v>
      </c>
      <c r="J80" s="1" t="s">
        <v>1745</v>
      </c>
      <c r="K80" s="1" t="s">
        <v>1746</v>
      </c>
      <c r="L80" s="1" t="s">
        <v>1747</v>
      </c>
      <c r="M80" s="1" t="s">
        <v>1748</v>
      </c>
      <c r="N80" s="1" t="s">
        <v>1749</v>
      </c>
      <c r="O80" s="1" t="s">
        <v>1750</v>
      </c>
      <c r="P80" s="1" t="s">
        <v>1751</v>
      </c>
      <c r="Q80">
        <v>49</v>
      </c>
      <c r="R80" s="1" t="s">
        <v>1752</v>
      </c>
      <c r="S80" s="1" t="s">
        <v>1753</v>
      </c>
      <c r="T80" s="1" t="s">
        <v>1754</v>
      </c>
      <c r="U80" s="1" t="s">
        <v>1755</v>
      </c>
      <c r="V80" s="1" t="s">
        <v>1756</v>
      </c>
      <c r="W80">
        <v>72</v>
      </c>
      <c r="X80">
        <v>72</v>
      </c>
      <c r="Y80" s="1" t="s">
        <v>1757</v>
      </c>
      <c r="Z80" s="2">
        <v>36999</v>
      </c>
      <c r="AA80" s="1" t="s">
        <v>3368</v>
      </c>
      <c r="AB80" s="1" t="s">
        <v>1755</v>
      </c>
      <c r="AC80" s="1" t="s">
        <v>3369</v>
      </c>
      <c r="AD80" s="1" t="s">
        <v>424</v>
      </c>
      <c r="AE80" s="1" t="s">
        <v>1760</v>
      </c>
      <c r="AF80" s="1" t="s">
        <v>2137</v>
      </c>
      <c r="AG80" s="1" t="s">
        <v>1762</v>
      </c>
      <c r="AH80" s="1" t="s">
        <v>3368</v>
      </c>
      <c r="AI80" s="1" t="s">
        <v>3368</v>
      </c>
      <c r="AJ80" s="1" t="s">
        <v>1763</v>
      </c>
      <c r="AK80" s="1" t="s">
        <v>1763</v>
      </c>
      <c r="AL80" s="1" t="s">
        <v>1763</v>
      </c>
      <c r="AM80" s="1" t="s">
        <v>3369</v>
      </c>
      <c r="AN80" s="1" t="s">
        <v>424</v>
      </c>
      <c r="AO80" s="1" t="s">
        <v>3370</v>
      </c>
      <c r="AP80" s="1" t="s">
        <v>1765</v>
      </c>
      <c r="AQ80" s="1" t="s">
        <v>1766</v>
      </c>
      <c r="AR80" s="1" t="s">
        <v>1767</v>
      </c>
      <c r="AS80" s="1" t="s">
        <v>1768</v>
      </c>
      <c r="AT80">
        <v>2010150922131390</v>
      </c>
      <c r="AU80" s="1" t="s">
        <v>1769</v>
      </c>
      <c r="AV80">
        <v>68628719900958</v>
      </c>
      <c r="AW80" s="1" t="s">
        <v>1770</v>
      </c>
      <c r="AX80" s="1" t="s">
        <v>1765</v>
      </c>
      <c r="AY80" s="1" t="s">
        <v>3371</v>
      </c>
      <c r="AZ80" s="1" t="s">
        <v>1897</v>
      </c>
      <c r="BA80" s="1" t="s">
        <v>3372</v>
      </c>
      <c r="BB80">
        <v>448</v>
      </c>
      <c r="BC80" s="1" t="s">
        <v>1774</v>
      </c>
      <c r="BD80" s="1" t="s">
        <v>1775</v>
      </c>
      <c r="BE80" s="1" t="s">
        <v>1776</v>
      </c>
      <c r="BF80" s="1" t="s">
        <v>1777</v>
      </c>
      <c r="BG80" s="1" t="s">
        <v>1778</v>
      </c>
      <c r="BH80" s="1" t="s">
        <v>1779</v>
      </c>
      <c r="BI80" s="1" t="s">
        <v>1779</v>
      </c>
      <c r="BJ80" s="1" t="s">
        <v>1780</v>
      </c>
      <c r="BK80" s="1" t="s">
        <v>1781</v>
      </c>
      <c r="BL80" s="1" t="s">
        <v>1754</v>
      </c>
      <c r="BM80" s="1" t="s">
        <v>1782</v>
      </c>
      <c r="BN80" s="1" t="s">
        <v>1783</v>
      </c>
      <c r="BO80" s="1" t="s">
        <v>1784</v>
      </c>
      <c r="BP80" s="1" t="s">
        <v>1785</v>
      </c>
      <c r="BQ80" s="1" t="s">
        <v>1786</v>
      </c>
      <c r="BR80" s="1" t="s">
        <v>3373</v>
      </c>
      <c r="BS80" s="1" t="s">
        <v>1788</v>
      </c>
      <c r="BT80" s="1" t="s">
        <v>3374</v>
      </c>
      <c r="BU80" s="1" t="s">
        <v>1790</v>
      </c>
      <c r="BV80" s="1" t="s">
        <v>3375</v>
      </c>
      <c r="BW80" s="1" t="s">
        <v>1790</v>
      </c>
      <c r="BX80" s="1" t="s">
        <v>3375</v>
      </c>
      <c r="BY80" s="1" t="s">
        <v>3167</v>
      </c>
      <c r="BZ80" s="1" t="s">
        <v>3376</v>
      </c>
      <c r="CA80" s="1" t="s">
        <v>1794</v>
      </c>
      <c r="CB80" s="1" t="s">
        <v>1795</v>
      </c>
      <c r="CC80" s="1" t="s">
        <v>1796</v>
      </c>
      <c r="CD80" s="1" t="s">
        <v>1797</v>
      </c>
      <c r="CE80" s="1" t="s">
        <v>1798</v>
      </c>
      <c r="CF80" s="1" t="s">
        <v>1799</v>
      </c>
      <c r="CG80" s="1" t="s">
        <v>1800</v>
      </c>
      <c r="CH80" s="1" t="s">
        <v>1794</v>
      </c>
      <c r="CI80" s="1" t="s">
        <v>1801</v>
      </c>
      <c r="CJ80" s="1" t="s">
        <v>1794</v>
      </c>
      <c r="CK80" s="1" t="s">
        <v>1802</v>
      </c>
      <c r="CL80" s="1" t="s">
        <v>1803</v>
      </c>
      <c r="CM80" s="1" t="s">
        <v>1804</v>
      </c>
      <c r="CN80" s="1" t="s">
        <v>1805</v>
      </c>
      <c r="CO80" s="1" t="s">
        <v>1794</v>
      </c>
      <c r="CP80" s="1" t="s">
        <v>1806</v>
      </c>
      <c r="CQ80" s="1" t="s">
        <v>1807</v>
      </c>
      <c r="CR80" s="1" t="s">
        <v>1808</v>
      </c>
      <c r="CS80" s="1" t="s">
        <v>1809</v>
      </c>
      <c r="CT80" s="1" t="s">
        <v>1810</v>
      </c>
      <c r="CU80" s="1" t="s">
        <v>1811</v>
      </c>
      <c r="CV80" s="1" t="s">
        <v>1812</v>
      </c>
      <c r="CW80" s="1" t="s">
        <v>1813</v>
      </c>
      <c r="CX80" s="1" t="s">
        <v>1814</v>
      </c>
      <c r="CY80" s="1" t="s">
        <v>1813</v>
      </c>
      <c r="CZ80" s="1" t="s">
        <v>1813</v>
      </c>
      <c r="DA80" s="1" t="s">
        <v>1775</v>
      </c>
      <c r="DB80" s="1" t="s">
        <v>1776</v>
      </c>
      <c r="DC80" s="1" t="s">
        <v>1752</v>
      </c>
      <c r="DD80" s="1" t="s">
        <v>1765</v>
      </c>
      <c r="DE80" s="1" t="s">
        <v>1815</v>
      </c>
      <c r="DF80" s="1" t="s">
        <v>1816</v>
      </c>
      <c r="DG80" s="1" t="s">
        <v>1817</v>
      </c>
      <c r="DH80" s="1" t="s">
        <v>1818</v>
      </c>
      <c r="DI80" s="1" t="s">
        <v>1819</v>
      </c>
      <c r="DJ80" s="1" t="s">
        <v>1820</v>
      </c>
      <c r="DK80" s="1" t="s">
        <v>1821</v>
      </c>
      <c r="DL80" s="1" t="s">
        <v>1822</v>
      </c>
      <c r="DM80" s="1" t="s">
        <v>1765</v>
      </c>
      <c r="DN80" s="1" t="s">
        <v>1765</v>
      </c>
      <c r="DO80" s="1" t="s">
        <v>1823</v>
      </c>
      <c r="DP80" s="1" t="s">
        <v>1824</v>
      </c>
      <c r="DQ80" s="1" t="s">
        <v>1824</v>
      </c>
      <c r="DR80" s="1" t="s">
        <v>1765</v>
      </c>
      <c r="DS80" s="1" t="s">
        <v>1825</v>
      </c>
      <c r="DT80" s="1" t="s">
        <v>1816</v>
      </c>
      <c r="DU80" s="1" t="s">
        <v>1826</v>
      </c>
      <c r="DV80" s="1" t="s">
        <v>3377</v>
      </c>
      <c r="DW80" s="1" t="s">
        <v>1828</v>
      </c>
      <c r="DX80" s="1" t="s">
        <v>3378</v>
      </c>
      <c r="DY80" s="1" t="s">
        <v>424</v>
      </c>
      <c r="DZ80" s="1" t="s">
        <v>1752</v>
      </c>
      <c r="EA80" s="1" t="s">
        <v>218</v>
      </c>
      <c r="EB80" s="1" t="s">
        <v>892</v>
      </c>
      <c r="EC80" s="1" t="s">
        <v>3369</v>
      </c>
      <c r="ED80" s="1" t="s">
        <v>3379</v>
      </c>
      <c r="EE80" s="1" t="s">
        <v>3379</v>
      </c>
      <c r="EF80" s="1" t="s">
        <v>3380</v>
      </c>
      <c r="EG80" s="1" t="s">
        <v>2034</v>
      </c>
      <c r="EH80" s="1" t="s">
        <v>3381</v>
      </c>
      <c r="EI80" s="1" t="s">
        <v>2036</v>
      </c>
      <c r="EJ80" s="1" t="s">
        <v>2449</v>
      </c>
      <c r="EK80" s="1" t="s">
        <v>1836</v>
      </c>
      <c r="EL80" s="1" t="s">
        <v>1837</v>
      </c>
      <c r="EM80" s="1" t="s">
        <v>1838</v>
      </c>
      <c r="EN80" s="1" t="s">
        <v>3382</v>
      </c>
      <c r="EO80" s="1" t="s">
        <v>1840</v>
      </c>
      <c r="EP80" s="1" t="s">
        <v>3383</v>
      </c>
      <c r="EQ80" s="1" t="s">
        <v>1782</v>
      </c>
      <c r="ER80" s="1" t="s">
        <v>1802</v>
      </c>
      <c r="ES80" s="1" t="s">
        <v>1802</v>
      </c>
      <c r="ET80" s="1" t="s">
        <v>1802</v>
      </c>
      <c r="EU80" s="1" t="s">
        <v>1802</v>
      </c>
      <c r="EV80" s="1" t="s">
        <v>1802</v>
      </c>
      <c r="EW80" s="1" t="s">
        <v>1802</v>
      </c>
      <c r="EX80" s="1" t="s">
        <v>1802</v>
      </c>
      <c r="EY80" s="1" t="s">
        <v>1802</v>
      </c>
      <c r="EZ80" s="1" t="s">
        <v>1802</v>
      </c>
      <c r="FA80" s="1" t="s">
        <v>1802</v>
      </c>
      <c r="FB80" s="1" t="s">
        <v>1802</v>
      </c>
      <c r="FC80" s="1" t="s">
        <v>1802</v>
      </c>
      <c r="FD80" s="1" t="s">
        <v>1802</v>
      </c>
      <c r="FE80" s="1" t="s">
        <v>1802</v>
      </c>
      <c r="FF80" s="1" t="s">
        <v>1802</v>
      </c>
      <c r="FG80" s="1" t="s">
        <v>1802</v>
      </c>
      <c r="FH80" s="1" t="s">
        <v>1802</v>
      </c>
      <c r="FI80" s="1" t="s">
        <v>1802</v>
      </c>
      <c r="FJ80" s="1" t="s">
        <v>1802</v>
      </c>
      <c r="FK80" s="1" t="s">
        <v>1802</v>
      </c>
      <c r="FL80" s="1" t="s">
        <v>1802</v>
      </c>
      <c r="FM80" s="1" t="s">
        <v>1802</v>
      </c>
      <c r="FN80" s="1" t="s">
        <v>1802</v>
      </c>
      <c r="FO80" s="1" t="s">
        <v>1802</v>
      </c>
      <c r="FP80" s="1" t="s">
        <v>1802</v>
      </c>
      <c r="FQ80" s="1" t="s">
        <v>1802</v>
      </c>
      <c r="FR80" s="2"/>
      <c r="FS80" s="1" t="s">
        <v>1802</v>
      </c>
    </row>
    <row r="81" spans="1:175" x14ac:dyDescent="0.3">
      <c r="A81" s="1" t="s">
        <v>3384</v>
      </c>
      <c r="B81" s="1" t="s">
        <v>1739</v>
      </c>
      <c r="C81" s="1" t="s">
        <v>1323</v>
      </c>
      <c r="D81" s="1" t="s">
        <v>1740</v>
      </c>
      <c r="E81" s="1" t="s">
        <v>3385</v>
      </c>
      <c r="F81" s="1" t="s">
        <v>3386</v>
      </c>
      <c r="G81" s="1" t="s">
        <v>3386</v>
      </c>
      <c r="H81" s="1" t="s">
        <v>1915</v>
      </c>
      <c r="I81" s="1" t="s">
        <v>1744</v>
      </c>
      <c r="J81" s="1" t="s">
        <v>1745</v>
      </c>
      <c r="K81" s="1" t="s">
        <v>1746</v>
      </c>
      <c r="L81" s="1" t="s">
        <v>1747</v>
      </c>
      <c r="M81" s="1" t="s">
        <v>1748</v>
      </c>
      <c r="N81" s="1" t="s">
        <v>1749</v>
      </c>
      <c r="O81" s="1" t="s">
        <v>1750</v>
      </c>
      <c r="P81" s="1" t="s">
        <v>1751</v>
      </c>
      <c r="Q81">
        <v>49</v>
      </c>
      <c r="R81" s="1" t="s">
        <v>1752</v>
      </c>
      <c r="S81" s="1" t="s">
        <v>1753</v>
      </c>
      <c r="T81" s="1" t="s">
        <v>1754</v>
      </c>
      <c r="U81" s="1" t="s">
        <v>1755</v>
      </c>
      <c r="V81" s="1" t="s">
        <v>1756</v>
      </c>
      <c r="W81">
        <v>72</v>
      </c>
      <c r="X81">
        <v>72</v>
      </c>
      <c r="Y81" s="1" t="s">
        <v>1757</v>
      </c>
      <c r="Z81" s="2">
        <v>36999</v>
      </c>
      <c r="AA81" s="1" t="s">
        <v>3387</v>
      </c>
      <c r="AB81" s="1" t="s">
        <v>1755</v>
      </c>
      <c r="AC81" s="1" t="s">
        <v>3388</v>
      </c>
      <c r="AD81" s="1" t="s">
        <v>424</v>
      </c>
      <c r="AE81" s="1" t="s">
        <v>1760</v>
      </c>
      <c r="AF81" s="1" t="s">
        <v>2516</v>
      </c>
      <c r="AG81" s="1" t="s">
        <v>1762</v>
      </c>
      <c r="AH81" s="1" t="s">
        <v>3387</v>
      </c>
      <c r="AI81" s="1" t="s">
        <v>3387</v>
      </c>
      <c r="AJ81" s="1" t="s">
        <v>1763</v>
      </c>
      <c r="AK81" s="1" t="s">
        <v>1763</v>
      </c>
      <c r="AL81" s="1" t="s">
        <v>1763</v>
      </c>
      <c r="AM81" s="1" t="s">
        <v>3388</v>
      </c>
      <c r="AN81" s="1" t="s">
        <v>424</v>
      </c>
      <c r="AO81" s="1" t="s">
        <v>3389</v>
      </c>
      <c r="AP81" s="1" t="s">
        <v>1765</v>
      </c>
      <c r="AQ81" s="1" t="s">
        <v>1766</v>
      </c>
      <c r="AR81" s="1" t="s">
        <v>1767</v>
      </c>
      <c r="AS81" s="1" t="s">
        <v>1768</v>
      </c>
      <c r="AT81">
        <v>2010150922131390</v>
      </c>
      <c r="AU81" s="1" t="s">
        <v>1769</v>
      </c>
      <c r="AV81">
        <v>71811497178375</v>
      </c>
      <c r="AW81" s="1" t="s">
        <v>1770</v>
      </c>
      <c r="AX81" s="1" t="s">
        <v>1765</v>
      </c>
      <c r="AY81" s="1" t="s">
        <v>3390</v>
      </c>
      <c r="AZ81" s="1" t="s">
        <v>1897</v>
      </c>
      <c r="BA81" s="1" t="s">
        <v>3391</v>
      </c>
      <c r="BB81">
        <v>438</v>
      </c>
      <c r="BC81" s="1" t="s">
        <v>1774</v>
      </c>
      <c r="BD81" s="1" t="s">
        <v>1775</v>
      </c>
      <c r="BE81" s="1" t="s">
        <v>1776</v>
      </c>
      <c r="BF81" s="1" t="s">
        <v>1777</v>
      </c>
      <c r="BG81" s="1" t="s">
        <v>1778</v>
      </c>
      <c r="BH81" s="1" t="s">
        <v>1779</v>
      </c>
      <c r="BI81" s="1" t="s">
        <v>1779</v>
      </c>
      <c r="BJ81" s="1" t="s">
        <v>1780</v>
      </c>
      <c r="BK81" s="1" t="s">
        <v>1781</v>
      </c>
      <c r="BL81" s="1" t="s">
        <v>1754</v>
      </c>
      <c r="BM81" s="1" t="s">
        <v>1782</v>
      </c>
      <c r="BN81" s="1" t="s">
        <v>1783</v>
      </c>
      <c r="BO81" s="1" t="s">
        <v>1784</v>
      </c>
      <c r="BP81" s="1" t="s">
        <v>1785</v>
      </c>
      <c r="BQ81" s="1" t="s">
        <v>1786</v>
      </c>
      <c r="BR81" s="1" t="s">
        <v>3392</v>
      </c>
      <c r="BS81" s="1" t="s">
        <v>1788</v>
      </c>
      <c r="BT81" s="1" t="s">
        <v>3393</v>
      </c>
      <c r="BU81" s="1" t="s">
        <v>1790</v>
      </c>
      <c r="BV81" s="1" t="s">
        <v>3394</v>
      </c>
      <c r="BW81" s="1" t="s">
        <v>1790</v>
      </c>
      <c r="BX81" s="1" t="s">
        <v>3394</v>
      </c>
      <c r="BY81" s="1" t="s">
        <v>3167</v>
      </c>
      <c r="BZ81" s="1" t="s">
        <v>3395</v>
      </c>
      <c r="CA81" s="1" t="s">
        <v>1794</v>
      </c>
      <c r="CB81" s="1" t="s">
        <v>1795</v>
      </c>
      <c r="CC81" s="1" t="s">
        <v>1796</v>
      </c>
      <c r="CD81" s="1" t="s">
        <v>1797</v>
      </c>
      <c r="CE81" s="1" t="s">
        <v>1798</v>
      </c>
      <c r="CF81" s="1" t="s">
        <v>1799</v>
      </c>
      <c r="CG81" s="1" t="s">
        <v>1800</v>
      </c>
      <c r="CH81" s="1" t="s">
        <v>1794</v>
      </c>
      <c r="CI81" s="1" t="s">
        <v>1801</v>
      </c>
      <c r="CJ81" s="1" t="s">
        <v>1794</v>
      </c>
      <c r="CK81" s="1" t="s">
        <v>1802</v>
      </c>
      <c r="CL81" s="1" t="s">
        <v>1803</v>
      </c>
      <c r="CM81" s="1" t="s">
        <v>1804</v>
      </c>
      <c r="CN81" s="1" t="s">
        <v>1805</v>
      </c>
      <c r="CO81" s="1" t="s">
        <v>1794</v>
      </c>
      <c r="CP81" s="1" t="s">
        <v>1806</v>
      </c>
      <c r="CQ81" s="1" t="s">
        <v>1807</v>
      </c>
      <c r="CR81" s="1" t="s">
        <v>1808</v>
      </c>
      <c r="CS81" s="1" t="s">
        <v>1809</v>
      </c>
      <c r="CT81" s="1" t="s">
        <v>1810</v>
      </c>
      <c r="CU81" s="1" t="s">
        <v>1811</v>
      </c>
      <c r="CV81" s="1" t="s">
        <v>1812</v>
      </c>
      <c r="CW81" s="1" t="s">
        <v>1813</v>
      </c>
      <c r="CX81" s="1" t="s">
        <v>1814</v>
      </c>
      <c r="CY81" s="1" t="s">
        <v>1813</v>
      </c>
      <c r="CZ81" s="1" t="s">
        <v>1813</v>
      </c>
      <c r="DA81" s="1" t="s">
        <v>1775</v>
      </c>
      <c r="DB81" s="1" t="s">
        <v>1776</v>
      </c>
      <c r="DC81" s="1" t="s">
        <v>1752</v>
      </c>
      <c r="DD81" s="1" t="s">
        <v>1765</v>
      </c>
      <c r="DE81" s="1" t="s">
        <v>1815</v>
      </c>
      <c r="DF81" s="1" t="s">
        <v>1816</v>
      </c>
      <c r="DG81" s="1" t="s">
        <v>1817</v>
      </c>
      <c r="DH81" s="1" t="s">
        <v>1818</v>
      </c>
      <c r="DI81" s="1" t="s">
        <v>1819</v>
      </c>
      <c r="DJ81" s="1" t="s">
        <v>1820</v>
      </c>
      <c r="DK81" s="1" t="s">
        <v>1821</v>
      </c>
      <c r="DL81" s="1" t="s">
        <v>1822</v>
      </c>
      <c r="DM81" s="1" t="s">
        <v>1765</v>
      </c>
      <c r="DN81" s="1" t="s">
        <v>1765</v>
      </c>
      <c r="DO81" s="1" t="s">
        <v>1823</v>
      </c>
      <c r="DP81" s="1" t="s">
        <v>1824</v>
      </c>
      <c r="DQ81" s="1" t="s">
        <v>1824</v>
      </c>
      <c r="DR81" s="1" t="s">
        <v>1765</v>
      </c>
      <c r="DS81" s="1" t="s">
        <v>1825</v>
      </c>
      <c r="DT81" s="1" t="s">
        <v>1816</v>
      </c>
      <c r="DU81" s="1" t="s">
        <v>1826</v>
      </c>
      <c r="DV81" s="1" t="s">
        <v>3396</v>
      </c>
      <c r="DW81" s="1" t="s">
        <v>2170</v>
      </c>
      <c r="DX81" s="1" t="s">
        <v>3397</v>
      </c>
      <c r="DY81" s="1" t="s">
        <v>424</v>
      </c>
      <c r="DZ81" s="1" t="s">
        <v>1752</v>
      </c>
      <c r="EA81" s="1" t="s">
        <v>218</v>
      </c>
      <c r="EB81" s="1" t="s">
        <v>892</v>
      </c>
      <c r="EC81" s="1" t="s">
        <v>3388</v>
      </c>
      <c r="ED81" s="1" t="s">
        <v>3398</v>
      </c>
      <c r="EE81" s="1" t="s">
        <v>3398</v>
      </c>
      <c r="EF81" s="1" t="s">
        <v>3399</v>
      </c>
      <c r="EG81" s="1" t="s">
        <v>1929</v>
      </c>
      <c r="EH81" s="1" t="s">
        <v>3400</v>
      </c>
      <c r="EI81" s="1" t="s">
        <v>3077</v>
      </c>
      <c r="EJ81" s="1" t="s">
        <v>2221</v>
      </c>
      <c r="EK81" s="1" t="s">
        <v>1836</v>
      </c>
      <c r="EL81" s="1" t="s">
        <v>1837</v>
      </c>
      <c r="EM81" s="1" t="s">
        <v>1838</v>
      </c>
      <c r="EN81" s="1" t="s">
        <v>3401</v>
      </c>
      <c r="EO81" s="1" t="s">
        <v>1840</v>
      </c>
      <c r="EP81" s="1" t="s">
        <v>822</v>
      </c>
      <c r="EQ81" s="1" t="s">
        <v>1782</v>
      </c>
      <c r="ER81" s="1" t="s">
        <v>1802</v>
      </c>
      <c r="ES81" s="1" t="s">
        <v>1802</v>
      </c>
      <c r="ET81" s="1" t="s">
        <v>1802</v>
      </c>
      <c r="EU81" s="1" t="s">
        <v>1802</v>
      </c>
      <c r="EV81" s="1" t="s">
        <v>1802</v>
      </c>
      <c r="EW81" s="1" t="s">
        <v>1802</v>
      </c>
      <c r="EX81" s="1" t="s">
        <v>1802</v>
      </c>
      <c r="EY81" s="1" t="s">
        <v>1802</v>
      </c>
      <c r="EZ81" s="1" t="s">
        <v>1802</v>
      </c>
      <c r="FA81" s="1" t="s">
        <v>1802</v>
      </c>
      <c r="FB81" s="1" t="s">
        <v>1802</v>
      </c>
      <c r="FC81" s="1" t="s">
        <v>1802</v>
      </c>
      <c r="FD81" s="1" t="s">
        <v>1802</v>
      </c>
      <c r="FE81" s="1" t="s">
        <v>1802</v>
      </c>
      <c r="FF81" s="1" t="s">
        <v>1802</v>
      </c>
      <c r="FG81" s="1" t="s">
        <v>1802</v>
      </c>
      <c r="FH81" s="1" t="s">
        <v>1802</v>
      </c>
      <c r="FI81" s="1" t="s">
        <v>1802</v>
      </c>
      <c r="FJ81" s="1" t="s">
        <v>1802</v>
      </c>
      <c r="FK81" s="1" t="s">
        <v>1802</v>
      </c>
      <c r="FL81" s="1" t="s">
        <v>1802</v>
      </c>
      <c r="FM81" s="1" t="s">
        <v>1802</v>
      </c>
      <c r="FN81" s="1" t="s">
        <v>1802</v>
      </c>
      <c r="FO81" s="1" t="s">
        <v>1802</v>
      </c>
      <c r="FP81" s="1" t="s">
        <v>1802</v>
      </c>
      <c r="FQ81" s="1" t="s">
        <v>1802</v>
      </c>
      <c r="FR81" s="2"/>
      <c r="FS81" s="1" t="s">
        <v>1802</v>
      </c>
    </row>
    <row r="82" spans="1:175" x14ac:dyDescent="0.3">
      <c r="A82" s="1" t="s">
        <v>3402</v>
      </c>
      <c r="B82" s="1" t="s">
        <v>1739</v>
      </c>
      <c r="C82" s="1" t="s">
        <v>1332</v>
      </c>
      <c r="D82" s="1" t="s">
        <v>1740</v>
      </c>
      <c r="E82" s="1" t="s">
        <v>3403</v>
      </c>
      <c r="F82" s="1" t="s">
        <v>3404</v>
      </c>
      <c r="G82" s="1" t="s">
        <v>3404</v>
      </c>
      <c r="H82" s="1" t="s">
        <v>1915</v>
      </c>
      <c r="I82" s="1" t="s">
        <v>1744</v>
      </c>
      <c r="J82" s="1" t="s">
        <v>1745</v>
      </c>
      <c r="K82" s="1" t="s">
        <v>1746</v>
      </c>
      <c r="L82" s="1" t="s">
        <v>1747</v>
      </c>
      <c r="M82" s="1" t="s">
        <v>1748</v>
      </c>
      <c r="N82" s="1" t="s">
        <v>1749</v>
      </c>
      <c r="O82" s="1" t="s">
        <v>1750</v>
      </c>
      <c r="P82" s="1" t="s">
        <v>1751</v>
      </c>
      <c r="Q82">
        <v>49</v>
      </c>
      <c r="R82" s="1" t="s">
        <v>1752</v>
      </c>
      <c r="S82" s="1" t="s">
        <v>1753</v>
      </c>
      <c r="T82" s="1" t="s">
        <v>1754</v>
      </c>
      <c r="U82" s="1" t="s">
        <v>1755</v>
      </c>
      <c r="V82" s="1" t="s">
        <v>1756</v>
      </c>
      <c r="W82">
        <v>72</v>
      </c>
      <c r="X82">
        <v>72</v>
      </c>
      <c r="Y82" s="1" t="s">
        <v>1757</v>
      </c>
      <c r="Z82" s="2">
        <v>36999</v>
      </c>
      <c r="AA82" s="1" t="s">
        <v>3405</v>
      </c>
      <c r="AB82" s="1" t="s">
        <v>1755</v>
      </c>
      <c r="AC82" s="1" t="s">
        <v>2205</v>
      </c>
      <c r="AD82" s="1" t="s">
        <v>424</v>
      </c>
      <c r="AE82" s="1" t="s">
        <v>1760</v>
      </c>
      <c r="AF82" s="1" t="s">
        <v>2516</v>
      </c>
      <c r="AG82" s="1" t="s">
        <v>1762</v>
      </c>
      <c r="AH82" s="1" t="s">
        <v>3405</v>
      </c>
      <c r="AI82" s="1" t="s">
        <v>3405</v>
      </c>
      <c r="AJ82" s="1" t="s">
        <v>1763</v>
      </c>
      <c r="AK82" s="1" t="s">
        <v>1763</v>
      </c>
      <c r="AL82" s="1" t="s">
        <v>1763</v>
      </c>
      <c r="AM82" s="1" t="s">
        <v>2205</v>
      </c>
      <c r="AN82" s="1" t="s">
        <v>424</v>
      </c>
      <c r="AO82" s="1" t="s">
        <v>3406</v>
      </c>
      <c r="AP82" s="1" t="s">
        <v>3407</v>
      </c>
      <c r="AQ82" s="1" t="s">
        <v>1766</v>
      </c>
      <c r="AR82" s="1" t="s">
        <v>1767</v>
      </c>
      <c r="AS82" s="1" t="s">
        <v>1768</v>
      </c>
      <c r="AT82">
        <v>2009150923181390</v>
      </c>
      <c r="AU82" s="1" t="s">
        <v>1769</v>
      </c>
      <c r="AV82">
        <v>73603678976416</v>
      </c>
      <c r="AW82" s="1" t="s">
        <v>1770</v>
      </c>
      <c r="AX82" s="1" t="s">
        <v>1765</v>
      </c>
      <c r="AY82" s="1" t="s">
        <v>3408</v>
      </c>
      <c r="AZ82" s="1" t="s">
        <v>1772</v>
      </c>
      <c r="BA82" s="1" t="s">
        <v>3409</v>
      </c>
      <c r="BB82">
        <v>453</v>
      </c>
      <c r="BC82" s="1" t="s">
        <v>1774</v>
      </c>
      <c r="BD82" s="1" t="s">
        <v>1775</v>
      </c>
      <c r="BE82" s="1" t="s">
        <v>1776</v>
      </c>
      <c r="BF82" s="1" t="s">
        <v>1777</v>
      </c>
      <c r="BG82" s="1" t="s">
        <v>1778</v>
      </c>
      <c r="BH82" s="1" t="s">
        <v>1779</v>
      </c>
      <c r="BI82" s="1" t="s">
        <v>1779</v>
      </c>
      <c r="BJ82" s="1" t="s">
        <v>1780</v>
      </c>
      <c r="BK82" s="1" t="s">
        <v>1781</v>
      </c>
      <c r="BL82" s="1" t="s">
        <v>1754</v>
      </c>
      <c r="BM82" s="1" t="s">
        <v>1782</v>
      </c>
      <c r="BN82" s="1" t="s">
        <v>1784</v>
      </c>
      <c r="BO82" s="1" t="s">
        <v>1785</v>
      </c>
      <c r="BP82" s="1" t="s">
        <v>1786</v>
      </c>
      <c r="BQ82" s="1" t="s">
        <v>3410</v>
      </c>
      <c r="BR82" s="1" t="s">
        <v>1788</v>
      </c>
      <c r="BS82" s="1" t="s">
        <v>3411</v>
      </c>
      <c r="BT82" s="1" t="s">
        <v>1790</v>
      </c>
      <c r="BU82" s="1" t="s">
        <v>3412</v>
      </c>
      <c r="BV82" s="1" t="s">
        <v>1790</v>
      </c>
      <c r="BW82" s="1" t="s">
        <v>3412</v>
      </c>
      <c r="BX82" s="1" t="s">
        <v>3167</v>
      </c>
      <c r="BY82" s="1" t="s">
        <v>3413</v>
      </c>
      <c r="BZ82" s="1" t="s">
        <v>1794</v>
      </c>
      <c r="CA82" s="1" t="s">
        <v>1795</v>
      </c>
      <c r="CB82" s="1" t="s">
        <v>1796</v>
      </c>
      <c r="CC82" s="1" t="s">
        <v>1797</v>
      </c>
      <c r="CD82" s="1" t="s">
        <v>1798</v>
      </c>
      <c r="CE82" s="1" t="s">
        <v>1799</v>
      </c>
      <c r="CF82" s="1" t="s">
        <v>1800</v>
      </c>
      <c r="CG82" s="1" t="s">
        <v>1794</v>
      </c>
      <c r="CH82" s="1" t="s">
        <v>1801</v>
      </c>
      <c r="CI82" s="1" t="s">
        <v>1794</v>
      </c>
      <c r="CJ82" s="1" t="s">
        <v>1802</v>
      </c>
      <c r="CK82" s="1" t="s">
        <v>1803</v>
      </c>
      <c r="CL82" s="1" t="s">
        <v>1804</v>
      </c>
      <c r="CM82" s="1" t="s">
        <v>1805</v>
      </c>
      <c r="CN82" s="1" t="s">
        <v>1794</v>
      </c>
      <c r="CO82" s="1" t="s">
        <v>1806</v>
      </c>
      <c r="CP82" s="1" t="s">
        <v>1807</v>
      </c>
      <c r="CQ82" s="1" t="s">
        <v>1808</v>
      </c>
      <c r="CR82" s="1" t="s">
        <v>1809</v>
      </c>
      <c r="CS82" s="1" t="s">
        <v>1810</v>
      </c>
      <c r="CT82" s="1" t="s">
        <v>1811</v>
      </c>
      <c r="CU82" s="1" t="s">
        <v>1812</v>
      </c>
      <c r="CV82" s="1" t="s">
        <v>1813</v>
      </c>
      <c r="CW82" s="1" t="s">
        <v>1814</v>
      </c>
      <c r="CX82" s="1" t="s">
        <v>1813</v>
      </c>
      <c r="CY82" s="1" t="s">
        <v>1813</v>
      </c>
      <c r="CZ82" s="1" t="s">
        <v>1775</v>
      </c>
      <c r="DA82" s="1" t="s">
        <v>1776</v>
      </c>
      <c r="DB82" s="1" t="s">
        <v>1752</v>
      </c>
      <c r="DC82" s="1" t="s">
        <v>1765</v>
      </c>
      <c r="DD82" s="1" t="s">
        <v>1815</v>
      </c>
      <c r="DE82" s="1" t="s">
        <v>1816</v>
      </c>
      <c r="DF82" s="1" t="s">
        <v>1817</v>
      </c>
      <c r="DG82" s="1" t="s">
        <v>1818</v>
      </c>
      <c r="DH82" s="1" t="s">
        <v>1819</v>
      </c>
      <c r="DI82" s="1" t="s">
        <v>1820</v>
      </c>
      <c r="DJ82" s="1" t="s">
        <v>1821</v>
      </c>
      <c r="DK82" s="1" t="s">
        <v>1822</v>
      </c>
      <c r="DL82" s="1" t="s">
        <v>1765</v>
      </c>
      <c r="DM82" s="1" t="s">
        <v>1765</v>
      </c>
      <c r="DN82" s="1" t="s">
        <v>1823</v>
      </c>
      <c r="DO82" s="1" t="s">
        <v>1824</v>
      </c>
      <c r="DP82" s="1" t="s">
        <v>1824</v>
      </c>
      <c r="DQ82" s="1" t="s">
        <v>1765</v>
      </c>
      <c r="DR82" s="1" t="s">
        <v>1825</v>
      </c>
      <c r="DS82" s="1" t="s">
        <v>1816</v>
      </c>
      <c r="DT82" s="1" t="s">
        <v>1826</v>
      </c>
      <c r="DU82" s="1" t="s">
        <v>3414</v>
      </c>
      <c r="DV82" s="1" t="s">
        <v>2170</v>
      </c>
      <c r="DW82" s="1" t="s">
        <v>3415</v>
      </c>
      <c r="DX82" s="1" t="s">
        <v>424</v>
      </c>
      <c r="DY82" s="1" t="s">
        <v>1752</v>
      </c>
      <c r="DZ82" s="1" t="s">
        <v>218</v>
      </c>
      <c r="EA82" s="1" t="s">
        <v>892</v>
      </c>
      <c r="EB82" s="1" t="s">
        <v>2205</v>
      </c>
      <c r="EC82" s="1" t="s">
        <v>3416</v>
      </c>
      <c r="ED82" s="1" t="s">
        <v>3416</v>
      </c>
      <c r="EE82" s="1" t="s">
        <v>3417</v>
      </c>
      <c r="EF82" s="1" t="s">
        <v>1832</v>
      </c>
      <c r="EG82" s="1" t="s">
        <v>3418</v>
      </c>
      <c r="EH82" s="1" t="s">
        <v>2320</v>
      </c>
      <c r="EI82" s="1" t="s">
        <v>2786</v>
      </c>
      <c r="EJ82" s="1" t="s">
        <v>1836</v>
      </c>
      <c r="EK82" s="1" t="s">
        <v>1837</v>
      </c>
      <c r="EL82" s="1" t="s">
        <v>1838</v>
      </c>
      <c r="EM82" s="1" t="s">
        <v>3419</v>
      </c>
      <c r="EN82" s="1" t="s">
        <v>1840</v>
      </c>
      <c r="EO82" s="1" t="s">
        <v>2199</v>
      </c>
      <c r="EP82" s="1" t="s">
        <v>1782</v>
      </c>
      <c r="EQ82" s="1" t="s">
        <v>1802</v>
      </c>
      <c r="ER82" s="1" t="s">
        <v>1802</v>
      </c>
      <c r="ES82" s="1" t="s">
        <v>1802</v>
      </c>
      <c r="ET82" s="1" t="s">
        <v>1802</v>
      </c>
      <c r="EU82" s="1" t="s">
        <v>1802</v>
      </c>
      <c r="EV82" s="1" t="s">
        <v>1802</v>
      </c>
      <c r="EW82" s="1" t="s">
        <v>1802</v>
      </c>
      <c r="EX82" s="1" t="s">
        <v>1802</v>
      </c>
      <c r="EY82" s="1" t="s">
        <v>1802</v>
      </c>
      <c r="EZ82" s="1" t="s">
        <v>1802</v>
      </c>
      <c r="FA82" s="1" t="s">
        <v>1802</v>
      </c>
      <c r="FB82" s="1" t="s">
        <v>1802</v>
      </c>
      <c r="FC82" s="1" t="s">
        <v>1802</v>
      </c>
      <c r="FD82" s="1" t="s">
        <v>1802</v>
      </c>
      <c r="FE82" s="1" t="s">
        <v>1802</v>
      </c>
      <c r="FF82" s="1" t="s">
        <v>1802</v>
      </c>
      <c r="FG82" s="1" t="s">
        <v>1802</v>
      </c>
      <c r="FH82" s="1" t="s">
        <v>1802</v>
      </c>
      <c r="FI82" s="1" t="s">
        <v>1802</v>
      </c>
      <c r="FJ82" s="1" t="s">
        <v>1802</v>
      </c>
      <c r="FK82" s="1" t="s">
        <v>1802</v>
      </c>
      <c r="FL82" s="1" t="s">
        <v>1802</v>
      </c>
      <c r="FM82" s="1" t="s">
        <v>1802</v>
      </c>
      <c r="FN82" s="1" t="s">
        <v>1802</v>
      </c>
      <c r="FO82" s="1" t="s">
        <v>1802</v>
      </c>
      <c r="FP82" s="1" t="s">
        <v>1802</v>
      </c>
      <c r="FQ82" s="1" t="s">
        <v>1802</v>
      </c>
      <c r="FR82" s="2"/>
      <c r="FS82" s="1" t="s">
        <v>1802</v>
      </c>
    </row>
    <row r="83" spans="1:175" x14ac:dyDescent="0.3">
      <c r="A83" s="1" t="s">
        <v>3420</v>
      </c>
      <c r="B83" s="1" t="s">
        <v>1739</v>
      </c>
      <c r="C83" s="1" t="s">
        <v>1340</v>
      </c>
      <c r="D83" s="1" t="s">
        <v>1740</v>
      </c>
      <c r="E83" s="1" t="s">
        <v>3421</v>
      </c>
      <c r="F83" s="1" t="s">
        <v>3422</v>
      </c>
      <c r="G83" s="1" t="s">
        <v>3422</v>
      </c>
      <c r="H83" s="1" t="s">
        <v>3423</v>
      </c>
      <c r="I83" s="1" t="s">
        <v>1744</v>
      </c>
      <c r="J83" s="1" t="s">
        <v>1745</v>
      </c>
      <c r="K83" s="1" t="s">
        <v>1746</v>
      </c>
      <c r="L83" s="1" t="s">
        <v>1747</v>
      </c>
      <c r="M83" s="1" t="s">
        <v>1748</v>
      </c>
      <c r="N83" s="1" t="s">
        <v>1749</v>
      </c>
      <c r="O83" s="1" t="s">
        <v>1750</v>
      </c>
      <c r="P83" s="1" t="s">
        <v>1751</v>
      </c>
      <c r="Q83">
        <v>49</v>
      </c>
      <c r="R83" s="1" t="s">
        <v>1752</v>
      </c>
      <c r="S83" s="1" t="s">
        <v>1753</v>
      </c>
      <c r="T83" s="1" t="s">
        <v>1754</v>
      </c>
      <c r="U83" s="1" t="s">
        <v>1755</v>
      </c>
      <c r="V83" s="1" t="s">
        <v>1756</v>
      </c>
      <c r="W83">
        <v>72</v>
      </c>
      <c r="X83">
        <v>72</v>
      </c>
      <c r="Y83" s="1" t="s">
        <v>1757</v>
      </c>
      <c r="Z83" s="2">
        <v>36999</v>
      </c>
      <c r="AA83" s="1" t="s">
        <v>3424</v>
      </c>
      <c r="AB83" s="1" t="s">
        <v>1755</v>
      </c>
      <c r="AC83" s="1" t="s">
        <v>2160</v>
      </c>
      <c r="AD83" s="1" t="s">
        <v>424</v>
      </c>
      <c r="AE83" s="1" t="s">
        <v>1760</v>
      </c>
      <c r="AF83" s="1" t="s">
        <v>3425</v>
      </c>
      <c r="AG83" s="1" t="s">
        <v>1762</v>
      </c>
      <c r="AH83" s="1" t="s">
        <v>3424</v>
      </c>
      <c r="AI83" s="1" t="s">
        <v>3424</v>
      </c>
      <c r="AJ83" s="1" t="s">
        <v>1763</v>
      </c>
      <c r="AK83" s="1" t="s">
        <v>1763</v>
      </c>
      <c r="AL83" s="1" t="s">
        <v>1763</v>
      </c>
      <c r="AM83" s="1" t="s">
        <v>2160</v>
      </c>
      <c r="AN83" s="1" t="s">
        <v>424</v>
      </c>
      <c r="AO83" s="1" t="s">
        <v>3426</v>
      </c>
      <c r="AP83" s="1" t="s">
        <v>1765</v>
      </c>
      <c r="AQ83" s="1" t="s">
        <v>1766</v>
      </c>
      <c r="AR83" s="1" t="s">
        <v>1767</v>
      </c>
      <c r="AS83" s="1" t="s">
        <v>1768</v>
      </c>
      <c r="AT83">
        <v>2009150923181390</v>
      </c>
      <c r="AU83" s="1" t="s">
        <v>1769</v>
      </c>
      <c r="AV83">
        <v>76853093556041</v>
      </c>
      <c r="AW83" s="1" t="s">
        <v>1770</v>
      </c>
      <c r="AX83" s="1" t="s">
        <v>1765</v>
      </c>
      <c r="AY83" s="1" t="s">
        <v>3427</v>
      </c>
      <c r="AZ83" s="1" t="s">
        <v>1897</v>
      </c>
      <c r="BA83" s="1" t="s">
        <v>3428</v>
      </c>
      <c r="BB83">
        <v>123</v>
      </c>
      <c r="BC83" s="1" t="s">
        <v>1774</v>
      </c>
      <c r="BD83" s="1" t="s">
        <v>1775</v>
      </c>
      <c r="BE83" s="1" t="s">
        <v>1776</v>
      </c>
      <c r="BF83" s="1" t="s">
        <v>1777</v>
      </c>
      <c r="BG83" s="1" t="s">
        <v>1778</v>
      </c>
      <c r="BH83" s="1" t="s">
        <v>1779</v>
      </c>
      <c r="BI83" s="1" t="s">
        <v>1779</v>
      </c>
      <c r="BJ83" s="1" t="s">
        <v>1780</v>
      </c>
      <c r="BK83" s="1" t="s">
        <v>1781</v>
      </c>
      <c r="BL83" s="1" t="s">
        <v>1754</v>
      </c>
      <c r="BM83" s="1" t="s">
        <v>1782</v>
      </c>
      <c r="BN83" s="1" t="s">
        <v>1783</v>
      </c>
      <c r="BO83" s="1" t="s">
        <v>1784</v>
      </c>
      <c r="BP83" s="1" t="s">
        <v>1785</v>
      </c>
      <c r="BQ83" s="1" t="s">
        <v>1786</v>
      </c>
      <c r="BR83" s="1" t="s">
        <v>3429</v>
      </c>
      <c r="BS83" s="1" t="s">
        <v>1788</v>
      </c>
      <c r="BT83" s="1" t="s">
        <v>3430</v>
      </c>
      <c r="BU83" s="1" t="s">
        <v>1790</v>
      </c>
      <c r="BV83" s="1" t="s">
        <v>3431</v>
      </c>
      <c r="BW83" s="1" t="s">
        <v>1790</v>
      </c>
      <c r="BX83" s="1" t="s">
        <v>3431</v>
      </c>
      <c r="BY83" s="1" t="s">
        <v>3167</v>
      </c>
      <c r="BZ83" s="1" t="s">
        <v>2144</v>
      </c>
      <c r="CA83" s="1" t="s">
        <v>1794</v>
      </c>
      <c r="CB83" s="1" t="s">
        <v>1795</v>
      </c>
      <c r="CC83" s="1" t="s">
        <v>1796</v>
      </c>
      <c r="CD83" s="1" t="s">
        <v>1797</v>
      </c>
      <c r="CE83" s="1" t="s">
        <v>1798</v>
      </c>
      <c r="CF83" s="1" t="s">
        <v>1799</v>
      </c>
      <c r="CG83" s="1" t="s">
        <v>1800</v>
      </c>
      <c r="CH83" s="1" t="s">
        <v>1794</v>
      </c>
      <c r="CI83" s="1" t="s">
        <v>1801</v>
      </c>
      <c r="CJ83" s="1" t="s">
        <v>1794</v>
      </c>
      <c r="CK83" s="1" t="s">
        <v>1802</v>
      </c>
      <c r="CL83" s="1" t="s">
        <v>1803</v>
      </c>
      <c r="CM83" s="1" t="s">
        <v>1804</v>
      </c>
      <c r="CN83" s="1" t="s">
        <v>1805</v>
      </c>
      <c r="CO83" s="1" t="s">
        <v>1794</v>
      </c>
      <c r="CP83" s="1" t="s">
        <v>1806</v>
      </c>
      <c r="CQ83" s="1" t="s">
        <v>1807</v>
      </c>
      <c r="CR83" s="1" t="s">
        <v>1808</v>
      </c>
      <c r="CS83" s="1" t="s">
        <v>1809</v>
      </c>
      <c r="CT83" s="1" t="s">
        <v>1810</v>
      </c>
      <c r="CU83" s="1" t="s">
        <v>1811</v>
      </c>
      <c r="CV83" s="1" t="s">
        <v>1812</v>
      </c>
      <c r="CW83" s="1" t="s">
        <v>1813</v>
      </c>
      <c r="CX83" s="1" t="s">
        <v>1814</v>
      </c>
      <c r="CY83" s="1" t="s">
        <v>1813</v>
      </c>
      <c r="CZ83" s="1" t="s">
        <v>1813</v>
      </c>
      <c r="DA83" s="1" t="s">
        <v>1775</v>
      </c>
      <c r="DB83" s="1" t="s">
        <v>1776</v>
      </c>
      <c r="DC83" s="1" t="s">
        <v>1752</v>
      </c>
      <c r="DD83" s="1" t="s">
        <v>1765</v>
      </c>
      <c r="DE83" s="1" t="s">
        <v>1815</v>
      </c>
      <c r="DF83" s="1" t="s">
        <v>1816</v>
      </c>
      <c r="DG83" s="1" t="s">
        <v>1817</v>
      </c>
      <c r="DH83" s="1" t="s">
        <v>1818</v>
      </c>
      <c r="DI83" s="1" t="s">
        <v>1819</v>
      </c>
      <c r="DJ83" s="1" t="s">
        <v>1820</v>
      </c>
      <c r="DK83" s="1" t="s">
        <v>1821</v>
      </c>
      <c r="DL83" s="1" t="s">
        <v>1822</v>
      </c>
      <c r="DM83" s="1" t="s">
        <v>1765</v>
      </c>
      <c r="DN83" s="1" t="s">
        <v>1765</v>
      </c>
      <c r="DO83" s="1" t="s">
        <v>1823</v>
      </c>
      <c r="DP83" s="1" t="s">
        <v>1824</v>
      </c>
      <c r="DQ83" s="1" t="s">
        <v>1824</v>
      </c>
      <c r="DR83" s="1" t="s">
        <v>1765</v>
      </c>
      <c r="DS83" s="1" t="s">
        <v>1825</v>
      </c>
      <c r="DT83" s="1" t="s">
        <v>1816</v>
      </c>
      <c r="DU83" s="1" t="s">
        <v>1826</v>
      </c>
      <c r="DV83" s="1" t="s">
        <v>3432</v>
      </c>
      <c r="DW83" s="1" t="s">
        <v>2170</v>
      </c>
      <c r="DX83" s="1" t="s">
        <v>3433</v>
      </c>
      <c r="DY83" s="1" t="s">
        <v>424</v>
      </c>
      <c r="DZ83" s="1" t="s">
        <v>1752</v>
      </c>
      <c r="EA83" s="1" t="s">
        <v>218</v>
      </c>
      <c r="EB83" s="1" t="s">
        <v>892</v>
      </c>
      <c r="EC83" s="1" t="s">
        <v>2160</v>
      </c>
      <c r="ED83" s="1" t="s">
        <v>3434</v>
      </c>
      <c r="EE83" s="1" t="s">
        <v>3434</v>
      </c>
      <c r="EF83" s="1" t="s">
        <v>3435</v>
      </c>
      <c r="EG83" s="1" t="s">
        <v>2149</v>
      </c>
      <c r="EH83" s="1" t="s">
        <v>3436</v>
      </c>
      <c r="EI83" s="1" t="s">
        <v>2087</v>
      </c>
      <c r="EJ83" s="1" t="s">
        <v>2283</v>
      </c>
      <c r="EK83" s="1" t="s">
        <v>1836</v>
      </c>
      <c r="EL83" s="1" t="s">
        <v>1837</v>
      </c>
      <c r="EM83" s="1" t="s">
        <v>1838</v>
      </c>
      <c r="EN83" s="1" t="s">
        <v>3437</v>
      </c>
      <c r="EO83" s="1" t="s">
        <v>1840</v>
      </c>
      <c r="EP83" s="1" t="s">
        <v>441</v>
      </c>
      <c r="EQ83" s="1" t="s">
        <v>1782</v>
      </c>
      <c r="ER83" s="1" t="s">
        <v>1802</v>
      </c>
      <c r="ES83" s="1" t="s">
        <v>1802</v>
      </c>
      <c r="ET83" s="1" t="s">
        <v>1802</v>
      </c>
      <c r="EU83" s="1" t="s">
        <v>1802</v>
      </c>
      <c r="EV83" s="1" t="s">
        <v>1802</v>
      </c>
      <c r="EW83" s="1" t="s">
        <v>1802</v>
      </c>
      <c r="EX83" s="1" t="s">
        <v>1802</v>
      </c>
      <c r="EY83" s="1" t="s">
        <v>1802</v>
      </c>
      <c r="EZ83" s="1" t="s">
        <v>1802</v>
      </c>
      <c r="FA83" s="1" t="s">
        <v>1802</v>
      </c>
      <c r="FB83" s="1" t="s">
        <v>1802</v>
      </c>
      <c r="FC83" s="1" t="s">
        <v>1802</v>
      </c>
      <c r="FD83" s="1" t="s">
        <v>1802</v>
      </c>
      <c r="FE83" s="1" t="s">
        <v>1802</v>
      </c>
      <c r="FF83" s="1" t="s">
        <v>1802</v>
      </c>
      <c r="FG83" s="1" t="s">
        <v>1802</v>
      </c>
      <c r="FH83" s="1" t="s">
        <v>1802</v>
      </c>
      <c r="FI83" s="1" t="s">
        <v>1802</v>
      </c>
      <c r="FJ83" s="1" t="s">
        <v>1802</v>
      </c>
      <c r="FK83" s="1" t="s">
        <v>1802</v>
      </c>
      <c r="FL83" s="1" t="s">
        <v>1802</v>
      </c>
      <c r="FM83" s="1" t="s">
        <v>1802</v>
      </c>
      <c r="FN83" s="1" t="s">
        <v>1802</v>
      </c>
      <c r="FO83" s="1" t="s">
        <v>1802</v>
      </c>
      <c r="FP83" s="1" t="s">
        <v>1802</v>
      </c>
      <c r="FQ83" s="1" t="s">
        <v>1802</v>
      </c>
      <c r="FR83" s="2"/>
      <c r="FS83" s="1" t="s">
        <v>1802</v>
      </c>
    </row>
    <row r="84" spans="1:175" x14ac:dyDescent="0.3">
      <c r="A84" s="1" t="s">
        <v>3438</v>
      </c>
      <c r="B84" s="1" t="s">
        <v>1739</v>
      </c>
      <c r="C84" s="1" t="s">
        <v>1357</v>
      </c>
      <c r="D84" s="1" t="s">
        <v>1740</v>
      </c>
      <c r="E84" s="1" t="s">
        <v>2577</v>
      </c>
      <c r="F84" s="1" t="s">
        <v>3439</v>
      </c>
      <c r="G84" s="1" t="s">
        <v>3439</v>
      </c>
      <c r="H84" s="1" t="s">
        <v>1915</v>
      </c>
      <c r="I84" s="1" t="s">
        <v>1744</v>
      </c>
      <c r="J84" s="1" t="s">
        <v>1745</v>
      </c>
      <c r="K84" s="1" t="s">
        <v>1746</v>
      </c>
      <c r="L84" s="1" t="s">
        <v>1747</v>
      </c>
      <c r="M84" s="1" t="s">
        <v>1748</v>
      </c>
      <c r="N84" s="1" t="s">
        <v>1749</v>
      </c>
      <c r="O84" s="1" t="s">
        <v>1750</v>
      </c>
      <c r="P84" s="1" t="s">
        <v>1751</v>
      </c>
      <c r="Q84">
        <v>49</v>
      </c>
      <c r="R84" s="1" t="s">
        <v>1752</v>
      </c>
      <c r="S84" s="1" t="s">
        <v>1753</v>
      </c>
      <c r="T84" s="1" t="s">
        <v>1754</v>
      </c>
      <c r="U84" s="1" t="s">
        <v>1755</v>
      </c>
      <c r="V84" s="1" t="s">
        <v>1756</v>
      </c>
      <c r="W84">
        <v>72</v>
      </c>
      <c r="X84">
        <v>72</v>
      </c>
      <c r="Y84" s="1" t="s">
        <v>1757</v>
      </c>
      <c r="Z84" s="2">
        <v>36999</v>
      </c>
      <c r="AA84" s="1" t="s">
        <v>3440</v>
      </c>
      <c r="AB84" s="1" t="s">
        <v>1755</v>
      </c>
      <c r="AC84" s="1" t="s">
        <v>3441</v>
      </c>
      <c r="AD84" s="1" t="s">
        <v>424</v>
      </c>
      <c r="AE84" s="1" t="s">
        <v>1760</v>
      </c>
      <c r="AF84" s="1" t="s">
        <v>1761</v>
      </c>
      <c r="AG84" s="1" t="s">
        <v>1762</v>
      </c>
      <c r="AH84" s="1" t="s">
        <v>3440</v>
      </c>
      <c r="AI84" s="1" t="s">
        <v>3440</v>
      </c>
      <c r="AJ84" s="1" t="s">
        <v>1763</v>
      </c>
      <c r="AK84" s="1" t="s">
        <v>1763</v>
      </c>
      <c r="AL84" s="1" t="s">
        <v>1763</v>
      </c>
      <c r="AM84" s="1" t="s">
        <v>3441</v>
      </c>
      <c r="AN84" s="1" t="s">
        <v>424</v>
      </c>
      <c r="AO84" s="1" t="s">
        <v>3442</v>
      </c>
      <c r="AP84" s="1" t="s">
        <v>1765</v>
      </c>
      <c r="AQ84" s="1" t="s">
        <v>1766</v>
      </c>
      <c r="AR84" s="1" t="s">
        <v>1767</v>
      </c>
      <c r="AS84" s="1" t="s">
        <v>1768</v>
      </c>
      <c r="AT84">
        <v>2009150923181390</v>
      </c>
      <c r="AU84" s="1" t="s">
        <v>1769</v>
      </c>
      <c r="AV84">
        <v>88809962869458</v>
      </c>
      <c r="AW84" s="1" t="s">
        <v>1770</v>
      </c>
      <c r="AX84" s="1" t="s">
        <v>1765</v>
      </c>
      <c r="AY84" s="1" t="s">
        <v>3443</v>
      </c>
      <c r="AZ84" s="1" t="s">
        <v>1897</v>
      </c>
      <c r="BA84" s="1" t="s">
        <v>1773</v>
      </c>
      <c r="BB84">
        <v>621</v>
      </c>
      <c r="BC84" s="1" t="s">
        <v>1774</v>
      </c>
      <c r="BD84" s="1" t="s">
        <v>1775</v>
      </c>
      <c r="BE84" s="1" t="s">
        <v>1776</v>
      </c>
      <c r="BF84" s="1" t="s">
        <v>1777</v>
      </c>
      <c r="BG84" s="1" t="s">
        <v>1778</v>
      </c>
      <c r="BH84" s="1" t="s">
        <v>1779</v>
      </c>
      <c r="BI84" s="1" t="s">
        <v>1779</v>
      </c>
      <c r="BJ84" s="1" t="s">
        <v>1780</v>
      </c>
      <c r="BK84" s="1" t="s">
        <v>1781</v>
      </c>
      <c r="BL84" s="1" t="s">
        <v>1754</v>
      </c>
      <c r="BM84" s="1" t="s">
        <v>1782</v>
      </c>
      <c r="BN84" s="1" t="s">
        <v>1783</v>
      </c>
      <c r="BO84" s="1" t="s">
        <v>1784</v>
      </c>
      <c r="BP84" s="1" t="s">
        <v>1785</v>
      </c>
      <c r="BQ84" s="1" t="s">
        <v>1786</v>
      </c>
      <c r="BR84" s="1" t="s">
        <v>3444</v>
      </c>
      <c r="BS84" s="1" t="s">
        <v>1788</v>
      </c>
      <c r="BT84" s="1" t="s">
        <v>1765</v>
      </c>
      <c r="BU84" s="1" t="s">
        <v>1790</v>
      </c>
      <c r="BV84" s="1" t="s">
        <v>3445</v>
      </c>
      <c r="BW84" s="1" t="s">
        <v>1790</v>
      </c>
      <c r="BX84" s="1" t="s">
        <v>3445</v>
      </c>
      <c r="BY84" s="1" t="s">
        <v>3446</v>
      </c>
      <c r="BZ84" s="1" t="s">
        <v>3447</v>
      </c>
      <c r="CA84" s="1" t="s">
        <v>1794</v>
      </c>
      <c r="CB84" s="1" t="s">
        <v>1795</v>
      </c>
      <c r="CC84" s="1" t="s">
        <v>1796</v>
      </c>
      <c r="CD84" s="1" t="s">
        <v>1797</v>
      </c>
      <c r="CE84" s="1" t="s">
        <v>1798</v>
      </c>
      <c r="CF84" s="1" t="s">
        <v>1799</v>
      </c>
      <c r="CG84" s="1" t="s">
        <v>1800</v>
      </c>
      <c r="CH84" s="1" t="s">
        <v>1794</v>
      </c>
      <c r="CI84" s="1" t="s">
        <v>1801</v>
      </c>
      <c r="CJ84" s="1" t="s">
        <v>1794</v>
      </c>
      <c r="CK84" s="1" t="s">
        <v>1802</v>
      </c>
      <c r="CL84" s="1" t="s">
        <v>1803</v>
      </c>
      <c r="CM84" s="1" t="s">
        <v>1804</v>
      </c>
      <c r="CN84" s="1" t="s">
        <v>1805</v>
      </c>
      <c r="CO84" s="1" t="s">
        <v>1794</v>
      </c>
      <c r="CP84" s="1" t="s">
        <v>1806</v>
      </c>
      <c r="CQ84" s="1" t="s">
        <v>1807</v>
      </c>
      <c r="CR84" s="1" t="s">
        <v>1808</v>
      </c>
      <c r="CS84" s="1" t="s">
        <v>1809</v>
      </c>
      <c r="CT84" s="1" t="s">
        <v>1810</v>
      </c>
      <c r="CU84" s="1" t="s">
        <v>1811</v>
      </c>
      <c r="CV84" s="1" t="s">
        <v>1812</v>
      </c>
      <c r="CW84" s="1" t="s">
        <v>1813</v>
      </c>
      <c r="CX84" s="1" t="s">
        <v>1814</v>
      </c>
      <c r="CY84" s="1" t="s">
        <v>1813</v>
      </c>
      <c r="CZ84" s="1" t="s">
        <v>1813</v>
      </c>
      <c r="DA84" s="1" t="s">
        <v>1775</v>
      </c>
      <c r="DB84" s="1" t="s">
        <v>1776</v>
      </c>
      <c r="DC84" s="1" t="s">
        <v>1752</v>
      </c>
      <c r="DD84" s="1" t="s">
        <v>1765</v>
      </c>
      <c r="DE84" s="1" t="s">
        <v>1815</v>
      </c>
      <c r="DF84" s="1" t="s">
        <v>1816</v>
      </c>
      <c r="DG84" s="1" t="s">
        <v>1817</v>
      </c>
      <c r="DH84" s="1" t="s">
        <v>1818</v>
      </c>
      <c r="DI84" s="1" t="s">
        <v>1819</v>
      </c>
      <c r="DJ84" s="1" t="s">
        <v>1820</v>
      </c>
      <c r="DK84" s="1" t="s">
        <v>1821</v>
      </c>
      <c r="DL84" s="1" t="s">
        <v>1822</v>
      </c>
      <c r="DM84" s="1" t="s">
        <v>1765</v>
      </c>
      <c r="DN84" s="1" t="s">
        <v>1765</v>
      </c>
      <c r="DO84" s="1" t="s">
        <v>1823</v>
      </c>
      <c r="DP84" s="1" t="s">
        <v>1824</v>
      </c>
      <c r="DQ84" s="1" t="s">
        <v>1824</v>
      </c>
      <c r="DR84" s="1" t="s">
        <v>1765</v>
      </c>
      <c r="DS84" s="1" t="s">
        <v>1825</v>
      </c>
      <c r="DT84" s="1" t="s">
        <v>1816</v>
      </c>
      <c r="DU84" s="1" t="s">
        <v>1826</v>
      </c>
      <c r="DV84" s="1" t="s">
        <v>3448</v>
      </c>
      <c r="DW84" s="1" t="s">
        <v>1828</v>
      </c>
      <c r="DX84" s="1" t="s">
        <v>3449</v>
      </c>
      <c r="DY84" s="1" t="s">
        <v>424</v>
      </c>
      <c r="DZ84" s="1" t="s">
        <v>1752</v>
      </c>
      <c r="EA84" s="1" t="s">
        <v>218</v>
      </c>
      <c r="EB84" s="1" t="s">
        <v>892</v>
      </c>
      <c r="EC84" s="1" t="s">
        <v>3441</v>
      </c>
      <c r="ED84" s="1" t="s">
        <v>3450</v>
      </c>
      <c r="EE84" s="1" t="s">
        <v>3450</v>
      </c>
      <c r="EF84" s="1" t="s">
        <v>3451</v>
      </c>
      <c r="EG84" s="1" t="s">
        <v>1973</v>
      </c>
      <c r="EH84" s="1" t="s">
        <v>3452</v>
      </c>
      <c r="EI84" s="1" t="s">
        <v>1834</v>
      </c>
      <c r="EJ84" s="1" t="s">
        <v>3288</v>
      </c>
      <c r="EK84" s="1" t="s">
        <v>1836</v>
      </c>
      <c r="EL84" s="1" t="s">
        <v>1837</v>
      </c>
      <c r="EM84" s="1" t="s">
        <v>1838</v>
      </c>
      <c r="EN84" s="1" t="s">
        <v>3289</v>
      </c>
      <c r="EO84" s="1" t="s">
        <v>1840</v>
      </c>
      <c r="EP84" s="1" t="s">
        <v>1978</v>
      </c>
      <c r="EQ84" s="1" t="s">
        <v>1782</v>
      </c>
      <c r="ER84" s="1" t="s">
        <v>1802</v>
      </c>
      <c r="ES84" s="1" t="s">
        <v>1802</v>
      </c>
      <c r="ET84" s="1" t="s">
        <v>1802</v>
      </c>
      <c r="EU84" s="1" t="s">
        <v>1802</v>
      </c>
      <c r="EV84" s="1" t="s">
        <v>1802</v>
      </c>
      <c r="EW84" s="1" t="s">
        <v>1802</v>
      </c>
      <c r="EX84" s="1" t="s">
        <v>1802</v>
      </c>
      <c r="EY84" s="1" t="s">
        <v>1802</v>
      </c>
      <c r="EZ84" s="1" t="s">
        <v>1802</v>
      </c>
      <c r="FA84" s="1" t="s">
        <v>1802</v>
      </c>
      <c r="FB84" s="1" t="s">
        <v>1802</v>
      </c>
      <c r="FC84" s="1" t="s">
        <v>1802</v>
      </c>
      <c r="FD84" s="1" t="s">
        <v>1802</v>
      </c>
      <c r="FE84" s="1" t="s">
        <v>1802</v>
      </c>
      <c r="FF84" s="1" t="s">
        <v>1802</v>
      </c>
      <c r="FG84" s="1" t="s">
        <v>1802</v>
      </c>
      <c r="FH84" s="1" t="s">
        <v>1802</v>
      </c>
      <c r="FI84" s="1" t="s">
        <v>1802</v>
      </c>
      <c r="FJ84" s="1" t="s">
        <v>1802</v>
      </c>
      <c r="FK84" s="1" t="s">
        <v>1802</v>
      </c>
      <c r="FL84" s="1" t="s">
        <v>1802</v>
      </c>
      <c r="FM84" s="1" t="s">
        <v>1802</v>
      </c>
      <c r="FN84" s="1" t="s">
        <v>1802</v>
      </c>
      <c r="FO84" s="1" t="s">
        <v>1802</v>
      </c>
      <c r="FP84" s="1" t="s">
        <v>1802</v>
      </c>
      <c r="FQ84" s="1" t="s">
        <v>1802</v>
      </c>
      <c r="FR84" s="2"/>
      <c r="FS84" s="1" t="s">
        <v>1802</v>
      </c>
    </row>
    <row r="85" spans="1:175" x14ac:dyDescent="0.3">
      <c r="A85" s="1" t="s">
        <v>3453</v>
      </c>
      <c r="B85" s="1" t="s">
        <v>1739</v>
      </c>
      <c r="C85" s="1" t="s">
        <v>1370</v>
      </c>
      <c r="D85" s="1" t="s">
        <v>1740</v>
      </c>
      <c r="E85" s="1" t="s">
        <v>2715</v>
      </c>
      <c r="F85" s="1" t="s">
        <v>3454</v>
      </c>
      <c r="G85" s="1" t="s">
        <v>3454</v>
      </c>
      <c r="H85" s="1" t="s">
        <v>3455</v>
      </c>
      <c r="I85" s="1" t="s">
        <v>1744</v>
      </c>
      <c r="J85" s="1" t="s">
        <v>1745</v>
      </c>
      <c r="K85" s="1" t="s">
        <v>1746</v>
      </c>
      <c r="L85" s="1" t="s">
        <v>1747</v>
      </c>
      <c r="M85" s="1" t="s">
        <v>1748</v>
      </c>
      <c r="N85" s="1" t="s">
        <v>1749</v>
      </c>
      <c r="O85" s="1" t="s">
        <v>1750</v>
      </c>
      <c r="P85" s="1" t="s">
        <v>1751</v>
      </c>
      <c r="Q85">
        <v>49</v>
      </c>
      <c r="R85" s="1" t="s">
        <v>1752</v>
      </c>
      <c r="S85" s="1" t="s">
        <v>1753</v>
      </c>
      <c r="T85" s="1" t="s">
        <v>1754</v>
      </c>
      <c r="U85" s="1" t="s">
        <v>1755</v>
      </c>
      <c r="V85" s="1" t="s">
        <v>1756</v>
      </c>
      <c r="W85">
        <v>72</v>
      </c>
      <c r="X85">
        <v>72</v>
      </c>
      <c r="Y85" s="1" t="s">
        <v>1757</v>
      </c>
      <c r="Z85" s="2">
        <v>36999</v>
      </c>
      <c r="AA85" s="1" t="s">
        <v>3456</v>
      </c>
      <c r="AB85" s="1" t="s">
        <v>1755</v>
      </c>
      <c r="AC85" s="1" t="s">
        <v>3457</v>
      </c>
      <c r="AD85" s="1" t="s">
        <v>424</v>
      </c>
      <c r="AE85" s="1" t="s">
        <v>1760</v>
      </c>
      <c r="AF85" s="1" t="s">
        <v>1761</v>
      </c>
      <c r="AG85" s="1" t="s">
        <v>1762</v>
      </c>
      <c r="AH85" s="1" t="s">
        <v>3456</v>
      </c>
      <c r="AI85" s="1" t="s">
        <v>3456</v>
      </c>
      <c r="AJ85" s="1" t="s">
        <v>1763</v>
      </c>
      <c r="AK85" s="1" t="s">
        <v>1763</v>
      </c>
      <c r="AL85" s="1" t="s">
        <v>1763</v>
      </c>
      <c r="AM85" s="1" t="s">
        <v>3457</v>
      </c>
      <c r="AN85" s="1" t="s">
        <v>424</v>
      </c>
      <c r="AO85" s="1" t="s">
        <v>3458</v>
      </c>
      <c r="AP85" s="1" t="s">
        <v>1765</v>
      </c>
      <c r="AQ85" s="1" t="s">
        <v>1766</v>
      </c>
      <c r="AR85" s="1" t="s">
        <v>1767</v>
      </c>
      <c r="AS85" s="1" t="s">
        <v>1768</v>
      </c>
      <c r="AT85">
        <v>2010150922131390</v>
      </c>
      <c r="AU85" s="1" t="s">
        <v>1769</v>
      </c>
      <c r="AV85">
        <v>92027644561791</v>
      </c>
      <c r="AW85" s="1" t="s">
        <v>1770</v>
      </c>
      <c r="AX85" s="1" t="s">
        <v>1765</v>
      </c>
      <c r="AY85" s="1" t="s">
        <v>3459</v>
      </c>
      <c r="AZ85" s="1" t="s">
        <v>1897</v>
      </c>
      <c r="BA85" s="1" t="s">
        <v>3460</v>
      </c>
      <c r="BB85">
        <v>738</v>
      </c>
      <c r="BC85" s="1" t="s">
        <v>1774</v>
      </c>
      <c r="BD85" s="1" t="s">
        <v>1775</v>
      </c>
      <c r="BE85" s="1" t="s">
        <v>1776</v>
      </c>
      <c r="BF85" s="1" t="s">
        <v>1777</v>
      </c>
      <c r="BG85" s="1" t="s">
        <v>1778</v>
      </c>
      <c r="BH85" s="1" t="s">
        <v>1779</v>
      </c>
      <c r="BI85" s="1" t="s">
        <v>1779</v>
      </c>
      <c r="BJ85" s="1" t="s">
        <v>1780</v>
      </c>
      <c r="BK85" s="1" t="s">
        <v>1781</v>
      </c>
      <c r="BL85" s="1" t="s">
        <v>1754</v>
      </c>
      <c r="BM85" s="1" t="s">
        <v>1782</v>
      </c>
      <c r="BN85" s="1" t="s">
        <v>1783</v>
      </c>
      <c r="BO85" s="1" t="s">
        <v>1784</v>
      </c>
      <c r="BP85" s="1" t="s">
        <v>1785</v>
      </c>
      <c r="BQ85" s="1" t="s">
        <v>1786</v>
      </c>
      <c r="BR85" s="1" t="s">
        <v>3461</v>
      </c>
      <c r="BS85" s="1" t="s">
        <v>1788</v>
      </c>
      <c r="BT85" s="1" t="s">
        <v>3462</v>
      </c>
      <c r="BU85" s="1" t="s">
        <v>1790</v>
      </c>
      <c r="BV85" s="1" t="s">
        <v>3463</v>
      </c>
      <c r="BW85" s="1" t="s">
        <v>1790</v>
      </c>
      <c r="BX85" s="1" t="s">
        <v>3463</v>
      </c>
      <c r="BY85" s="1" t="s">
        <v>3446</v>
      </c>
      <c r="BZ85" s="1" t="s">
        <v>3464</v>
      </c>
      <c r="CA85" s="1" t="s">
        <v>1794</v>
      </c>
      <c r="CB85" s="1" t="s">
        <v>1795</v>
      </c>
      <c r="CC85" s="1" t="s">
        <v>1796</v>
      </c>
      <c r="CD85" s="1" t="s">
        <v>1797</v>
      </c>
      <c r="CE85" s="1" t="s">
        <v>1798</v>
      </c>
      <c r="CF85" s="1" t="s">
        <v>1799</v>
      </c>
      <c r="CG85" s="1" t="s">
        <v>1800</v>
      </c>
      <c r="CH85" s="1" t="s">
        <v>1794</v>
      </c>
      <c r="CI85" s="1" t="s">
        <v>1801</v>
      </c>
      <c r="CJ85" s="1" t="s">
        <v>1794</v>
      </c>
      <c r="CK85" s="1" t="s">
        <v>1802</v>
      </c>
      <c r="CL85" s="1" t="s">
        <v>1803</v>
      </c>
      <c r="CM85" s="1" t="s">
        <v>1804</v>
      </c>
      <c r="CN85" s="1" t="s">
        <v>1805</v>
      </c>
      <c r="CO85" s="1" t="s">
        <v>1794</v>
      </c>
      <c r="CP85" s="1" t="s">
        <v>1806</v>
      </c>
      <c r="CQ85" s="1" t="s">
        <v>1807</v>
      </c>
      <c r="CR85" s="1" t="s">
        <v>1808</v>
      </c>
      <c r="CS85" s="1" t="s">
        <v>1809</v>
      </c>
      <c r="CT85" s="1" t="s">
        <v>1810</v>
      </c>
      <c r="CU85" s="1" t="s">
        <v>1811</v>
      </c>
      <c r="CV85" s="1" t="s">
        <v>1812</v>
      </c>
      <c r="CW85" s="1" t="s">
        <v>1813</v>
      </c>
      <c r="CX85" s="1" t="s">
        <v>1814</v>
      </c>
      <c r="CY85" s="1" t="s">
        <v>1813</v>
      </c>
      <c r="CZ85" s="1" t="s">
        <v>1813</v>
      </c>
      <c r="DA85" s="1" t="s">
        <v>1775</v>
      </c>
      <c r="DB85" s="1" t="s">
        <v>1776</v>
      </c>
      <c r="DC85" s="1" t="s">
        <v>1752</v>
      </c>
      <c r="DD85" s="1" t="s">
        <v>1765</v>
      </c>
      <c r="DE85" s="1" t="s">
        <v>1815</v>
      </c>
      <c r="DF85" s="1" t="s">
        <v>1816</v>
      </c>
      <c r="DG85" s="1" t="s">
        <v>1817</v>
      </c>
      <c r="DH85" s="1" t="s">
        <v>1818</v>
      </c>
      <c r="DI85" s="1" t="s">
        <v>1819</v>
      </c>
      <c r="DJ85" s="1" t="s">
        <v>1820</v>
      </c>
      <c r="DK85" s="1" t="s">
        <v>1821</v>
      </c>
      <c r="DL85" s="1" t="s">
        <v>1822</v>
      </c>
      <c r="DM85" s="1" t="s">
        <v>1765</v>
      </c>
      <c r="DN85" s="1" t="s">
        <v>1765</v>
      </c>
      <c r="DO85" s="1" t="s">
        <v>1823</v>
      </c>
      <c r="DP85" s="1" t="s">
        <v>1824</v>
      </c>
      <c r="DQ85" s="1" t="s">
        <v>1824</v>
      </c>
      <c r="DR85" s="1" t="s">
        <v>1765</v>
      </c>
      <c r="DS85" s="1" t="s">
        <v>1825</v>
      </c>
      <c r="DT85" s="1" t="s">
        <v>1816</v>
      </c>
      <c r="DU85" s="1" t="s">
        <v>1826</v>
      </c>
      <c r="DV85" s="1" t="s">
        <v>3465</v>
      </c>
      <c r="DW85" s="1" t="s">
        <v>1828</v>
      </c>
      <c r="DX85" s="1" t="s">
        <v>3466</v>
      </c>
      <c r="DY85" s="1" t="s">
        <v>424</v>
      </c>
      <c r="DZ85" s="1" t="s">
        <v>1752</v>
      </c>
      <c r="EA85" s="1" t="s">
        <v>218</v>
      </c>
      <c r="EB85" s="1" t="s">
        <v>892</v>
      </c>
      <c r="EC85" s="1" t="s">
        <v>3457</v>
      </c>
      <c r="ED85" s="1" t="s">
        <v>3467</v>
      </c>
      <c r="EE85" s="1" t="s">
        <v>3467</v>
      </c>
      <c r="EF85" s="1" t="s">
        <v>3468</v>
      </c>
      <c r="EG85" s="1" t="s">
        <v>2218</v>
      </c>
      <c r="EH85" s="1" t="s">
        <v>3469</v>
      </c>
      <c r="EI85" s="1" t="s">
        <v>2220</v>
      </c>
      <c r="EJ85" s="1" t="s">
        <v>3307</v>
      </c>
      <c r="EK85" s="1" t="s">
        <v>1836</v>
      </c>
      <c r="EL85" s="1" t="s">
        <v>1837</v>
      </c>
      <c r="EM85" s="1" t="s">
        <v>1838</v>
      </c>
      <c r="EN85" s="1" t="s">
        <v>3470</v>
      </c>
      <c r="EO85" s="1" t="s">
        <v>1840</v>
      </c>
      <c r="EP85" s="1" t="s">
        <v>549</v>
      </c>
      <c r="EQ85" s="1" t="s">
        <v>1782</v>
      </c>
      <c r="ER85" s="1" t="s">
        <v>1802</v>
      </c>
      <c r="ES85" s="1" t="s">
        <v>1802</v>
      </c>
      <c r="ET85" s="1" t="s">
        <v>1802</v>
      </c>
      <c r="EU85" s="1" t="s">
        <v>1802</v>
      </c>
      <c r="EV85" s="1" t="s">
        <v>1802</v>
      </c>
      <c r="EW85" s="1" t="s">
        <v>1802</v>
      </c>
      <c r="EX85" s="1" t="s">
        <v>1802</v>
      </c>
      <c r="EY85" s="1" t="s">
        <v>1802</v>
      </c>
      <c r="EZ85" s="1" t="s">
        <v>1802</v>
      </c>
      <c r="FA85" s="1" t="s">
        <v>1802</v>
      </c>
      <c r="FB85" s="1" t="s">
        <v>1802</v>
      </c>
      <c r="FC85" s="1" t="s">
        <v>1802</v>
      </c>
      <c r="FD85" s="1" t="s">
        <v>1802</v>
      </c>
      <c r="FE85" s="1" t="s">
        <v>1802</v>
      </c>
      <c r="FF85" s="1" t="s">
        <v>1802</v>
      </c>
      <c r="FG85" s="1" t="s">
        <v>1802</v>
      </c>
      <c r="FH85" s="1" t="s">
        <v>1802</v>
      </c>
      <c r="FI85" s="1" t="s">
        <v>1802</v>
      </c>
      <c r="FJ85" s="1" t="s">
        <v>1802</v>
      </c>
      <c r="FK85" s="1" t="s">
        <v>1802</v>
      </c>
      <c r="FL85" s="1" t="s">
        <v>1802</v>
      </c>
      <c r="FM85" s="1" t="s">
        <v>1802</v>
      </c>
      <c r="FN85" s="1" t="s">
        <v>1802</v>
      </c>
      <c r="FO85" s="1" t="s">
        <v>1802</v>
      </c>
      <c r="FP85" s="1" t="s">
        <v>1802</v>
      </c>
      <c r="FQ85" s="1" t="s">
        <v>1802</v>
      </c>
      <c r="FR85" s="2"/>
      <c r="FS85" s="1" t="s">
        <v>1802</v>
      </c>
    </row>
    <row r="86" spans="1:175" x14ac:dyDescent="0.3">
      <c r="A86" s="1" t="s">
        <v>3471</v>
      </c>
      <c r="B86" s="1" t="s">
        <v>1739</v>
      </c>
      <c r="C86" s="1" t="s">
        <v>1381</v>
      </c>
      <c r="D86" s="1" t="s">
        <v>1740</v>
      </c>
      <c r="E86" s="1" t="s">
        <v>2715</v>
      </c>
      <c r="F86" s="1" t="s">
        <v>3472</v>
      </c>
      <c r="G86" s="1" t="s">
        <v>3472</v>
      </c>
      <c r="H86" s="1" t="s">
        <v>3473</v>
      </c>
      <c r="I86" s="1" t="s">
        <v>1744</v>
      </c>
      <c r="J86" s="1" t="s">
        <v>1745</v>
      </c>
      <c r="K86" s="1" t="s">
        <v>1746</v>
      </c>
      <c r="L86" s="1" t="s">
        <v>1747</v>
      </c>
      <c r="M86" s="1" t="s">
        <v>1748</v>
      </c>
      <c r="N86" s="1" t="s">
        <v>1749</v>
      </c>
      <c r="O86" s="1" t="s">
        <v>1750</v>
      </c>
      <c r="P86" s="1" t="s">
        <v>1751</v>
      </c>
      <c r="Q86">
        <v>49</v>
      </c>
      <c r="R86" s="1" t="s">
        <v>1752</v>
      </c>
      <c r="S86" s="1" t="s">
        <v>1753</v>
      </c>
      <c r="T86" s="1" t="s">
        <v>1754</v>
      </c>
      <c r="U86" s="1" t="s">
        <v>1755</v>
      </c>
      <c r="V86" s="1" t="s">
        <v>1756</v>
      </c>
      <c r="W86">
        <v>72</v>
      </c>
      <c r="X86">
        <v>72</v>
      </c>
      <c r="Y86" s="1" t="s">
        <v>1757</v>
      </c>
      <c r="Z86" s="2">
        <v>36999</v>
      </c>
      <c r="AA86" s="1" t="s">
        <v>3474</v>
      </c>
      <c r="AB86" s="1" t="s">
        <v>1755</v>
      </c>
      <c r="AC86" s="1" t="s">
        <v>3475</v>
      </c>
      <c r="AD86" s="1" t="s">
        <v>424</v>
      </c>
      <c r="AE86" s="1" t="s">
        <v>1760</v>
      </c>
      <c r="AF86" s="1" t="s">
        <v>1761</v>
      </c>
      <c r="AG86" s="1" t="s">
        <v>1762</v>
      </c>
      <c r="AH86" s="1" t="s">
        <v>3474</v>
      </c>
      <c r="AI86" s="1" t="s">
        <v>3474</v>
      </c>
      <c r="AJ86" s="1" t="s">
        <v>1763</v>
      </c>
      <c r="AK86" s="1" t="s">
        <v>1763</v>
      </c>
      <c r="AL86" s="1" t="s">
        <v>1763</v>
      </c>
      <c r="AM86" s="1" t="s">
        <v>3475</v>
      </c>
      <c r="AN86" s="1" t="s">
        <v>424</v>
      </c>
      <c r="AO86" s="1" t="s">
        <v>3476</v>
      </c>
      <c r="AP86" s="1" t="s">
        <v>1765</v>
      </c>
      <c r="AQ86" s="1" t="s">
        <v>1766</v>
      </c>
      <c r="AR86" s="1" t="s">
        <v>1767</v>
      </c>
      <c r="AS86" s="1" t="s">
        <v>1768</v>
      </c>
      <c r="AT86">
        <v>2010150922131390</v>
      </c>
      <c r="AU86" s="1" t="s">
        <v>1769</v>
      </c>
      <c r="AV86">
        <v>92649886635083</v>
      </c>
      <c r="AW86" s="1" t="s">
        <v>1770</v>
      </c>
      <c r="AX86" s="1" t="s">
        <v>1765</v>
      </c>
      <c r="AY86" s="1" t="s">
        <v>3477</v>
      </c>
      <c r="AZ86" s="1" t="s">
        <v>1897</v>
      </c>
      <c r="BA86" s="1" t="s">
        <v>3478</v>
      </c>
      <c r="BB86">
        <v>717</v>
      </c>
      <c r="BC86" s="1" t="s">
        <v>1774</v>
      </c>
      <c r="BD86" s="1" t="s">
        <v>1775</v>
      </c>
      <c r="BE86" s="1" t="s">
        <v>1776</v>
      </c>
      <c r="BF86" s="1" t="s">
        <v>1777</v>
      </c>
      <c r="BG86" s="1" t="s">
        <v>1778</v>
      </c>
      <c r="BH86" s="1" t="s">
        <v>1779</v>
      </c>
      <c r="BI86" s="1" t="s">
        <v>1779</v>
      </c>
      <c r="BJ86" s="1" t="s">
        <v>1780</v>
      </c>
      <c r="BK86" s="1" t="s">
        <v>1781</v>
      </c>
      <c r="BL86" s="1" t="s">
        <v>1754</v>
      </c>
      <c r="BM86" s="1" t="s">
        <v>1782</v>
      </c>
      <c r="BN86" s="1" t="s">
        <v>1783</v>
      </c>
      <c r="BO86" s="1" t="s">
        <v>1784</v>
      </c>
      <c r="BP86" s="1" t="s">
        <v>1785</v>
      </c>
      <c r="BQ86" s="1" t="s">
        <v>1786</v>
      </c>
      <c r="BR86" s="1" t="s">
        <v>3479</v>
      </c>
      <c r="BS86" s="1" t="s">
        <v>1788</v>
      </c>
      <c r="BT86" s="1" t="s">
        <v>3480</v>
      </c>
      <c r="BU86" s="1" t="s">
        <v>1790</v>
      </c>
      <c r="BV86" s="1" t="s">
        <v>3481</v>
      </c>
      <c r="BW86" s="1" t="s">
        <v>1790</v>
      </c>
      <c r="BX86" s="1" t="s">
        <v>3481</v>
      </c>
      <c r="BY86" s="1" t="s">
        <v>3446</v>
      </c>
      <c r="BZ86" s="1" t="s">
        <v>3482</v>
      </c>
      <c r="CA86" s="1" t="s">
        <v>1794</v>
      </c>
      <c r="CB86" s="1" t="s">
        <v>1795</v>
      </c>
      <c r="CC86" s="1" t="s">
        <v>1796</v>
      </c>
      <c r="CD86" s="1" t="s">
        <v>1797</v>
      </c>
      <c r="CE86" s="1" t="s">
        <v>1798</v>
      </c>
      <c r="CF86" s="1" t="s">
        <v>1799</v>
      </c>
      <c r="CG86" s="1" t="s">
        <v>1800</v>
      </c>
      <c r="CH86" s="1" t="s">
        <v>1794</v>
      </c>
      <c r="CI86" s="1" t="s">
        <v>1801</v>
      </c>
      <c r="CJ86" s="1" t="s">
        <v>1794</v>
      </c>
      <c r="CK86" s="1" t="s">
        <v>1802</v>
      </c>
      <c r="CL86" s="1" t="s">
        <v>1803</v>
      </c>
      <c r="CM86" s="1" t="s">
        <v>1804</v>
      </c>
      <c r="CN86" s="1" t="s">
        <v>1805</v>
      </c>
      <c r="CO86" s="1" t="s">
        <v>1794</v>
      </c>
      <c r="CP86" s="1" t="s">
        <v>1806</v>
      </c>
      <c r="CQ86" s="1" t="s">
        <v>1807</v>
      </c>
      <c r="CR86" s="1" t="s">
        <v>1808</v>
      </c>
      <c r="CS86" s="1" t="s">
        <v>1809</v>
      </c>
      <c r="CT86" s="1" t="s">
        <v>1810</v>
      </c>
      <c r="CU86" s="1" t="s">
        <v>1811</v>
      </c>
      <c r="CV86" s="1" t="s">
        <v>1812</v>
      </c>
      <c r="CW86" s="1" t="s">
        <v>1813</v>
      </c>
      <c r="CX86" s="1" t="s">
        <v>1814</v>
      </c>
      <c r="CY86" s="1" t="s">
        <v>1813</v>
      </c>
      <c r="CZ86" s="1" t="s">
        <v>1813</v>
      </c>
      <c r="DA86" s="1" t="s">
        <v>1775</v>
      </c>
      <c r="DB86" s="1" t="s">
        <v>1776</v>
      </c>
      <c r="DC86" s="1" t="s">
        <v>1752</v>
      </c>
      <c r="DD86" s="1" t="s">
        <v>1765</v>
      </c>
      <c r="DE86" s="1" t="s">
        <v>1815</v>
      </c>
      <c r="DF86" s="1" t="s">
        <v>1816</v>
      </c>
      <c r="DG86" s="1" t="s">
        <v>1817</v>
      </c>
      <c r="DH86" s="1" t="s">
        <v>1818</v>
      </c>
      <c r="DI86" s="1" t="s">
        <v>1819</v>
      </c>
      <c r="DJ86" s="1" t="s">
        <v>1820</v>
      </c>
      <c r="DK86" s="1" t="s">
        <v>1821</v>
      </c>
      <c r="DL86" s="1" t="s">
        <v>1822</v>
      </c>
      <c r="DM86" s="1" t="s">
        <v>1765</v>
      </c>
      <c r="DN86" s="1" t="s">
        <v>1765</v>
      </c>
      <c r="DO86" s="1" t="s">
        <v>1823</v>
      </c>
      <c r="DP86" s="1" t="s">
        <v>1824</v>
      </c>
      <c r="DQ86" s="1" t="s">
        <v>1824</v>
      </c>
      <c r="DR86" s="1" t="s">
        <v>1765</v>
      </c>
      <c r="DS86" s="1" t="s">
        <v>1825</v>
      </c>
      <c r="DT86" s="1" t="s">
        <v>1816</v>
      </c>
      <c r="DU86" s="1" t="s">
        <v>1826</v>
      </c>
      <c r="DV86" s="1" t="s">
        <v>3483</v>
      </c>
      <c r="DW86" s="1" t="s">
        <v>1828</v>
      </c>
      <c r="DX86" s="1" t="s">
        <v>3484</v>
      </c>
      <c r="DY86" s="1" t="s">
        <v>424</v>
      </c>
      <c r="DZ86" s="1" t="s">
        <v>1752</v>
      </c>
      <c r="EA86" s="1" t="s">
        <v>218</v>
      </c>
      <c r="EB86" s="1" t="s">
        <v>892</v>
      </c>
      <c r="EC86" s="1" t="s">
        <v>3475</v>
      </c>
      <c r="ED86" s="1" t="s">
        <v>3485</v>
      </c>
      <c r="EE86" s="1" t="s">
        <v>3485</v>
      </c>
      <c r="EF86" s="1" t="s">
        <v>3486</v>
      </c>
      <c r="EG86" s="1" t="s">
        <v>2194</v>
      </c>
      <c r="EH86" s="1" t="s">
        <v>3487</v>
      </c>
      <c r="EI86" s="1" t="s">
        <v>3488</v>
      </c>
      <c r="EJ86" s="1" t="s">
        <v>3489</v>
      </c>
      <c r="EK86" s="1" t="s">
        <v>1836</v>
      </c>
      <c r="EL86" s="1" t="s">
        <v>1837</v>
      </c>
      <c r="EM86" s="1" t="s">
        <v>1838</v>
      </c>
      <c r="EN86" s="1" t="s">
        <v>3490</v>
      </c>
      <c r="EO86" s="1" t="s">
        <v>1840</v>
      </c>
      <c r="EP86" s="1" t="s">
        <v>3</v>
      </c>
      <c r="EQ86" s="1" t="s">
        <v>1782</v>
      </c>
      <c r="ER86" s="1" t="s">
        <v>1802</v>
      </c>
      <c r="ES86" s="1" t="s">
        <v>1802</v>
      </c>
      <c r="ET86" s="1" t="s">
        <v>1802</v>
      </c>
      <c r="EU86" s="1" t="s">
        <v>1802</v>
      </c>
      <c r="EV86" s="1" t="s">
        <v>1802</v>
      </c>
      <c r="EW86" s="1" t="s">
        <v>1802</v>
      </c>
      <c r="EX86" s="1" t="s">
        <v>1802</v>
      </c>
      <c r="EY86" s="1" t="s">
        <v>1802</v>
      </c>
      <c r="EZ86" s="1" t="s">
        <v>1802</v>
      </c>
      <c r="FA86" s="1" t="s">
        <v>1802</v>
      </c>
      <c r="FB86" s="1" t="s">
        <v>1802</v>
      </c>
      <c r="FC86" s="1" t="s">
        <v>1802</v>
      </c>
      <c r="FD86" s="1" t="s">
        <v>1802</v>
      </c>
      <c r="FE86" s="1" t="s">
        <v>1802</v>
      </c>
      <c r="FF86" s="1" t="s">
        <v>1802</v>
      </c>
      <c r="FG86" s="1" t="s">
        <v>1802</v>
      </c>
      <c r="FH86" s="1" t="s">
        <v>1802</v>
      </c>
      <c r="FI86" s="1" t="s">
        <v>1802</v>
      </c>
      <c r="FJ86" s="1" t="s">
        <v>1802</v>
      </c>
      <c r="FK86" s="1" t="s">
        <v>1802</v>
      </c>
      <c r="FL86" s="1" t="s">
        <v>1802</v>
      </c>
      <c r="FM86" s="1" t="s">
        <v>1802</v>
      </c>
      <c r="FN86" s="1" t="s">
        <v>1802</v>
      </c>
      <c r="FO86" s="1" t="s">
        <v>1802</v>
      </c>
      <c r="FP86" s="1" t="s">
        <v>1802</v>
      </c>
      <c r="FQ86" s="1" t="s">
        <v>1802</v>
      </c>
      <c r="FR86" s="2"/>
      <c r="FS86" s="1" t="s">
        <v>1802</v>
      </c>
    </row>
    <row r="87" spans="1:175" x14ac:dyDescent="0.3">
      <c r="A87" s="1" t="s">
        <v>3491</v>
      </c>
      <c r="B87" s="1" t="s">
        <v>1739</v>
      </c>
      <c r="C87" s="1" t="s">
        <v>1391</v>
      </c>
      <c r="D87" s="1" t="s">
        <v>1740</v>
      </c>
      <c r="E87" s="1" t="s">
        <v>3252</v>
      </c>
      <c r="F87" s="1" t="s">
        <v>3492</v>
      </c>
      <c r="G87" s="1" t="s">
        <v>3492</v>
      </c>
      <c r="H87" s="1" t="s">
        <v>1915</v>
      </c>
      <c r="I87" s="1" t="s">
        <v>1744</v>
      </c>
      <c r="J87" s="1" t="s">
        <v>1745</v>
      </c>
      <c r="K87" s="1" t="s">
        <v>1746</v>
      </c>
      <c r="L87" s="1" t="s">
        <v>1747</v>
      </c>
      <c r="M87" s="1" t="s">
        <v>1748</v>
      </c>
      <c r="N87" s="1" t="s">
        <v>1749</v>
      </c>
      <c r="O87" s="1" t="s">
        <v>1750</v>
      </c>
      <c r="P87" s="1" t="s">
        <v>1751</v>
      </c>
      <c r="Q87">
        <v>49</v>
      </c>
      <c r="R87" s="1" t="s">
        <v>1752</v>
      </c>
      <c r="S87" s="1" t="s">
        <v>1753</v>
      </c>
      <c r="T87" s="1" t="s">
        <v>1754</v>
      </c>
      <c r="U87" s="1" t="s">
        <v>1755</v>
      </c>
      <c r="V87" s="1" t="s">
        <v>1756</v>
      </c>
      <c r="W87">
        <v>72</v>
      </c>
      <c r="X87">
        <v>72</v>
      </c>
      <c r="Y87" s="1" t="s">
        <v>1757</v>
      </c>
      <c r="Z87" s="2">
        <v>36999</v>
      </c>
      <c r="AA87" s="1" t="s">
        <v>3493</v>
      </c>
      <c r="AB87" s="1" t="s">
        <v>1755</v>
      </c>
      <c r="AC87" s="1" t="s">
        <v>3494</v>
      </c>
      <c r="AD87" s="1" t="s">
        <v>424</v>
      </c>
      <c r="AE87" s="1" t="s">
        <v>1760</v>
      </c>
      <c r="AF87" s="1" t="s">
        <v>1761</v>
      </c>
      <c r="AG87" s="1" t="s">
        <v>1762</v>
      </c>
      <c r="AH87" s="1" t="s">
        <v>3493</v>
      </c>
      <c r="AI87" s="1" t="s">
        <v>3493</v>
      </c>
      <c r="AJ87" s="1" t="s">
        <v>1763</v>
      </c>
      <c r="AK87" s="1" t="s">
        <v>1763</v>
      </c>
      <c r="AL87" s="1" t="s">
        <v>1763</v>
      </c>
      <c r="AM87" s="1" t="s">
        <v>3494</v>
      </c>
      <c r="AN87" s="1" t="s">
        <v>424</v>
      </c>
      <c r="AO87" s="1" t="s">
        <v>3495</v>
      </c>
      <c r="AP87" s="1" t="s">
        <v>1765</v>
      </c>
      <c r="AQ87" s="1" t="s">
        <v>1766</v>
      </c>
      <c r="AR87" s="1" t="s">
        <v>1767</v>
      </c>
      <c r="AS87" s="1" t="s">
        <v>1768</v>
      </c>
      <c r="AT87">
        <v>2010150922131390</v>
      </c>
      <c r="AU87" s="1" t="s">
        <v>1769</v>
      </c>
      <c r="AV87">
        <v>94806302192291</v>
      </c>
      <c r="AW87" s="1" t="s">
        <v>1770</v>
      </c>
      <c r="AX87" s="1" t="s">
        <v>1765</v>
      </c>
      <c r="AY87" s="1" t="s">
        <v>3496</v>
      </c>
      <c r="AZ87" s="1" t="s">
        <v>1897</v>
      </c>
      <c r="BA87" s="1" t="s">
        <v>3497</v>
      </c>
      <c r="BB87">
        <v>70</v>
      </c>
      <c r="BC87" s="1" t="s">
        <v>1774</v>
      </c>
      <c r="BD87" s="1" t="s">
        <v>1775</v>
      </c>
      <c r="BE87" s="1" t="s">
        <v>1776</v>
      </c>
      <c r="BF87" s="1" t="s">
        <v>1777</v>
      </c>
      <c r="BG87" s="1" t="s">
        <v>1778</v>
      </c>
      <c r="BH87" s="1" t="s">
        <v>1779</v>
      </c>
      <c r="BI87" s="1" t="s">
        <v>1779</v>
      </c>
      <c r="BJ87" s="1" t="s">
        <v>1780</v>
      </c>
      <c r="BK87" s="1" t="s">
        <v>1781</v>
      </c>
      <c r="BL87" s="1" t="s">
        <v>1754</v>
      </c>
      <c r="BM87" s="1" t="s">
        <v>1782</v>
      </c>
      <c r="BN87" s="1" t="s">
        <v>1783</v>
      </c>
      <c r="BO87" s="1" t="s">
        <v>1784</v>
      </c>
      <c r="BP87" s="1" t="s">
        <v>1785</v>
      </c>
      <c r="BQ87" s="1" t="s">
        <v>1786</v>
      </c>
      <c r="BR87" s="1" t="s">
        <v>3498</v>
      </c>
      <c r="BS87" s="1" t="s">
        <v>1788</v>
      </c>
      <c r="BT87" s="1" t="s">
        <v>3499</v>
      </c>
      <c r="BU87" s="1" t="s">
        <v>1790</v>
      </c>
      <c r="BV87" s="1" t="s">
        <v>3500</v>
      </c>
      <c r="BW87" s="1" t="s">
        <v>1790</v>
      </c>
      <c r="BX87" s="1" t="s">
        <v>3500</v>
      </c>
      <c r="BY87" s="1" t="s">
        <v>3446</v>
      </c>
      <c r="BZ87" s="1" t="s">
        <v>3501</v>
      </c>
      <c r="CA87" s="1" t="s">
        <v>1794</v>
      </c>
      <c r="CB87" s="1" t="s">
        <v>1795</v>
      </c>
      <c r="CC87" s="1" t="s">
        <v>1796</v>
      </c>
      <c r="CD87" s="1" t="s">
        <v>1797</v>
      </c>
      <c r="CE87" s="1" t="s">
        <v>1798</v>
      </c>
      <c r="CF87" s="1" t="s">
        <v>1799</v>
      </c>
      <c r="CG87" s="1" t="s">
        <v>1800</v>
      </c>
      <c r="CH87" s="1" t="s">
        <v>1794</v>
      </c>
      <c r="CI87" s="1" t="s">
        <v>1801</v>
      </c>
      <c r="CJ87" s="1" t="s">
        <v>1794</v>
      </c>
      <c r="CK87" s="1" t="s">
        <v>1802</v>
      </c>
      <c r="CL87" s="1" t="s">
        <v>1803</v>
      </c>
      <c r="CM87" s="1" t="s">
        <v>1804</v>
      </c>
      <c r="CN87" s="1" t="s">
        <v>1805</v>
      </c>
      <c r="CO87" s="1" t="s">
        <v>1794</v>
      </c>
      <c r="CP87" s="1" t="s">
        <v>1806</v>
      </c>
      <c r="CQ87" s="1" t="s">
        <v>1807</v>
      </c>
      <c r="CR87" s="1" t="s">
        <v>1808</v>
      </c>
      <c r="CS87" s="1" t="s">
        <v>1809</v>
      </c>
      <c r="CT87" s="1" t="s">
        <v>1810</v>
      </c>
      <c r="CU87" s="1" t="s">
        <v>1811</v>
      </c>
      <c r="CV87" s="1" t="s">
        <v>1812</v>
      </c>
      <c r="CW87" s="1" t="s">
        <v>1813</v>
      </c>
      <c r="CX87" s="1" t="s">
        <v>1814</v>
      </c>
      <c r="CY87" s="1" t="s">
        <v>1813</v>
      </c>
      <c r="CZ87" s="1" t="s">
        <v>1813</v>
      </c>
      <c r="DA87" s="1" t="s">
        <v>1775</v>
      </c>
      <c r="DB87" s="1" t="s">
        <v>1776</v>
      </c>
      <c r="DC87" s="1" t="s">
        <v>1752</v>
      </c>
      <c r="DD87" s="1" t="s">
        <v>1765</v>
      </c>
      <c r="DE87" s="1" t="s">
        <v>1815</v>
      </c>
      <c r="DF87" s="1" t="s">
        <v>1816</v>
      </c>
      <c r="DG87" s="1" t="s">
        <v>1817</v>
      </c>
      <c r="DH87" s="1" t="s">
        <v>1818</v>
      </c>
      <c r="DI87" s="1" t="s">
        <v>1819</v>
      </c>
      <c r="DJ87" s="1" t="s">
        <v>1820</v>
      </c>
      <c r="DK87" s="1" t="s">
        <v>1821</v>
      </c>
      <c r="DL87" s="1" t="s">
        <v>1822</v>
      </c>
      <c r="DM87" s="1" t="s">
        <v>1765</v>
      </c>
      <c r="DN87" s="1" t="s">
        <v>1765</v>
      </c>
      <c r="DO87" s="1" t="s">
        <v>1823</v>
      </c>
      <c r="DP87" s="1" t="s">
        <v>1824</v>
      </c>
      <c r="DQ87" s="1" t="s">
        <v>1824</v>
      </c>
      <c r="DR87" s="1" t="s">
        <v>1765</v>
      </c>
      <c r="DS87" s="1" t="s">
        <v>1825</v>
      </c>
      <c r="DT87" s="1" t="s">
        <v>1816</v>
      </c>
      <c r="DU87" s="1" t="s">
        <v>1826</v>
      </c>
      <c r="DV87" s="1" t="s">
        <v>3502</v>
      </c>
      <c r="DW87" s="1" t="s">
        <v>1828</v>
      </c>
      <c r="DX87" s="1" t="s">
        <v>3503</v>
      </c>
      <c r="DY87" s="1" t="s">
        <v>424</v>
      </c>
      <c r="DZ87" s="1" t="s">
        <v>1752</v>
      </c>
      <c r="EA87" s="1" t="s">
        <v>218</v>
      </c>
      <c r="EB87" s="1" t="s">
        <v>892</v>
      </c>
      <c r="EC87" s="1" t="s">
        <v>3494</v>
      </c>
      <c r="ED87" s="1" t="s">
        <v>3504</v>
      </c>
      <c r="EE87" s="1" t="s">
        <v>3504</v>
      </c>
      <c r="EF87" s="1" t="s">
        <v>3505</v>
      </c>
      <c r="EG87" s="1" t="s">
        <v>2194</v>
      </c>
      <c r="EH87" s="1" t="s">
        <v>3506</v>
      </c>
      <c r="EI87" s="1" t="s">
        <v>2339</v>
      </c>
      <c r="EJ87" s="1" t="s">
        <v>2614</v>
      </c>
      <c r="EK87" s="1" t="s">
        <v>1836</v>
      </c>
      <c r="EL87" s="1" t="s">
        <v>1837</v>
      </c>
      <c r="EM87" s="1" t="s">
        <v>1838</v>
      </c>
      <c r="EN87" s="1" t="s">
        <v>3507</v>
      </c>
      <c r="EO87" s="1" t="s">
        <v>1840</v>
      </c>
      <c r="EP87" s="1" t="s">
        <v>3508</v>
      </c>
      <c r="EQ87" s="1" t="s">
        <v>1782</v>
      </c>
      <c r="ER87" s="1" t="s">
        <v>1802</v>
      </c>
      <c r="ES87" s="1" t="s">
        <v>1802</v>
      </c>
      <c r="ET87" s="1" t="s">
        <v>1802</v>
      </c>
      <c r="EU87" s="1" t="s">
        <v>1802</v>
      </c>
      <c r="EV87" s="1" t="s">
        <v>1802</v>
      </c>
      <c r="EW87" s="1" t="s">
        <v>1802</v>
      </c>
      <c r="EX87" s="1" t="s">
        <v>1802</v>
      </c>
      <c r="EY87" s="1" t="s">
        <v>1802</v>
      </c>
      <c r="EZ87" s="1" t="s">
        <v>1802</v>
      </c>
      <c r="FA87" s="1" t="s">
        <v>1802</v>
      </c>
      <c r="FB87" s="1" t="s">
        <v>1802</v>
      </c>
      <c r="FC87" s="1" t="s">
        <v>1802</v>
      </c>
      <c r="FD87" s="1" t="s">
        <v>1802</v>
      </c>
      <c r="FE87" s="1" t="s">
        <v>1802</v>
      </c>
      <c r="FF87" s="1" t="s">
        <v>1802</v>
      </c>
      <c r="FG87" s="1" t="s">
        <v>1802</v>
      </c>
      <c r="FH87" s="1" t="s">
        <v>1802</v>
      </c>
      <c r="FI87" s="1" t="s">
        <v>1802</v>
      </c>
      <c r="FJ87" s="1" t="s">
        <v>1802</v>
      </c>
      <c r="FK87" s="1" t="s">
        <v>1802</v>
      </c>
      <c r="FL87" s="1" t="s">
        <v>1802</v>
      </c>
      <c r="FM87" s="1" t="s">
        <v>1802</v>
      </c>
      <c r="FN87" s="1" t="s">
        <v>1802</v>
      </c>
      <c r="FO87" s="1" t="s">
        <v>1802</v>
      </c>
      <c r="FP87" s="1" t="s">
        <v>1802</v>
      </c>
      <c r="FQ87" s="1" t="s">
        <v>1802</v>
      </c>
      <c r="FR87" s="2"/>
      <c r="FS87" s="1" t="s">
        <v>1802</v>
      </c>
    </row>
    <row r="88" spans="1:175" x14ac:dyDescent="0.3">
      <c r="A88" s="1" t="s">
        <v>3509</v>
      </c>
      <c r="B88" s="1" t="s">
        <v>1739</v>
      </c>
      <c r="C88" s="1" t="s">
        <v>1400</v>
      </c>
      <c r="D88" s="1" t="s">
        <v>1740</v>
      </c>
      <c r="E88" s="1" t="s">
        <v>2715</v>
      </c>
      <c r="F88" s="1" t="s">
        <v>3510</v>
      </c>
      <c r="G88" s="1" t="s">
        <v>3510</v>
      </c>
      <c r="H88" s="1" t="s">
        <v>3511</v>
      </c>
      <c r="I88" s="1" t="s">
        <v>1744</v>
      </c>
      <c r="J88" s="1" t="s">
        <v>1745</v>
      </c>
      <c r="K88" s="1" t="s">
        <v>1746</v>
      </c>
      <c r="L88" s="1" t="s">
        <v>1747</v>
      </c>
      <c r="M88" s="1" t="s">
        <v>1748</v>
      </c>
      <c r="N88" s="1" t="s">
        <v>1749</v>
      </c>
      <c r="O88" s="1" t="s">
        <v>1750</v>
      </c>
      <c r="P88" s="1" t="s">
        <v>1751</v>
      </c>
      <c r="Q88">
        <v>49</v>
      </c>
      <c r="R88" s="1" t="s">
        <v>1752</v>
      </c>
      <c r="S88" s="1" t="s">
        <v>1753</v>
      </c>
      <c r="T88" s="1" t="s">
        <v>1754</v>
      </c>
      <c r="U88" s="1" t="s">
        <v>1755</v>
      </c>
      <c r="V88" s="1" t="s">
        <v>1756</v>
      </c>
      <c r="W88">
        <v>72</v>
      </c>
      <c r="X88">
        <v>72</v>
      </c>
      <c r="Y88" s="1" t="s">
        <v>1757</v>
      </c>
      <c r="Z88" s="2">
        <v>36999</v>
      </c>
      <c r="AA88" s="1" t="s">
        <v>3512</v>
      </c>
      <c r="AB88" s="1" t="s">
        <v>1755</v>
      </c>
      <c r="AC88" s="1" t="s">
        <v>3513</v>
      </c>
      <c r="AD88" s="1" t="s">
        <v>424</v>
      </c>
      <c r="AE88" s="1" t="s">
        <v>1760</v>
      </c>
      <c r="AF88" s="1" t="s">
        <v>1761</v>
      </c>
      <c r="AG88" s="1" t="s">
        <v>1762</v>
      </c>
      <c r="AH88" s="1" t="s">
        <v>3512</v>
      </c>
      <c r="AI88" s="1" t="s">
        <v>3512</v>
      </c>
      <c r="AJ88" s="1" t="s">
        <v>1763</v>
      </c>
      <c r="AK88" s="1" t="s">
        <v>1763</v>
      </c>
      <c r="AL88" s="1" t="s">
        <v>1763</v>
      </c>
      <c r="AM88" s="1" t="s">
        <v>3513</v>
      </c>
      <c r="AN88" s="1" t="s">
        <v>424</v>
      </c>
      <c r="AO88" s="1" t="s">
        <v>3514</v>
      </c>
      <c r="AP88" s="1" t="s">
        <v>1765</v>
      </c>
      <c r="AQ88" s="1" t="s">
        <v>1766</v>
      </c>
      <c r="AR88" s="1" t="s">
        <v>1767</v>
      </c>
      <c r="AS88" s="1" t="s">
        <v>1768</v>
      </c>
      <c r="AT88">
        <v>2009150923181390</v>
      </c>
      <c r="AU88" s="1" t="s">
        <v>1769</v>
      </c>
      <c r="AV88">
        <v>97916691489291</v>
      </c>
      <c r="AW88" s="1" t="s">
        <v>1770</v>
      </c>
      <c r="AX88" s="1" t="s">
        <v>1765</v>
      </c>
      <c r="AY88" s="1" t="s">
        <v>3515</v>
      </c>
      <c r="AZ88" s="1" t="s">
        <v>1897</v>
      </c>
      <c r="BA88" s="1" t="s">
        <v>3516</v>
      </c>
      <c r="BB88">
        <v>514</v>
      </c>
      <c r="BC88" s="1" t="s">
        <v>1774</v>
      </c>
      <c r="BD88" s="1" t="s">
        <v>1775</v>
      </c>
      <c r="BE88" s="1" t="s">
        <v>1776</v>
      </c>
      <c r="BF88" s="1" t="s">
        <v>1777</v>
      </c>
      <c r="BG88" s="1" t="s">
        <v>1778</v>
      </c>
      <c r="BH88" s="1" t="s">
        <v>1779</v>
      </c>
      <c r="BI88" s="1" t="s">
        <v>1779</v>
      </c>
      <c r="BJ88" s="1" t="s">
        <v>1780</v>
      </c>
      <c r="BK88" s="1" t="s">
        <v>1781</v>
      </c>
      <c r="BL88" s="1" t="s">
        <v>1754</v>
      </c>
      <c r="BM88" s="1" t="s">
        <v>1782</v>
      </c>
      <c r="BN88" s="1" t="s">
        <v>1783</v>
      </c>
      <c r="BO88" s="1" t="s">
        <v>1784</v>
      </c>
      <c r="BP88" s="1" t="s">
        <v>1785</v>
      </c>
      <c r="BQ88" s="1" t="s">
        <v>1786</v>
      </c>
      <c r="BR88" s="1" t="s">
        <v>3517</v>
      </c>
      <c r="BS88" s="1" t="s">
        <v>1788</v>
      </c>
      <c r="BT88" s="1" t="s">
        <v>3518</v>
      </c>
      <c r="BU88" s="1" t="s">
        <v>1790</v>
      </c>
      <c r="BV88" s="1" t="s">
        <v>3519</v>
      </c>
      <c r="BW88" s="1" t="s">
        <v>1790</v>
      </c>
      <c r="BX88" s="1" t="s">
        <v>3519</v>
      </c>
      <c r="BY88" s="1" t="s">
        <v>3446</v>
      </c>
      <c r="BZ88" s="1" t="s">
        <v>3520</v>
      </c>
      <c r="CA88" s="1" t="s">
        <v>1794</v>
      </c>
      <c r="CB88" s="1" t="s">
        <v>1795</v>
      </c>
      <c r="CC88" s="1" t="s">
        <v>1796</v>
      </c>
      <c r="CD88" s="1" t="s">
        <v>1797</v>
      </c>
      <c r="CE88" s="1" t="s">
        <v>1798</v>
      </c>
      <c r="CF88" s="1" t="s">
        <v>1799</v>
      </c>
      <c r="CG88" s="1" t="s">
        <v>1800</v>
      </c>
      <c r="CH88" s="1" t="s">
        <v>1794</v>
      </c>
      <c r="CI88" s="1" t="s">
        <v>1801</v>
      </c>
      <c r="CJ88" s="1" t="s">
        <v>1794</v>
      </c>
      <c r="CK88" s="1" t="s">
        <v>1802</v>
      </c>
      <c r="CL88" s="1" t="s">
        <v>1803</v>
      </c>
      <c r="CM88" s="1" t="s">
        <v>1804</v>
      </c>
      <c r="CN88" s="1" t="s">
        <v>1805</v>
      </c>
      <c r="CO88" s="1" t="s">
        <v>1794</v>
      </c>
      <c r="CP88" s="1" t="s">
        <v>1806</v>
      </c>
      <c r="CQ88" s="1" t="s">
        <v>1807</v>
      </c>
      <c r="CR88" s="1" t="s">
        <v>1808</v>
      </c>
      <c r="CS88" s="1" t="s">
        <v>1809</v>
      </c>
      <c r="CT88" s="1" t="s">
        <v>1810</v>
      </c>
      <c r="CU88" s="1" t="s">
        <v>1811</v>
      </c>
      <c r="CV88" s="1" t="s">
        <v>1812</v>
      </c>
      <c r="CW88" s="1" t="s">
        <v>1813</v>
      </c>
      <c r="CX88" s="1" t="s">
        <v>1814</v>
      </c>
      <c r="CY88" s="1" t="s">
        <v>1813</v>
      </c>
      <c r="CZ88" s="1" t="s">
        <v>1813</v>
      </c>
      <c r="DA88" s="1" t="s">
        <v>1775</v>
      </c>
      <c r="DB88" s="1" t="s">
        <v>1776</v>
      </c>
      <c r="DC88" s="1" t="s">
        <v>1752</v>
      </c>
      <c r="DD88" s="1" t="s">
        <v>1765</v>
      </c>
      <c r="DE88" s="1" t="s">
        <v>1815</v>
      </c>
      <c r="DF88" s="1" t="s">
        <v>1816</v>
      </c>
      <c r="DG88" s="1" t="s">
        <v>1817</v>
      </c>
      <c r="DH88" s="1" t="s">
        <v>1818</v>
      </c>
      <c r="DI88" s="1" t="s">
        <v>1819</v>
      </c>
      <c r="DJ88" s="1" t="s">
        <v>1820</v>
      </c>
      <c r="DK88" s="1" t="s">
        <v>1821</v>
      </c>
      <c r="DL88" s="1" t="s">
        <v>1822</v>
      </c>
      <c r="DM88" s="1" t="s">
        <v>1765</v>
      </c>
      <c r="DN88" s="1" t="s">
        <v>1765</v>
      </c>
      <c r="DO88" s="1" t="s">
        <v>1823</v>
      </c>
      <c r="DP88" s="1" t="s">
        <v>1824</v>
      </c>
      <c r="DQ88" s="1" t="s">
        <v>1824</v>
      </c>
      <c r="DR88" s="1" t="s">
        <v>1765</v>
      </c>
      <c r="DS88" s="1" t="s">
        <v>1825</v>
      </c>
      <c r="DT88" s="1" t="s">
        <v>1816</v>
      </c>
      <c r="DU88" s="1" t="s">
        <v>1826</v>
      </c>
      <c r="DV88" s="1" t="s">
        <v>3521</v>
      </c>
      <c r="DW88" s="1" t="s">
        <v>1828</v>
      </c>
      <c r="DX88" s="1" t="s">
        <v>3522</v>
      </c>
      <c r="DY88" s="1" t="s">
        <v>424</v>
      </c>
      <c r="DZ88" s="1" t="s">
        <v>1752</v>
      </c>
      <c r="EA88" s="1" t="s">
        <v>218</v>
      </c>
      <c r="EB88" s="1" t="s">
        <v>892</v>
      </c>
      <c r="EC88" s="1" t="s">
        <v>3513</v>
      </c>
      <c r="ED88" s="1" t="s">
        <v>3523</v>
      </c>
      <c r="EE88" s="1" t="s">
        <v>3523</v>
      </c>
      <c r="EF88" s="1" t="s">
        <v>3524</v>
      </c>
      <c r="EG88" s="1" t="s">
        <v>3525</v>
      </c>
      <c r="EH88" s="1" t="s">
        <v>3526</v>
      </c>
      <c r="EI88" s="1" t="s">
        <v>2300</v>
      </c>
      <c r="EJ88" s="1" t="s">
        <v>3288</v>
      </c>
      <c r="EK88" s="1" t="s">
        <v>1836</v>
      </c>
      <c r="EL88" s="1" t="s">
        <v>1837</v>
      </c>
      <c r="EM88" s="1" t="s">
        <v>1838</v>
      </c>
      <c r="EN88" s="1" t="s">
        <v>3527</v>
      </c>
      <c r="EO88" s="1" t="s">
        <v>1840</v>
      </c>
      <c r="EP88" s="1" t="s">
        <v>3041</v>
      </c>
      <c r="EQ88" s="1" t="s">
        <v>1782</v>
      </c>
      <c r="ER88" s="1" t="s">
        <v>1802</v>
      </c>
      <c r="ES88" s="1" t="s">
        <v>1802</v>
      </c>
      <c r="ET88" s="1" t="s">
        <v>1802</v>
      </c>
      <c r="EU88" s="1" t="s">
        <v>1802</v>
      </c>
      <c r="EV88" s="1" t="s">
        <v>1802</v>
      </c>
      <c r="EW88" s="1" t="s">
        <v>1802</v>
      </c>
      <c r="EX88" s="1" t="s">
        <v>1802</v>
      </c>
      <c r="EY88" s="1" t="s">
        <v>1802</v>
      </c>
      <c r="EZ88" s="1" t="s">
        <v>1802</v>
      </c>
      <c r="FA88" s="1" t="s">
        <v>1802</v>
      </c>
      <c r="FB88" s="1" t="s">
        <v>1802</v>
      </c>
      <c r="FC88" s="1" t="s">
        <v>1802</v>
      </c>
      <c r="FD88" s="1" t="s">
        <v>1802</v>
      </c>
      <c r="FE88" s="1" t="s">
        <v>1802</v>
      </c>
      <c r="FF88" s="1" t="s">
        <v>1802</v>
      </c>
      <c r="FG88" s="1" t="s">
        <v>1802</v>
      </c>
      <c r="FH88" s="1" t="s">
        <v>1802</v>
      </c>
      <c r="FI88" s="1" t="s">
        <v>1802</v>
      </c>
      <c r="FJ88" s="1" t="s">
        <v>1802</v>
      </c>
      <c r="FK88" s="1" t="s">
        <v>1802</v>
      </c>
      <c r="FL88" s="1" t="s">
        <v>1802</v>
      </c>
      <c r="FM88" s="1" t="s">
        <v>1802</v>
      </c>
      <c r="FN88" s="1" t="s">
        <v>1802</v>
      </c>
      <c r="FO88" s="1" t="s">
        <v>1802</v>
      </c>
      <c r="FP88" s="1" t="s">
        <v>1802</v>
      </c>
      <c r="FQ88" s="1" t="s">
        <v>1802</v>
      </c>
      <c r="FR88" s="2"/>
      <c r="FS88" s="1" t="s">
        <v>1802</v>
      </c>
    </row>
    <row r="89" spans="1:175" x14ac:dyDescent="0.3">
      <c r="A89" s="1" t="s">
        <v>3528</v>
      </c>
      <c r="B89" s="1" t="s">
        <v>1739</v>
      </c>
      <c r="C89" s="1" t="s">
        <v>1413</v>
      </c>
      <c r="D89" s="1" t="s">
        <v>1740</v>
      </c>
      <c r="E89" s="1" t="s">
        <v>2091</v>
      </c>
      <c r="F89" s="1" t="s">
        <v>3529</v>
      </c>
      <c r="G89" s="1" t="s">
        <v>3529</v>
      </c>
      <c r="H89" s="1" t="s">
        <v>1915</v>
      </c>
      <c r="I89" s="1" t="s">
        <v>1744</v>
      </c>
      <c r="J89" s="1" t="s">
        <v>1745</v>
      </c>
      <c r="K89" s="1" t="s">
        <v>1746</v>
      </c>
      <c r="L89" s="1" t="s">
        <v>1747</v>
      </c>
      <c r="M89" s="1" t="s">
        <v>1748</v>
      </c>
      <c r="N89" s="1" t="s">
        <v>1749</v>
      </c>
      <c r="O89" s="1" t="s">
        <v>1750</v>
      </c>
      <c r="P89" s="1" t="s">
        <v>1751</v>
      </c>
      <c r="Q89">
        <v>49</v>
      </c>
      <c r="R89" s="1" t="s">
        <v>1752</v>
      </c>
      <c r="S89" s="1" t="s">
        <v>1753</v>
      </c>
      <c r="T89" s="1" t="s">
        <v>1754</v>
      </c>
      <c r="U89" s="1" t="s">
        <v>1755</v>
      </c>
      <c r="V89" s="1" t="s">
        <v>1756</v>
      </c>
      <c r="W89">
        <v>72</v>
      </c>
      <c r="X89">
        <v>72</v>
      </c>
      <c r="Y89" s="1" t="s">
        <v>1757</v>
      </c>
      <c r="Z89" s="2">
        <v>36999</v>
      </c>
      <c r="AA89" s="1" t="s">
        <v>3530</v>
      </c>
      <c r="AB89" s="1" t="s">
        <v>1755</v>
      </c>
      <c r="AC89" s="1" t="s">
        <v>3531</v>
      </c>
      <c r="AD89" s="1" t="s">
        <v>424</v>
      </c>
      <c r="AE89" s="1" t="s">
        <v>1760</v>
      </c>
      <c r="AF89" s="1" t="s">
        <v>1761</v>
      </c>
      <c r="AG89" s="1" t="s">
        <v>1762</v>
      </c>
      <c r="AH89" s="1" t="s">
        <v>3530</v>
      </c>
      <c r="AI89" s="1" t="s">
        <v>3530</v>
      </c>
      <c r="AJ89" s="1" t="s">
        <v>1763</v>
      </c>
      <c r="AK89" s="1" t="s">
        <v>1763</v>
      </c>
      <c r="AL89" s="1" t="s">
        <v>1763</v>
      </c>
      <c r="AM89" s="1" t="s">
        <v>3531</v>
      </c>
      <c r="AN89" s="1" t="s">
        <v>424</v>
      </c>
      <c r="AO89" s="1" t="s">
        <v>3532</v>
      </c>
      <c r="AP89" s="1" t="s">
        <v>1765</v>
      </c>
      <c r="AQ89" s="1" t="s">
        <v>1766</v>
      </c>
      <c r="AR89" s="1" t="s">
        <v>1767</v>
      </c>
      <c r="AS89" s="1" t="s">
        <v>1768</v>
      </c>
      <c r="AT89">
        <v>2010150922131390</v>
      </c>
      <c r="AU89" s="1" t="s">
        <v>1769</v>
      </c>
      <c r="AV89">
        <v>100014333694416</v>
      </c>
      <c r="AW89" s="1" t="s">
        <v>1770</v>
      </c>
      <c r="AX89" s="1" t="s">
        <v>1765</v>
      </c>
      <c r="AY89" s="1" t="s">
        <v>3533</v>
      </c>
      <c r="AZ89" s="1" t="s">
        <v>1897</v>
      </c>
      <c r="BA89" s="1" t="s">
        <v>3534</v>
      </c>
      <c r="BB89">
        <v>121</v>
      </c>
      <c r="BC89" s="1" t="s">
        <v>1774</v>
      </c>
      <c r="BD89" s="1" t="s">
        <v>1775</v>
      </c>
      <c r="BE89" s="1" t="s">
        <v>1776</v>
      </c>
      <c r="BF89" s="1" t="s">
        <v>1777</v>
      </c>
      <c r="BG89" s="1" t="s">
        <v>1778</v>
      </c>
      <c r="BH89" s="1" t="s">
        <v>1779</v>
      </c>
      <c r="BI89" s="1" t="s">
        <v>1779</v>
      </c>
      <c r="BJ89" s="1" t="s">
        <v>1780</v>
      </c>
      <c r="BK89" s="1" t="s">
        <v>1781</v>
      </c>
      <c r="BL89" s="1" t="s">
        <v>1754</v>
      </c>
      <c r="BM89" s="1" t="s">
        <v>1782</v>
      </c>
      <c r="BN89" s="1" t="s">
        <v>1783</v>
      </c>
      <c r="BO89" s="1" t="s">
        <v>1784</v>
      </c>
      <c r="BP89" s="1" t="s">
        <v>1785</v>
      </c>
      <c r="BQ89" s="1" t="s">
        <v>1786</v>
      </c>
      <c r="BR89" s="1" t="s">
        <v>3535</v>
      </c>
      <c r="BS89" s="1" t="s">
        <v>1788</v>
      </c>
      <c r="BT89" s="1" t="s">
        <v>3536</v>
      </c>
      <c r="BU89" s="1" t="s">
        <v>1790</v>
      </c>
      <c r="BV89" s="1" t="s">
        <v>3537</v>
      </c>
      <c r="BW89" s="1" t="s">
        <v>1790</v>
      </c>
      <c r="BX89" s="1" t="s">
        <v>3537</v>
      </c>
      <c r="BY89" s="1" t="s">
        <v>3446</v>
      </c>
      <c r="BZ89" s="1" t="s">
        <v>3538</v>
      </c>
      <c r="CA89" s="1" t="s">
        <v>1794</v>
      </c>
      <c r="CB89" s="1" t="s">
        <v>1795</v>
      </c>
      <c r="CC89" s="1" t="s">
        <v>1796</v>
      </c>
      <c r="CD89" s="1" t="s">
        <v>1797</v>
      </c>
      <c r="CE89" s="1" t="s">
        <v>1798</v>
      </c>
      <c r="CF89" s="1" t="s">
        <v>1799</v>
      </c>
      <c r="CG89" s="1" t="s">
        <v>1800</v>
      </c>
      <c r="CH89" s="1" t="s">
        <v>1794</v>
      </c>
      <c r="CI89" s="1" t="s">
        <v>1801</v>
      </c>
      <c r="CJ89" s="1" t="s">
        <v>1794</v>
      </c>
      <c r="CK89" s="1" t="s">
        <v>1802</v>
      </c>
      <c r="CL89" s="1" t="s">
        <v>1803</v>
      </c>
      <c r="CM89" s="1" t="s">
        <v>1804</v>
      </c>
      <c r="CN89" s="1" t="s">
        <v>1805</v>
      </c>
      <c r="CO89" s="1" t="s">
        <v>1794</v>
      </c>
      <c r="CP89" s="1" t="s">
        <v>1806</v>
      </c>
      <c r="CQ89" s="1" t="s">
        <v>1807</v>
      </c>
      <c r="CR89" s="1" t="s">
        <v>1808</v>
      </c>
      <c r="CS89" s="1" t="s">
        <v>1809</v>
      </c>
      <c r="CT89" s="1" t="s">
        <v>1810</v>
      </c>
      <c r="CU89" s="1" t="s">
        <v>1811</v>
      </c>
      <c r="CV89" s="1" t="s">
        <v>1812</v>
      </c>
      <c r="CW89" s="1" t="s">
        <v>1813</v>
      </c>
      <c r="CX89" s="1" t="s">
        <v>1814</v>
      </c>
      <c r="CY89" s="1" t="s">
        <v>1813</v>
      </c>
      <c r="CZ89" s="1" t="s">
        <v>1813</v>
      </c>
      <c r="DA89" s="1" t="s">
        <v>1775</v>
      </c>
      <c r="DB89" s="1" t="s">
        <v>1776</v>
      </c>
      <c r="DC89" s="1" t="s">
        <v>1752</v>
      </c>
      <c r="DD89" s="1" t="s">
        <v>1765</v>
      </c>
      <c r="DE89" s="1" t="s">
        <v>1815</v>
      </c>
      <c r="DF89" s="1" t="s">
        <v>1816</v>
      </c>
      <c r="DG89" s="1" t="s">
        <v>1817</v>
      </c>
      <c r="DH89" s="1" t="s">
        <v>1818</v>
      </c>
      <c r="DI89" s="1" t="s">
        <v>1819</v>
      </c>
      <c r="DJ89" s="1" t="s">
        <v>1820</v>
      </c>
      <c r="DK89" s="1" t="s">
        <v>1821</v>
      </c>
      <c r="DL89" s="1" t="s">
        <v>1822</v>
      </c>
      <c r="DM89" s="1" t="s">
        <v>1765</v>
      </c>
      <c r="DN89" s="1" t="s">
        <v>1765</v>
      </c>
      <c r="DO89" s="1" t="s">
        <v>1823</v>
      </c>
      <c r="DP89" s="1" t="s">
        <v>1824</v>
      </c>
      <c r="DQ89" s="1" t="s">
        <v>1824</v>
      </c>
      <c r="DR89" s="1" t="s">
        <v>1765</v>
      </c>
      <c r="DS89" s="1" t="s">
        <v>1825</v>
      </c>
      <c r="DT89" s="1" t="s">
        <v>1816</v>
      </c>
      <c r="DU89" s="1" t="s">
        <v>1826</v>
      </c>
      <c r="DV89" s="1" t="s">
        <v>3539</v>
      </c>
      <c r="DW89" s="1" t="s">
        <v>1828</v>
      </c>
      <c r="DX89" s="1" t="s">
        <v>3540</v>
      </c>
      <c r="DY89" s="1" t="s">
        <v>424</v>
      </c>
      <c r="DZ89" s="1" t="s">
        <v>1752</v>
      </c>
      <c r="EA89" s="1" t="s">
        <v>218</v>
      </c>
      <c r="EB89" s="1" t="s">
        <v>892</v>
      </c>
      <c r="EC89" s="1" t="s">
        <v>3531</v>
      </c>
      <c r="ED89" s="1" t="s">
        <v>3541</v>
      </c>
      <c r="EE89" s="1" t="s">
        <v>3541</v>
      </c>
      <c r="EF89" s="1" t="s">
        <v>3542</v>
      </c>
      <c r="EG89" s="1" t="s">
        <v>2034</v>
      </c>
      <c r="EH89" s="1" t="s">
        <v>3543</v>
      </c>
      <c r="EI89" s="1" t="s">
        <v>3544</v>
      </c>
      <c r="EJ89" s="1" t="s">
        <v>3118</v>
      </c>
      <c r="EK89" s="1" t="s">
        <v>1836</v>
      </c>
      <c r="EL89" s="1" t="s">
        <v>1837</v>
      </c>
      <c r="EM89" s="1" t="s">
        <v>1838</v>
      </c>
      <c r="EN89" s="1" t="s">
        <v>3545</v>
      </c>
      <c r="EO89" s="1" t="s">
        <v>1840</v>
      </c>
      <c r="EP89" s="1" t="s">
        <v>271</v>
      </c>
      <c r="EQ89" s="1" t="s">
        <v>1782</v>
      </c>
      <c r="ER89" s="1" t="s">
        <v>1802</v>
      </c>
      <c r="ES89" s="1" t="s">
        <v>1802</v>
      </c>
      <c r="ET89" s="1" t="s">
        <v>1802</v>
      </c>
      <c r="EU89" s="1" t="s">
        <v>1802</v>
      </c>
      <c r="EV89" s="1" t="s">
        <v>1802</v>
      </c>
      <c r="EW89" s="1" t="s">
        <v>1802</v>
      </c>
      <c r="EX89" s="1" t="s">
        <v>1802</v>
      </c>
      <c r="EY89" s="1" t="s">
        <v>1802</v>
      </c>
      <c r="EZ89" s="1" t="s">
        <v>1802</v>
      </c>
      <c r="FA89" s="1" t="s">
        <v>1802</v>
      </c>
      <c r="FB89" s="1" t="s">
        <v>1802</v>
      </c>
      <c r="FC89" s="1" t="s">
        <v>1802</v>
      </c>
      <c r="FD89" s="1" t="s">
        <v>1802</v>
      </c>
      <c r="FE89" s="1" t="s">
        <v>1802</v>
      </c>
      <c r="FF89" s="1" t="s">
        <v>1802</v>
      </c>
      <c r="FG89" s="1" t="s">
        <v>1802</v>
      </c>
      <c r="FH89" s="1" t="s">
        <v>1802</v>
      </c>
      <c r="FI89" s="1" t="s">
        <v>1802</v>
      </c>
      <c r="FJ89" s="1" t="s">
        <v>1802</v>
      </c>
      <c r="FK89" s="1" t="s">
        <v>1802</v>
      </c>
      <c r="FL89" s="1" t="s">
        <v>1802</v>
      </c>
      <c r="FM89" s="1" t="s">
        <v>1802</v>
      </c>
      <c r="FN89" s="1" t="s">
        <v>1802</v>
      </c>
      <c r="FO89" s="1" t="s">
        <v>1802</v>
      </c>
      <c r="FP89" s="1" t="s">
        <v>1802</v>
      </c>
      <c r="FQ89" s="1" t="s">
        <v>1802</v>
      </c>
      <c r="FR89" s="2"/>
      <c r="FS89" s="1" t="s">
        <v>1802</v>
      </c>
    </row>
    <row r="90" spans="1:175" x14ac:dyDescent="0.3">
      <c r="A90" s="1" t="s">
        <v>3546</v>
      </c>
      <c r="B90" s="1" t="s">
        <v>1739</v>
      </c>
      <c r="C90" s="1" t="s">
        <v>1422</v>
      </c>
      <c r="D90" s="1" t="s">
        <v>1740</v>
      </c>
      <c r="E90" s="1" t="s">
        <v>2577</v>
      </c>
      <c r="F90" s="1" t="s">
        <v>3547</v>
      </c>
      <c r="G90" s="1" t="s">
        <v>3547</v>
      </c>
      <c r="H90" s="1" t="s">
        <v>3548</v>
      </c>
      <c r="I90" s="1" t="s">
        <v>1744</v>
      </c>
      <c r="J90" s="1" t="s">
        <v>1745</v>
      </c>
      <c r="K90" s="1" t="s">
        <v>1746</v>
      </c>
      <c r="L90" s="1" t="s">
        <v>1747</v>
      </c>
      <c r="M90" s="1" t="s">
        <v>1748</v>
      </c>
      <c r="N90" s="1" t="s">
        <v>1749</v>
      </c>
      <c r="O90" s="1" t="s">
        <v>1750</v>
      </c>
      <c r="P90" s="1" t="s">
        <v>1751</v>
      </c>
      <c r="Q90">
        <v>49</v>
      </c>
      <c r="R90" s="1" t="s">
        <v>1752</v>
      </c>
      <c r="S90" s="1" t="s">
        <v>1753</v>
      </c>
      <c r="T90" s="1" t="s">
        <v>1754</v>
      </c>
      <c r="U90" s="1" t="s">
        <v>1755</v>
      </c>
      <c r="V90" s="1" t="s">
        <v>1756</v>
      </c>
      <c r="W90">
        <v>72</v>
      </c>
      <c r="X90">
        <v>72</v>
      </c>
      <c r="Y90" s="1" t="s">
        <v>1757</v>
      </c>
      <c r="Z90" s="2">
        <v>36999</v>
      </c>
      <c r="AA90" s="1" t="s">
        <v>3549</v>
      </c>
      <c r="AB90" s="1" t="s">
        <v>1755</v>
      </c>
      <c r="AC90" s="1" t="s">
        <v>3550</v>
      </c>
      <c r="AD90" s="1" t="s">
        <v>424</v>
      </c>
      <c r="AE90" s="1" t="s">
        <v>1760</v>
      </c>
      <c r="AF90" s="1" t="s">
        <v>1761</v>
      </c>
      <c r="AG90" s="1" t="s">
        <v>1762</v>
      </c>
      <c r="AH90" s="1" t="s">
        <v>3549</v>
      </c>
      <c r="AI90" s="1" t="s">
        <v>3549</v>
      </c>
      <c r="AJ90" s="1" t="s">
        <v>1763</v>
      </c>
      <c r="AK90" s="1" t="s">
        <v>1763</v>
      </c>
      <c r="AL90" s="1" t="s">
        <v>1763</v>
      </c>
      <c r="AM90" s="1" t="s">
        <v>3550</v>
      </c>
      <c r="AN90" s="1" t="s">
        <v>424</v>
      </c>
      <c r="AO90" s="1" t="s">
        <v>3551</v>
      </c>
      <c r="AP90" s="1" t="s">
        <v>1765</v>
      </c>
      <c r="AQ90" s="1" t="s">
        <v>1766</v>
      </c>
      <c r="AR90" s="1" t="s">
        <v>1767</v>
      </c>
      <c r="AS90" s="1" t="s">
        <v>1768</v>
      </c>
      <c r="AT90">
        <v>2010150922131390</v>
      </c>
      <c r="AU90" s="1" t="s">
        <v>1769</v>
      </c>
      <c r="AV90">
        <v>102663518545333</v>
      </c>
      <c r="AW90" s="1" t="s">
        <v>1770</v>
      </c>
      <c r="AX90" s="1" t="s">
        <v>1765</v>
      </c>
      <c r="AY90" s="1" t="s">
        <v>3552</v>
      </c>
      <c r="AZ90" s="1" t="s">
        <v>1897</v>
      </c>
      <c r="BA90" s="1" t="s">
        <v>3553</v>
      </c>
      <c r="BB90">
        <v>272</v>
      </c>
      <c r="BC90" s="1" t="s">
        <v>1774</v>
      </c>
      <c r="BD90" s="1" t="s">
        <v>1775</v>
      </c>
      <c r="BE90" s="1" t="s">
        <v>1776</v>
      </c>
      <c r="BF90" s="1" t="s">
        <v>1777</v>
      </c>
      <c r="BG90" s="1" t="s">
        <v>1778</v>
      </c>
      <c r="BH90" s="1" t="s">
        <v>1779</v>
      </c>
      <c r="BI90" s="1" t="s">
        <v>1779</v>
      </c>
      <c r="BJ90" s="1" t="s">
        <v>1780</v>
      </c>
      <c r="BK90" s="1" t="s">
        <v>1781</v>
      </c>
      <c r="BL90" s="1" t="s">
        <v>1754</v>
      </c>
      <c r="BM90" s="1" t="s">
        <v>1782</v>
      </c>
      <c r="BN90" s="1" t="s">
        <v>1783</v>
      </c>
      <c r="BO90" s="1" t="s">
        <v>1784</v>
      </c>
      <c r="BP90" s="1" t="s">
        <v>1785</v>
      </c>
      <c r="BQ90" s="1" t="s">
        <v>1786</v>
      </c>
      <c r="BR90" s="1" t="s">
        <v>3554</v>
      </c>
      <c r="BS90" s="1" t="s">
        <v>1788</v>
      </c>
      <c r="BT90" s="1" t="s">
        <v>3555</v>
      </c>
      <c r="BU90" s="1" t="s">
        <v>1790</v>
      </c>
      <c r="BV90" s="1" t="s">
        <v>3556</v>
      </c>
      <c r="BW90" s="1" t="s">
        <v>1790</v>
      </c>
      <c r="BX90" s="1" t="s">
        <v>3556</v>
      </c>
      <c r="BY90" s="1" t="s">
        <v>3446</v>
      </c>
      <c r="BZ90" s="1" t="s">
        <v>3557</v>
      </c>
      <c r="CA90" s="1" t="s">
        <v>1794</v>
      </c>
      <c r="CB90" s="1" t="s">
        <v>1795</v>
      </c>
      <c r="CC90" s="1" t="s">
        <v>1796</v>
      </c>
      <c r="CD90" s="1" t="s">
        <v>1797</v>
      </c>
      <c r="CE90" s="1" t="s">
        <v>1798</v>
      </c>
      <c r="CF90" s="1" t="s">
        <v>1799</v>
      </c>
      <c r="CG90" s="1" t="s">
        <v>1800</v>
      </c>
      <c r="CH90" s="1" t="s">
        <v>1794</v>
      </c>
      <c r="CI90" s="1" t="s">
        <v>1801</v>
      </c>
      <c r="CJ90" s="1" t="s">
        <v>1794</v>
      </c>
      <c r="CK90" s="1" t="s">
        <v>1802</v>
      </c>
      <c r="CL90" s="1" t="s">
        <v>1803</v>
      </c>
      <c r="CM90" s="1" t="s">
        <v>1804</v>
      </c>
      <c r="CN90" s="1" t="s">
        <v>1805</v>
      </c>
      <c r="CO90" s="1" t="s">
        <v>1794</v>
      </c>
      <c r="CP90" s="1" t="s">
        <v>1806</v>
      </c>
      <c r="CQ90" s="1" t="s">
        <v>1807</v>
      </c>
      <c r="CR90" s="1" t="s">
        <v>1808</v>
      </c>
      <c r="CS90" s="1" t="s">
        <v>1809</v>
      </c>
      <c r="CT90" s="1" t="s">
        <v>1810</v>
      </c>
      <c r="CU90" s="1" t="s">
        <v>1811</v>
      </c>
      <c r="CV90" s="1" t="s">
        <v>1812</v>
      </c>
      <c r="CW90" s="1" t="s">
        <v>1813</v>
      </c>
      <c r="CX90" s="1" t="s">
        <v>1814</v>
      </c>
      <c r="CY90" s="1" t="s">
        <v>1813</v>
      </c>
      <c r="CZ90" s="1" t="s">
        <v>1813</v>
      </c>
      <c r="DA90" s="1" t="s">
        <v>1775</v>
      </c>
      <c r="DB90" s="1" t="s">
        <v>1776</v>
      </c>
      <c r="DC90" s="1" t="s">
        <v>1752</v>
      </c>
      <c r="DD90" s="1" t="s">
        <v>1765</v>
      </c>
      <c r="DE90" s="1" t="s">
        <v>1815</v>
      </c>
      <c r="DF90" s="1" t="s">
        <v>1816</v>
      </c>
      <c r="DG90" s="1" t="s">
        <v>1817</v>
      </c>
      <c r="DH90" s="1" t="s">
        <v>1818</v>
      </c>
      <c r="DI90" s="1" t="s">
        <v>1819</v>
      </c>
      <c r="DJ90" s="1" t="s">
        <v>1820</v>
      </c>
      <c r="DK90" s="1" t="s">
        <v>1821</v>
      </c>
      <c r="DL90" s="1" t="s">
        <v>1822</v>
      </c>
      <c r="DM90" s="1" t="s">
        <v>1765</v>
      </c>
      <c r="DN90" s="1" t="s">
        <v>1765</v>
      </c>
      <c r="DO90" s="1" t="s">
        <v>1823</v>
      </c>
      <c r="DP90" s="1" t="s">
        <v>1824</v>
      </c>
      <c r="DQ90" s="1" t="s">
        <v>1824</v>
      </c>
      <c r="DR90" s="1" t="s">
        <v>1765</v>
      </c>
      <c r="DS90" s="1" t="s">
        <v>1825</v>
      </c>
      <c r="DT90" s="1" t="s">
        <v>1816</v>
      </c>
      <c r="DU90" s="1" t="s">
        <v>1826</v>
      </c>
      <c r="DV90" s="1" t="s">
        <v>3558</v>
      </c>
      <c r="DW90" s="1" t="s">
        <v>1828</v>
      </c>
      <c r="DX90" s="1" t="s">
        <v>3559</v>
      </c>
      <c r="DY90" s="1" t="s">
        <v>424</v>
      </c>
      <c r="DZ90" s="1" t="s">
        <v>1752</v>
      </c>
      <c r="EA90" s="1" t="s">
        <v>218</v>
      </c>
      <c r="EB90" s="1" t="s">
        <v>892</v>
      </c>
      <c r="EC90" s="1" t="s">
        <v>3550</v>
      </c>
      <c r="ED90" s="1" t="s">
        <v>3560</v>
      </c>
      <c r="EE90" s="1" t="s">
        <v>3560</v>
      </c>
      <c r="EF90" s="1" t="s">
        <v>3561</v>
      </c>
      <c r="EG90" s="1" t="s">
        <v>2034</v>
      </c>
      <c r="EH90" s="1" t="s">
        <v>3562</v>
      </c>
      <c r="EI90" s="1" t="s">
        <v>3563</v>
      </c>
      <c r="EJ90" s="1" t="s">
        <v>2634</v>
      </c>
      <c r="EK90" s="1" t="s">
        <v>1836</v>
      </c>
      <c r="EL90" s="1" t="s">
        <v>1837</v>
      </c>
      <c r="EM90" s="1" t="s">
        <v>1838</v>
      </c>
      <c r="EN90" s="1" t="s">
        <v>3564</v>
      </c>
      <c r="EO90" s="1" t="s">
        <v>1840</v>
      </c>
      <c r="EP90" s="1" t="s">
        <v>203</v>
      </c>
      <c r="EQ90" s="1" t="s">
        <v>1782</v>
      </c>
      <c r="ER90" s="1" t="s">
        <v>1802</v>
      </c>
      <c r="ES90" s="1" t="s">
        <v>1802</v>
      </c>
      <c r="ET90" s="1" t="s">
        <v>1802</v>
      </c>
      <c r="EU90" s="1" t="s">
        <v>1802</v>
      </c>
      <c r="EV90" s="1" t="s">
        <v>1802</v>
      </c>
      <c r="EW90" s="1" t="s">
        <v>1802</v>
      </c>
      <c r="EX90" s="1" t="s">
        <v>1802</v>
      </c>
      <c r="EY90" s="1" t="s">
        <v>1802</v>
      </c>
      <c r="EZ90" s="1" t="s">
        <v>1802</v>
      </c>
      <c r="FA90" s="1" t="s">
        <v>1802</v>
      </c>
      <c r="FB90" s="1" t="s">
        <v>1802</v>
      </c>
      <c r="FC90" s="1" t="s">
        <v>1802</v>
      </c>
      <c r="FD90" s="1" t="s">
        <v>1802</v>
      </c>
      <c r="FE90" s="1" t="s">
        <v>1802</v>
      </c>
      <c r="FF90" s="1" t="s">
        <v>1802</v>
      </c>
      <c r="FG90" s="1" t="s">
        <v>1802</v>
      </c>
      <c r="FH90" s="1" t="s">
        <v>1802</v>
      </c>
      <c r="FI90" s="1" t="s">
        <v>1802</v>
      </c>
      <c r="FJ90" s="1" t="s">
        <v>1802</v>
      </c>
      <c r="FK90" s="1" t="s">
        <v>1802</v>
      </c>
      <c r="FL90" s="1" t="s">
        <v>1802</v>
      </c>
      <c r="FM90" s="1" t="s">
        <v>1802</v>
      </c>
      <c r="FN90" s="1" t="s">
        <v>1802</v>
      </c>
      <c r="FO90" s="1" t="s">
        <v>1802</v>
      </c>
      <c r="FP90" s="1" t="s">
        <v>1802</v>
      </c>
      <c r="FQ90" s="1" t="s">
        <v>1802</v>
      </c>
      <c r="FR90" s="2"/>
      <c r="FS90" s="1" t="s">
        <v>1802</v>
      </c>
    </row>
    <row r="91" spans="1:175" x14ac:dyDescent="0.3">
      <c r="A91" s="1" t="s">
        <v>3565</v>
      </c>
      <c r="B91" s="1" t="s">
        <v>1739</v>
      </c>
      <c r="C91" s="1" t="s">
        <v>1432</v>
      </c>
      <c r="D91" s="1" t="s">
        <v>1740</v>
      </c>
      <c r="E91" s="1" t="s">
        <v>2471</v>
      </c>
      <c r="F91" s="1" t="s">
        <v>3566</v>
      </c>
      <c r="G91" s="1" t="s">
        <v>3566</v>
      </c>
      <c r="H91" s="1" t="s">
        <v>3567</v>
      </c>
      <c r="I91" s="1" t="s">
        <v>1744</v>
      </c>
      <c r="J91" s="1" t="s">
        <v>1745</v>
      </c>
      <c r="K91" s="1" t="s">
        <v>1746</v>
      </c>
      <c r="L91" s="1" t="s">
        <v>1747</v>
      </c>
      <c r="M91" s="1" t="s">
        <v>1748</v>
      </c>
      <c r="N91" s="1" t="s">
        <v>1749</v>
      </c>
      <c r="O91" s="1" t="s">
        <v>1750</v>
      </c>
      <c r="P91" s="1" t="s">
        <v>1751</v>
      </c>
      <c r="Q91">
        <v>49</v>
      </c>
      <c r="R91" s="1" t="s">
        <v>1752</v>
      </c>
      <c r="S91" s="1" t="s">
        <v>1753</v>
      </c>
      <c r="T91" s="1" t="s">
        <v>1754</v>
      </c>
      <c r="U91" s="1" t="s">
        <v>1755</v>
      </c>
      <c r="V91" s="1" t="s">
        <v>1756</v>
      </c>
      <c r="W91">
        <v>72</v>
      </c>
      <c r="X91">
        <v>72</v>
      </c>
      <c r="Y91" s="1" t="s">
        <v>1757</v>
      </c>
      <c r="Z91" s="2">
        <v>36999</v>
      </c>
      <c r="AA91" s="1" t="s">
        <v>3568</v>
      </c>
      <c r="AB91" s="1" t="s">
        <v>1755</v>
      </c>
      <c r="AC91" s="1" t="s">
        <v>3569</v>
      </c>
      <c r="AD91" s="1" t="s">
        <v>424</v>
      </c>
      <c r="AE91" s="1" t="s">
        <v>1760</v>
      </c>
      <c r="AF91" s="1" t="s">
        <v>1761</v>
      </c>
      <c r="AG91" s="1" t="s">
        <v>1762</v>
      </c>
      <c r="AH91" s="1" t="s">
        <v>3568</v>
      </c>
      <c r="AI91" s="1" t="s">
        <v>3568</v>
      </c>
      <c r="AJ91" s="1" t="s">
        <v>1763</v>
      </c>
      <c r="AK91" s="1" t="s">
        <v>1763</v>
      </c>
      <c r="AL91" s="1" t="s">
        <v>1763</v>
      </c>
      <c r="AM91" s="1" t="s">
        <v>3569</v>
      </c>
      <c r="AN91" s="1" t="s">
        <v>424</v>
      </c>
      <c r="AO91" s="1" t="s">
        <v>3570</v>
      </c>
      <c r="AP91" s="1" t="s">
        <v>1765</v>
      </c>
      <c r="AQ91" s="1" t="s">
        <v>1766</v>
      </c>
      <c r="AR91" s="1" t="s">
        <v>1767</v>
      </c>
      <c r="AS91" s="1" t="s">
        <v>1768</v>
      </c>
      <c r="AT91">
        <v>2007150722091388</v>
      </c>
      <c r="AU91" s="1" t="s">
        <v>1769</v>
      </c>
      <c r="AV91">
        <v>106174401635083</v>
      </c>
      <c r="AW91" s="1" t="s">
        <v>1770</v>
      </c>
      <c r="AX91" s="1" t="s">
        <v>1765</v>
      </c>
      <c r="AY91" s="1" t="s">
        <v>3571</v>
      </c>
      <c r="AZ91" s="1" t="s">
        <v>1897</v>
      </c>
      <c r="BA91" s="1" t="s">
        <v>3572</v>
      </c>
      <c r="BB91">
        <v>66</v>
      </c>
      <c r="BC91" s="1" t="s">
        <v>1774</v>
      </c>
      <c r="BD91" s="1" t="s">
        <v>1775</v>
      </c>
      <c r="BE91" s="1" t="s">
        <v>1776</v>
      </c>
      <c r="BF91" s="1" t="s">
        <v>1777</v>
      </c>
      <c r="BG91" s="1" t="s">
        <v>1778</v>
      </c>
      <c r="BH91" s="1" t="s">
        <v>1779</v>
      </c>
      <c r="BI91" s="1" t="s">
        <v>1779</v>
      </c>
      <c r="BJ91" s="1" t="s">
        <v>1780</v>
      </c>
      <c r="BK91" s="1" t="s">
        <v>1781</v>
      </c>
      <c r="BL91" s="1" t="s">
        <v>1754</v>
      </c>
      <c r="BM91" s="1" t="s">
        <v>1782</v>
      </c>
      <c r="BN91" s="1" t="s">
        <v>1783</v>
      </c>
      <c r="BO91" s="1" t="s">
        <v>1784</v>
      </c>
      <c r="BP91" s="1" t="s">
        <v>1785</v>
      </c>
      <c r="BQ91" s="1" t="s">
        <v>1786</v>
      </c>
      <c r="BR91" s="1" t="s">
        <v>3573</v>
      </c>
      <c r="BS91" s="1" t="s">
        <v>1788</v>
      </c>
      <c r="BT91" s="1" t="s">
        <v>3574</v>
      </c>
      <c r="BU91" s="1" t="s">
        <v>1790</v>
      </c>
      <c r="BV91" s="1" t="s">
        <v>3575</v>
      </c>
      <c r="BW91" s="1" t="s">
        <v>1790</v>
      </c>
      <c r="BX91" s="1" t="s">
        <v>3575</v>
      </c>
      <c r="BY91" s="1" t="s">
        <v>3446</v>
      </c>
      <c r="BZ91" s="1" t="s">
        <v>2144</v>
      </c>
      <c r="CA91" s="1" t="s">
        <v>1794</v>
      </c>
      <c r="CB91" s="1" t="s">
        <v>1795</v>
      </c>
      <c r="CC91" s="1" t="s">
        <v>1796</v>
      </c>
      <c r="CD91" s="1" t="s">
        <v>1797</v>
      </c>
      <c r="CE91" s="1" t="s">
        <v>1798</v>
      </c>
      <c r="CF91" s="1" t="s">
        <v>1799</v>
      </c>
      <c r="CG91" s="1" t="s">
        <v>1800</v>
      </c>
      <c r="CH91" s="1" t="s">
        <v>1794</v>
      </c>
      <c r="CI91" s="1" t="s">
        <v>1801</v>
      </c>
      <c r="CJ91" s="1" t="s">
        <v>1794</v>
      </c>
      <c r="CK91" s="1" t="s">
        <v>1802</v>
      </c>
      <c r="CL91" s="1" t="s">
        <v>1803</v>
      </c>
      <c r="CM91" s="1" t="s">
        <v>1804</v>
      </c>
      <c r="CN91" s="1" t="s">
        <v>1805</v>
      </c>
      <c r="CO91" s="1" t="s">
        <v>1794</v>
      </c>
      <c r="CP91" s="1" t="s">
        <v>1806</v>
      </c>
      <c r="CQ91" s="1" t="s">
        <v>1807</v>
      </c>
      <c r="CR91" s="1" t="s">
        <v>1808</v>
      </c>
      <c r="CS91" s="1" t="s">
        <v>1809</v>
      </c>
      <c r="CT91" s="1" t="s">
        <v>1810</v>
      </c>
      <c r="CU91" s="1" t="s">
        <v>1811</v>
      </c>
      <c r="CV91" s="1" t="s">
        <v>1812</v>
      </c>
      <c r="CW91" s="1" t="s">
        <v>1813</v>
      </c>
      <c r="CX91" s="1" t="s">
        <v>1814</v>
      </c>
      <c r="CY91" s="1" t="s">
        <v>1813</v>
      </c>
      <c r="CZ91" s="1" t="s">
        <v>1813</v>
      </c>
      <c r="DA91" s="1" t="s">
        <v>1775</v>
      </c>
      <c r="DB91" s="1" t="s">
        <v>1776</v>
      </c>
      <c r="DC91" s="1" t="s">
        <v>1752</v>
      </c>
      <c r="DD91" s="1" t="s">
        <v>1765</v>
      </c>
      <c r="DE91" s="1" t="s">
        <v>1815</v>
      </c>
      <c r="DF91" s="1" t="s">
        <v>1816</v>
      </c>
      <c r="DG91" s="1" t="s">
        <v>1817</v>
      </c>
      <c r="DH91" s="1" t="s">
        <v>1818</v>
      </c>
      <c r="DI91" s="1" t="s">
        <v>1819</v>
      </c>
      <c r="DJ91" s="1" t="s">
        <v>1820</v>
      </c>
      <c r="DK91" s="1" t="s">
        <v>1821</v>
      </c>
      <c r="DL91" s="1" t="s">
        <v>1822</v>
      </c>
      <c r="DM91" s="1" t="s">
        <v>1765</v>
      </c>
      <c r="DN91" s="1" t="s">
        <v>1765</v>
      </c>
      <c r="DO91" s="1" t="s">
        <v>1823</v>
      </c>
      <c r="DP91" s="1" t="s">
        <v>1824</v>
      </c>
      <c r="DQ91" s="1" t="s">
        <v>1824</v>
      </c>
      <c r="DR91" s="1" t="s">
        <v>1765</v>
      </c>
      <c r="DS91" s="1" t="s">
        <v>1825</v>
      </c>
      <c r="DT91" s="1" t="s">
        <v>1816</v>
      </c>
      <c r="DU91" s="1" t="s">
        <v>1826</v>
      </c>
      <c r="DV91" s="1" t="s">
        <v>3576</v>
      </c>
      <c r="DW91" s="1" t="s">
        <v>1828</v>
      </c>
      <c r="DX91" s="1" t="s">
        <v>3577</v>
      </c>
      <c r="DY91" s="1" t="s">
        <v>424</v>
      </c>
      <c r="DZ91" s="1" t="s">
        <v>1752</v>
      </c>
      <c r="EA91" s="1" t="s">
        <v>218</v>
      </c>
      <c r="EB91" s="1" t="s">
        <v>892</v>
      </c>
      <c r="EC91" s="1" t="s">
        <v>3569</v>
      </c>
      <c r="ED91" s="1" t="s">
        <v>3578</v>
      </c>
      <c r="EE91" s="1" t="s">
        <v>3578</v>
      </c>
      <c r="EF91" s="1" t="s">
        <v>3579</v>
      </c>
      <c r="EG91" s="1" t="s">
        <v>2085</v>
      </c>
      <c r="EH91" s="1" t="s">
        <v>3580</v>
      </c>
      <c r="EI91" s="1" t="s">
        <v>2300</v>
      </c>
      <c r="EJ91" s="1" t="s">
        <v>3581</v>
      </c>
      <c r="EK91" s="1" t="s">
        <v>1836</v>
      </c>
      <c r="EL91" s="1" t="s">
        <v>1837</v>
      </c>
      <c r="EM91" s="1" t="s">
        <v>1838</v>
      </c>
      <c r="EN91" s="1" t="s">
        <v>3582</v>
      </c>
      <c r="EO91" s="1" t="s">
        <v>1840</v>
      </c>
      <c r="EP91" s="1" t="s">
        <v>1276</v>
      </c>
      <c r="EQ91" s="1" t="s">
        <v>1782</v>
      </c>
      <c r="ER91" s="1" t="s">
        <v>1802</v>
      </c>
      <c r="ES91" s="1" t="s">
        <v>1802</v>
      </c>
      <c r="ET91" s="1" t="s">
        <v>1802</v>
      </c>
      <c r="EU91" s="1" t="s">
        <v>1802</v>
      </c>
      <c r="EV91" s="1" t="s">
        <v>1802</v>
      </c>
      <c r="EW91" s="1" t="s">
        <v>1802</v>
      </c>
      <c r="EX91" s="1" t="s">
        <v>1802</v>
      </c>
      <c r="EY91" s="1" t="s">
        <v>1802</v>
      </c>
      <c r="EZ91" s="1" t="s">
        <v>1802</v>
      </c>
      <c r="FA91" s="1" t="s">
        <v>1802</v>
      </c>
      <c r="FB91" s="1" t="s">
        <v>1802</v>
      </c>
      <c r="FC91" s="1" t="s">
        <v>1802</v>
      </c>
      <c r="FD91" s="1" t="s">
        <v>1802</v>
      </c>
      <c r="FE91" s="1" t="s">
        <v>1802</v>
      </c>
      <c r="FF91" s="1" t="s">
        <v>1802</v>
      </c>
      <c r="FG91" s="1" t="s">
        <v>1802</v>
      </c>
      <c r="FH91" s="1" t="s">
        <v>1802</v>
      </c>
      <c r="FI91" s="1" t="s">
        <v>1802</v>
      </c>
      <c r="FJ91" s="1" t="s">
        <v>1802</v>
      </c>
      <c r="FK91" s="1" t="s">
        <v>1802</v>
      </c>
      <c r="FL91" s="1" t="s">
        <v>1802</v>
      </c>
      <c r="FM91" s="1" t="s">
        <v>1802</v>
      </c>
      <c r="FN91" s="1" t="s">
        <v>1802</v>
      </c>
      <c r="FO91" s="1" t="s">
        <v>1802</v>
      </c>
      <c r="FP91" s="1" t="s">
        <v>1802</v>
      </c>
      <c r="FQ91" s="1" t="s">
        <v>1802</v>
      </c>
      <c r="FR91" s="2"/>
      <c r="FS91" s="1" t="s">
        <v>1802</v>
      </c>
    </row>
    <row r="92" spans="1:175" x14ac:dyDescent="0.3">
      <c r="A92" s="1" t="s">
        <v>3583</v>
      </c>
      <c r="B92" s="1" t="s">
        <v>1739</v>
      </c>
      <c r="C92" s="1" t="s">
        <v>1445</v>
      </c>
      <c r="D92" s="1" t="s">
        <v>1740</v>
      </c>
      <c r="E92" s="1" t="s">
        <v>2091</v>
      </c>
      <c r="F92" s="1" t="s">
        <v>3584</v>
      </c>
      <c r="G92" s="1" t="s">
        <v>3584</v>
      </c>
      <c r="H92" s="1" t="s">
        <v>1915</v>
      </c>
      <c r="I92" s="1" t="s">
        <v>1744</v>
      </c>
      <c r="J92" s="1" t="s">
        <v>1745</v>
      </c>
      <c r="K92" s="1" t="s">
        <v>1746</v>
      </c>
      <c r="L92" s="1" t="s">
        <v>1747</v>
      </c>
      <c r="M92" s="1" t="s">
        <v>1748</v>
      </c>
      <c r="N92" s="1" t="s">
        <v>1749</v>
      </c>
      <c r="O92" s="1" t="s">
        <v>1750</v>
      </c>
      <c r="P92" s="1" t="s">
        <v>1751</v>
      </c>
      <c r="Q92">
        <v>49</v>
      </c>
      <c r="R92" s="1" t="s">
        <v>1752</v>
      </c>
      <c r="S92" s="1" t="s">
        <v>1753</v>
      </c>
      <c r="T92" s="1" t="s">
        <v>1754</v>
      </c>
      <c r="U92" s="1" t="s">
        <v>1755</v>
      </c>
      <c r="V92" s="1" t="s">
        <v>1756</v>
      </c>
      <c r="W92">
        <v>72</v>
      </c>
      <c r="X92">
        <v>72</v>
      </c>
      <c r="Y92" s="1" t="s">
        <v>1757</v>
      </c>
      <c r="Z92" s="2">
        <v>36999</v>
      </c>
      <c r="AA92" s="1" t="s">
        <v>3585</v>
      </c>
      <c r="AB92" s="1" t="s">
        <v>1755</v>
      </c>
      <c r="AC92" s="1" t="s">
        <v>3586</v>
      </c>
      <c r="AD92" s="1" t="s">
        <v>424</v>
      </c>
      <c r="AE92" s="1" t="s">
        <v>1760</v>
      </c>
      <c r="AF92" s="1" t="s">
        <v>1761</v>
      </c>
      <c r="AG92" s="1" t="s">
        <v>1762</v>
      </c>
      <c r="AH92" s="1" t="s">
        <v>3585</v>
      </c>
      <c r="AI92" s="1" t="s">
        <v>3585</v>
      </c>
      <c r="AJ92" s="1" t="s">
        <v>1763</v>
      </c>
      <c r="AK92" s="1" t="s">
        <v>1763</v>
      </c>
      <c r="AL92" s="1" t="s">
        <v>1763</v>
      </c>
      <c r="AM92" s="1" t="s">
        <v>3586</v>
      </c>
      <c r="AN92" s="1" t="s">
        <v>424</v>
      </c>
      <c r="AO92" s="1" t="s">
        <v>3587</v>
      </c>
      <c r="AP92" s="1" t="s">
        <v>1765</v>
      </c>
      <c r="AQ92" s="1" t="s">
        <v>1766</v>
      </c>
      <c r="AR92" s="1" t="s">
        <v>1767</v>
      </c>
      <c r="AS92" s="1" t="s">
        <v>1768</v>
      </c>
      <c r="AT92">
        <v>2010150922131390</v>
      </c>
      <c r="AU92" s="1" t="s">
        <v>1769</v>
      </c>
      <c r="AV92">
        <v>108136535728458</v>
      </c>
      <c r="AW92" s="1" t="s">
        <v>1770</v>
      </c>
      <c r="AX92" s="1" t="s">
        <v>1765</v>
      </c>
      <c r="AY92" s="1" t="s">
        <v>3588</v>
      </c>
      <c r="AZ92" s="1" t="s">
        <v>1897</v>
      </c>
      <c r="BA92" s="1" t="s">
        <v>3589</v>
      </c>
      <c r="BB92">
        <v>359</v>
      </c>
      <c r="BC92" s="1" t="s">
        <v>1774</v>
      </c>
      <c r="BD92" s="1" t="s">
        <v>1775</v>
      </c>
      <c r="BE92" s="1" t="s">
        <v>1776</v>
      </c>
      <c r="BF92" s="1" t="s">
        <v>1777</v>
      </c>
      <c r="BG92" s="1" t="s">
        <v>1778</v>
      </c>
      <c r="BH92" s="1" t="s">
        <v>1779</v>
      </c>
      <c r="BI92" s="1" t="s">
        <v>1779</v>
      </c>
      <c r="BJ92" s="1" t="s">
        <v>1780</v>
      </c>
      <c r="BK92" s="1" t="s">
        <v>1781</v>
      </c>
      <c r="BL92" s="1" t="s">
        <v>1754</v>
      </c>
      <c r="BM92" s="1" t="s">
        <v>1782</v>
      </c>
      <c r="BN92" s="1" t="s">
        <v>1783</v>
      </c>
      <c r="BO92" s="1" t="s">
        <v>1784</v>
      </c>
      <c r="BP92" s="1" t="s">
        <v>1785</v>
      </c>
      <c r="BQ92" s="1" t="s">
        <v>1786</v>
      </c>
      <c r="BR92" s="1" t="s">
        <v>3590</v>
      </c>
      <c r="BS92" s="1" t="s">
        <v>1788</v>
      </c>
      <c r="BT92" s="1" t="s">
        <v>3591</v>
      </c>
      <c r="BU92" s="1" t="s">
        <v>1790</v>
      </c>
      <c r="BV92" s="1" t="s">
        <v>3592</v>
      </c>
      <c r="BW92" s="1" t="s">
        <v>1790</v>
      </c>
      <c r="BX92" s="1" t="s">
        <v>3592</v>
      </c>
      <c r="BY92" s="1" t="s">
        <v>3446</v>
      </c>
      <c r="BZ92" s="1" t="s">
        <v>3593</v>
      </c>
      <c r="CA92" s="1" t="s">
        <v>1794</v>
      </c>
      <c r="CB92" s="1" t="s">
        <v>1795</v>
      </c>
      <c r="CC92" s="1" t="s">
        <v>1796</v>
      </c>
      <c r="CD92" s="1" t="s">
        <v>1797</v>
      </c>
      <c r="CE92" s="1" t="s">
        <v>1798</v>
      </c>
      <c r="CF92" s="1" t="s">
        <v>1799</v>
      </c>
      <c r="CG92" s="1" t="s">
        <v>1800</v>
      </c>
      <c r="CH92" s="1" t="s">
        <v>1794</v>
      </c>
      <c r="CI92" s="1" t="s">
        <v>1801</v>
      </c>
      <c r="CJ92" s="1" t="s">
        <v>1794</v>
      </c>
      <c r="CK92" s="1" t="s">
        <v>1802</v>
      </c>
      <c r="CL92" s="1" t="s">
        <v>1803</v>
      </c>
      <c r="CM92" s="1" t="s">
        <v>1804</v>
      </c>
      <c r="CN92" s="1" t="s">
        <v>1805</v>
      </c>
      <c r="CO92" s="1" t="s">
        <v>1794</v>
      </c>
      <c r="CP92" s="1" t="s">
        <v>1806</v>
      </c>
      <c r="CQ92" s="1" t="s">
        <v>1807</v>
      </c>
      <c r="CR92" s="1" t="s">
        <v>1808</v>
      </c>
      <c r="CS92" s="1" t="s">
        <v>1809</v>
      </c>
      <c r="CT92" s="1" t="s">
        <v>1810</v>
      </c>
      <c r="CU92" s="1" t="s">
        <v>1811</v>
      </c>
      <c r="CV92" s="1" t="s">
        <v>1812</v>
      </c>
      <c r="CW92" s="1" t="s">
        <v>1813</v>
      </c>
      <c r="CX92" s="1" t="s">
        <v>1814</v>
      </c>
      <c r="CY92" s="1" t="s">
        <v>1813</v>
      </c>
      <c r="CZ92" s="1" t="s">
        <v>1813</v>
      </c>
      <c r="DA92" s="1" t="s">
        <v>1775</v>
      </c>
      <c r="DB92" s="1" t="s">
        <v>1776</v>
      </c>
      <c r="DC92" s="1" t="s">
        <v>1752</v>
      </c>
      <c r="DD92" s="1" t="s">
        <v>1765</v>
      </c>
      <c r="DE92" s="1" t="s">
        <v>1815</v>
      </c>
      <c r="DF92" s="1" t="s">
        <v>1816</v>
      </c>
      <c r="DG92" s="1" t="s">
        <v>1817</v>
      </c>
      <c r="DH92" s="1" t="s">
        <v>1818</v>
      </c>
      <c r="DI92" s="1" t="s">
        <v>1819</v>
      </c>
      <c r="DJ92" s="1" t="s">
        <v>1820</v>
      </c>
      <c r="DK92" s="1" t="s">
        <v>1821</v>
      </c>
      <c r="DL92" s="1" t="s">
        <v>1822</v>
      </c>
      <c r="DM92" s="1" t="s">
        <v>1765</v>
      </c>
      <c r="DN92" s="1" t="s">
        <v>1765</v>
      </c>
      <c r="DO92" s="1" t="s">
        <v>1823</v>
      </c>
      <c r="DP92" s="1" t="s">
        <v>1824</v>
      </c>
      <c r="DQ92" s="1" t="s">
        <v>1824</v>
      </c>
      <c r="DR92" s="1" t="s">
        <v>1765</v>
      </c>
      <c r="DS92" s="1" t="s">
        <v>1825</v>
      </c>
      <c r="DT92" s="1" t="s">
        <v>1816</v>
      </c>
      <c r="DU92" s="1" t="s">
        <v>1826</v>
      </c>
      <c r="DV92" s="1" t="s">
        <v>3594</v>
      </c>
      <c r="DW92" s="1" t="s">
        <v>1828</v>
      </c>
      <c r="DX92" s="1" t="s">
        <v>3595</v>
      </c>
      <c r="DY92" s="1" t="s">
        <v>424</v>
      </c>
      <c r="DZ92" s="1" t="s">
        <v>1752</v>
      </c>
      <c r="EA92" s="1" t="s">
        <v>218</v>
      </c>
      <c r="EB92" s="1" t="s">
        <v>892</v>
      </c>
      <c r="EC92" s="1" t="s">
        <v>3586</v>
      </c>
      <c r="ED92" s="1" t="s">
        <v>3596</v>
      </c>
      <c r="EE92" s="1" t="s">
        <v>3596</v>
      </c>
      <c r="EF92" s="1" t="s">
        <v>3597</v>
      </c>
      <c r="EG92" s="1" t="s">
        <v>2034</v>
      </c>
      <c r="EH92" s="1" t="s">
        <v>3598</v>
      </c>
      <c r="EI92" s="1" t="s">
        <v>2320</v>
      </c>
      <c r="EJ92" s="1" t="s">
        <v>3599</v>
      </c>
      <c r="EK92" s="1" t="s">
        <v>1836</v>
      </c>
      <c r="EL92" s="1" t="s">
        <v>1837</v>
      </c>
      <c r="EM92" s="1" t="s">
        <v>1838</v>
      </c>
      <c r="EN92" s="1" t="s">
        <v>3600</v>
      </c>
      <c r="EO92" s="1" t="s">
        <v>1840</v>
      </c>
      <c r="EP92" s="1" t="s">
        <v>2949</v>
      </c>
      <c r="EQ92" s="1" t="s">
        <v>1782</v>
      </c>
      <c r="ER92" s="1" t="s">
        <v>1802</v>
      </c>
      <c r="ES92" s="1" t="s">
        <v>1802</v>
      </c>
      <c r="ET92" s="1" t="s">
        <v>1802</v>
      </c>
      <c r="EU92" s="1" t="s">
        <v>1802</v>
      </c>
      <c r="EV92" s="1" t="s">
        <v>1802</v>
      </c>
      <c r="EW92" s="1" t="s">
        <v>1802</v>
      </c>
      <c r="EX92" s="1" t="s">
        <v>1802</v>
      </c>
      <c r="EY92" s="1" t="s">
        <v>1802</v>
      </c>
      <c r="EZ92" s="1" t="s">
        <v>1802</v>
      </c>
      <c r="FA92" s="1" t="s">
        <v>1802</v>
      </c>
      <c r="FB92" s="1" t="s">
        <v>1802</v>
      </c>
      <c r="FC92" s="1" t="s">
        <v>1802</v>
      </c>
      <c r="FD92" s="1" t="s">
        <v>1802</v>
      </c>
      <c r="FE92" s="1" t="s">
        <v>1802</v>
      </c>
      <c r="FF92" s="1" t="s">
        <v>1802</v>
      </c>
      <c r="FG92" s="1" t="s">
        <v>1802</v>
      </c>
      <c r="FH92" s="1" t="s">
        <v>1802</v>
      </c>
      <c r="FI92" s="1" t="s">
        <v>1802</v>
      </c>
      <c r="FJ92" s="1" t="s">
        <v>1802</v>
      </c>
      <c r="FK92" s="1" t="s">
        <v>1802</v>
      </c>
      <c r="FL92" s="1" t="s">
        <v>1802</v>
      </c>
      <c r="FM92" s="1" t="s">
        <v>1802</v>
      </c>
      <c r="FN92" s="1" t="s">
        <v>1802</v>
      </c>
      <c r="FO92" s="1" t="s">
        <v>1802</v>
      </c>
      <c r="FP92" s="1" t="s">
        <v>1802</v>
      </c>
      <c r="FQ92" s="1" t="s">
        <v>1802</v>
      </c>
      <c r="FR92" s="2"/>
      <c r="FS92" s="1" t="s">
        <v>1802</v>
      </c>
    </row>
    <row r="93" spans="1:175" x14ac:dyDescent="0.3">
      <c r="A93" s="1" t="s">
        <v>3601</v>
      </c>
      <c r="B93" s="1" t="s">
        <v>1739</v>
      </c>
      <c r="C93" s="1" t="s">
        <v>1461</v>
      </c>
      <c r="D93" s="1" t="s">
        <v>1740</v>
      </c>
      <c r="E93" s="1" t="s">
        <v>2577</v>
      </c>
      <c r="F93" s="1" t="s">
        <v>3602</v>
      </c>
      <c r="G93" s="1" t="s">
        <v>3602</v>
      </c>
      <c r="H93" s="1" t="s">
        <v>3603</v>
      </c>
      <c r="I93" s="1" t="s">
        <v>1744</v>
      </c>
      <c r="J93" s="1" t="s">
        <v>1745</v>
      </c>
      <c r="K93" s="1" t="s">
        <v>1746</v>
      </c>
      <c r="L93" s="1" t="s">
        <v>1747</v>
      </c>
      <c r="M93" s="1" t="s">
        <v>1748</v>
      </c>
      <c r="N93" s="1" t="s">
        <v>1749</v>
      </c>
      <c r="O93" s="1" t="s">
        <v>1750</v>
      </c>
      <c r="P93" s="1" t="s">
        <v>1751</v>
      </c>
      <c r="Q93">
        <v>49</v>
      </c>
      <c r="R93" s="1" t="s">
        <v>1752</v>
      </c>
      <c r="S93" s="1" t="s">
        <v>1753</v>
      </c>
      <c r="T93" s="1" t="s">
        <v>1754</v>
      </c>
      <c r="U93" s="1" t="s">
        <v>1755</v>
      </c>
      <c r="V93" s="1" t="s">
        <v>1756</v>
      </c>
      <c r="W93">
        <v>72</v>
      </c>
      <c r="X93">
        <v>72</v>
      </c>
      <c r="Y93" s="1" t="s">
        <v>1757</v>
      </c>
      <c r="Z93" s="2">
        <v>36999</v>
      </c>
      <c r="AA93" s="1" t="s">
        <v>3604</v>
      </c>
      <c r="AB93" s="1" t="s">
        <v>1755</v>
      </c>
      <c r="AC93" s="1" t="s">
        <v>3158</v>
      </c>
      <c r="AD93" s="1" t="s">
        <v>424</v>
      </c>
      <c r="AE93" s="1" t="s">
        <v>1760</v>
      </c>
      <c r="AF93" s="1" t="s">
        <v>1761</v>
      </c>
      <c r="AG93" s="1" t="s">
        <v>1762</v>
      </c>
      <c r="AH93" s="1" t="s">
        <v>3604</v>
      </c>
      <c r="AI93" s="1" t="s">
        <v>3604</v>
      </c>
      <c r="AJ93" s="1" t="s">
        <v>1763</v>
      </c>
      <c r="AK93" s="1" t="s">
        <v>1763</v>
      </c>
      <c r="AL93" s="1" t="s">
        <v>1763</v>
      </c>
      <c r="AM93" s="1" t="s">
        <v>3158</v>
      </c>
      <c r="AN93" s="1" t="s">
        <v>424</v>
      </c>
      <c r="AO93" s="1" t="s">
        <v>3605</v>
      </c>
      <c r="AP93" s="1" t="s">
        <v>1765</v>
      </c>
      <c r="AQ93" s="1" t="s">
        <v>1766</v>
      </c>
      <c r="AR93" s="1" t="s">
        <v>1767</v>
      </c>
      <c r="AS93" s="1" t="s">
        <v>1768</v>
      </c>
      <c r="AT93">
        <v>2010150922131390</v>
      </c>
      <c r="AU93" s="1" t="s">
        <v>1769</v>
      </c>
      <c r="AV93">
        <v>110139547420041</v>
      </c>
      <c r="AW93" s="1" t="s">
        <v>1770</v>
      </c>
      <c r="AX93" s="1" t="s">
        <v>1765</v>
      </c>
      <c r="AY93" s="1" t="s">
        <v>3606</v>
      </c>
      <c r="AZ93" s="1" t="s">
        <v>1897</v>
      </c>
      <c r="BA93" s="1" t="s">
        <v>3607</v>
      </c>
      <c r="BB93">
        <v>325</v>
      </c>
      <c r="BC93" s="1" t="s">
        <v>1774</v>
      </c>
      <c r="BD93" s="1" t="s">
        <v>1775</v>
      </c>
      <c r="BE93" s="1" t="s">
        <v>1776</v>
      </c>
      <c r="BF93" s="1" t="s">
        <v>1777</v>
      </c>
      <c r="BG93" s="1" t="s">
        <v>1778</v>
      </c>
      <c r="BH93" s="1" t="s">
        <v>1779</v>
      </c>
      <c r="BI93" s="1" t="s">
        <v>1779</v>
      </c>
      <c r="BJ93" s="1" t="s">
        <v>1780</v>
      </c>
      <c r="BK93" s="1" t="s">
        <v>1781</v>
      </c>
      <c r="BL93" s="1" t="s">
        <v>1754</v>
      </c>
      <c r="BM93" s="1" t="s">
        <v>1782</v>
      </c>
      <c r="BN93" s="1" t="s">
        <v>1783</v>
      </c>
      <c r="BO93" s="1" t="s">
        <v>1784</v>
      </c>
      <c r="BP93" s="1" t="s">
        <v>1785</v>
      </c>
      <c r="BQ93" s="1" t="s">
        <v>1786</v>
      </c>
      <c r="BR93" s="1" t="s">
        <v>3608</v>
      </c>
      <c r="BS93" s="1" t="s">
        <v>1788</v>
      </c>
      <c r="BT93" s="1" t="s">
        <v>3609</v>
      </c>
      <c r="BU93" s="1" t="s">
        <v>1790</v>
      </c>
      <c r="BV93" s="1" t="s">
        <v>3610</v>
      </c>
      <c r="BW93" s="1" t="s">
        <v>1790</v>
      </c>
      <c r="BX93" s="1" t="s">
        <v>3610</v>
      </c>
      <c r="BY93" s="1" t="s">
        <v>3446</v>
      </c>
      <c r="BZ93" s="1" t="s">
        <v>3611</v>
      </c>
      <c r="CA93" s="1" t="s">
        <v>1794</v>
      </c>
      <c r="CB93" s="1" t="s">
        <v>1795</v>
      </c>
      <c r="CC93" s="1" t="s">
        <v>1796</v>
      </c>
      <c r="CD93" s="1" t="s">
        <v>1797</v>
      </c>
      <c r="CE93" s="1" t="s">
        <v>1798</v>
      </c>
      <c r="CF93" s="1" t="s">
        <v>1799</v>
      </c>
      <c r="CG93" s="1" t="s">
        <v>1800</v>
      </c>
      <c r="CH93" s="1" t="s">
        <v>1794</v>
      </c>
      <c r="CI93" s="1" t="s">
        <v>1801</v>
      </c>
      <c r="CJ93" s="1" t="s">
        <v>1794</v>
      </c>
      <c r="CK93" s="1" t="s">
        <v>1802</v>
      </c>
      <c r="CL93" s="1" t="s">
        <v>1803</v>
      </c>
      <c r="CM93" s="1" t="s">
        <v>1804</v>
      </c>
      <c r="CN93" s="1" t="s">
        <v>1805</v>
      </c>
      <c r="CO93" s="1" t="s">
        <v>1794</v>
      </c>
      <c r="CP93" s="1" t="s">
        <v>1806</v>
      </c>
      <c r="CQ93" s="1" t="s">
        <v>1807</v>
      </c>
      <c r="CR93" s="1" t="s">
        <v>1808</v>
      </c>
      <c r="CS93" s="1" t="s">
        <v>1809</v>
      </c>
      <c r="CT93" s="1" t="s">
        <v>1810</v>
      </c>
      <c r="CU93" s="1" t="s">
        <v>1811</v>
      </c>
      <c r="CV93" s="1" t="s">
        <v>1812</v>
      </c>
      <c r="CW93" s="1" t="s">
        <v>1813</v>
      </c>
      <c r="CX93" s="1" t="s">
        <v>1814</v>
      </c>
      <c r="CY93" s="1" t="s">
        <v>1813</v>
      </c>
      <c r="CZ93" s="1" t="s">
        <v>1813</v>
      </c>
      <c r="DA93" s="1" t="s">
        <v>1775</v>
      </c>
      <c r="DB93" s="1" t="s">
        <v>1776</v>
      </c>
      <c r="DC93" s="1" t="s">
        <v>1752</v>
      </c>
      <c r="DD93" s="1" t="s">
        <v>1765</v>
      </c>
      <c r="DE93" s="1" t="s">
        <v>1815</v>
      </c>
      <c r="DF93" s="1" t="s">
        <v>1816</v>
      </c>
      <c r="DG93" s="1" t="s">
        <v>1817</v>
      </c>
      <c r="DH93" s="1" t="s">
        <v>1818</v>
      </c>
      <c r="DI93" s="1" t="s">
        <v>1819</v>
      </c>
      <c r="DJ93" s="1" t="s">
        <v>1820</v>
      </c>
      <c r="DK93" s="1" t="s">
        <v>1821</v>
      </c>
      <c r="DL93" s="1" t="s">
        <v>1822</v>
      </c>
      <c r="DM93" s="1" t="s">
        <v>1765</v>
      </c>
      <c r="DN93" s="1" t="s">
        <v>1765</v>
      </c>
      <c r="DO93" s="1" t="s">
        <v>1823</v>
      </c>
      <c r="DP93" s="1" t="s">
        <v>1824</v>
      </c>
      <c r="DQ93" s="1" t="s">
        <v>1824</v>
      </c>
      <c r="DR93" s="1" t="s">
        <v>1765</v>
      </c>
      <c r="DS93" s="1" t="s">
        <v>1825</v>
      </c>
      <c r="DT93" s="1" t="s">
        <v>1816</v>
      </c>
      <c r="DU93" s="1" t="s">
        <v>1826</v>
      </c>
      <c r="DV93" s="1" t="s">
        <v>3612</v>
      </c>
      <c r="DW93" s="1" t="s">
        <v>1828</v>
      </c>
      <c r="DX93" s="1" t="s">
        <v>3613</v>
      </c>
      <c r="DY93" s="1" t="s">
        <v>424</v>
      </c>
      <c r="DZ93" s="1" t="s">
        <v>1752</v>
      </c>
      <c r="EA93" s="1" t="s">
        <v>218</v>
      </c>
      <c r="EB93" s="1" t="s">
        <v>892</v>
      </c>
      <c r="EC93" s="1" t="s">
        <v>3158</v>
      </c>
      <c r="ED93" s="1" t="s">
        <v>3614</v>
      </c>
      <c r="EE93" s="1" t="s">
        <v>3614</v>
      </c>
      <c r="EF93" s="1" t="s">
        <v>3615</v>
      </c>
      <c r="EG93" s="1" t="s">
        <v>1884</v>
      </c>
      <c r="EH93" s="1" t="s">
        <v>3616</v>
      </c>
      <c r="EI93" s="1" t="s">
        <v>2671</v>
      </c>
      <c r="EJ93" s="1" t="s">
        <v>2767</v>
      </c>
      <c r="EK93" s="1" t="s">
        <v>1836</v>
      </c>
      <c r="EL93" s="1" t="s">
        <v>1837</v>
      </c>
      <c r="EM93" s="1" t="s">
        <v>1838</v>
      </c>
      <c r="EN93" s="1" t="s">
        <v>3617</v>
      </c>
      <c r="EO93" s="1" t="s">
        <v>1840</v>
      </c>
      <c r="EP93" s="1" t="s">
        <v>444</v>
      </c>
      <c r="EQ93" s="1" t="s">
        <v>1782</v>
      </c>
      <c r="ER93" s="1" t="s">
        <v>1802</v>
      </c>
      <c r="ES93" s="1" t="s">
        <v>1802</v>
      </c>
      <c r="ET93" s="1" t="s">
        <v>1802</v>
      </c>
      <c r="EU93" s="1" t="s">
        <v>1802</v>
      </c>
      <c r="EV93" s="1" t="s">
        <v>1802</v>
      </c>
      <c r="EW93" s="1" t="s">
        <v>1802</v>
      </c>
      <c r="EX93" s="1" t="s">
        <v>1802</v>
      </c>
      <c r="EY93" s="1" t="s">
        <v>1802</v>
      </c>
      <c r="EZ93" s="1" t="s">
        <v>1802</v>
      </c>
      <c r="FA93" s="1" t="s">
        <v>1802</v>
      </c>
      <c r="FB93" s="1" t="s">
        <v>1802</v>
      </c>
      <c r="FC93" s="1" t="s">
        <v>1802</v>
      </c>
      <c r="FD93" s="1" t="s">
        <v>1802</v>
      </c>
      <c r="FE93" s="1" t="s">
        <v>1802</v>
      </c>
      <c r="FF93" s="1" t="s">
        <v>1802</v>
      </c>
      <c r="FG93" s="1" t="s">
        <v>1802</v>
      </c>
      <c r="FH93" s="1" t="s">
        <v>1802</v>
      </c>
      <c r="FI93" s="1" t="s">
        <v>1802</v>
      </c>
      <c r="FJ93" s="1" t="s">
        <v>1802</v>
      </c>
      <c r="FK93" s="1" t="s">
        <v>1802</v>
      </c>
      <c r="FL93" s="1" t="s">
        <v>1802</v>
      </c>
      <c r="FM93" s="1" t="s">
        <v>1802</v>
      </c>
      <c r="FN93" s="1" t="s">
        <v>1802</v>
      </c>
      <c r="FO93" s="1" t="s">
        <v>1802</v>
      </c>
      <c r="FP93" s="1" t="s">
        <v>1802</v>
      </c>
      <c r="FQ93" s="1" t="s">
        <v>1802</v>
      </c>
      <c r="FR93" s="2"/>
      <c r="FS93" s="1" t="s">
        <v>1802</v>
      </c>
    </row>
    <row r="94" spans="1:175" x14ac:dyDescent="0.3">
      <c r="A94" s="1" t="s">
        <v>3618</v>
      </c>
      <c r="B94" s="1" t="s">
        <v>1739</v>
      </c>
      <c r="C94" s="1" t="s">
        <v>1471</v>
      </c>
      <c r="D94" s="1" t="s">
        <v>1740</v>
      </c>
      <c r="E94" s="1" t="s">
        <v>2091</v>
      </c>
      <c r="F94" s="1" t="s">
        <v>3619</v>
      </c>
      <c r="G94" s="1" t="s">
        <v>3619</v>
      </c>
      <c r="H94" s="1" t="s">
        <v>3620</v>
      </c>
      <c r="I94" s="1" t="s">
        <v>1744</v>
      </c>
      <c r="J94" s="1" t="s">
        <v>1745</v>
      </c>
      <c r="K94" s="1" t="s">
        <v>1746</v>
      </c>
      <c r="L94" s="1" t="s">
        <v>1747</v>
      </c>
      <c r="M94" s="1" t="s">
        <v>1748</v>
      </c>
      <c r="N94" s="1" t="s">
        <v>1749</v>
      </c>
      <c r="O94" s="1" t="s">
        <v>1750</v>
      </c>
      <c r="P94" s="1" t="s">
        <v>1751</v>
      </c>
      <c r="Q94">
        <v>49</v>
      </c>
      <c r="R94" s="1" t="s">
        <v>1752</v>
      </c>
      <c r="S94" s="1" t="s">
        <v>1753</v>
      </c>
      <c r="T94" s="1" t="s">
        <v>1754</v>
      </c>
      <c r="U94" s="1" t="s">
        <v>1755</v>
      </c>
      <c r="V94" s="1" t="s">
        <v>1756</v>
      </c>
      <c r="W94">
        <v>72</v>
      </c>
      <c r="X94">
        <v>72</v>
      </c>
      <c r="Y94" s="1" t="s">
        <v>1757</v>
      </c>
      <c r="Z94" s="2">
        <v>36999</v>
      </c>
      <c r="AA94" s="1" t="s">
        <v>3621</v>
      </c>
      <c r="AB94" s="1" t="s">
        <v>1755</v>
      </c>
      <c r="AC94" s="1" t="s">
        <v>3622</v>
      </c>
      <c r="AD94" s="1" t="s">
        <v>424</v>
      </c>
      <c r="AE94" s="1" t="s">
        <v>1760</v>
      </c>
      <c r="AF94" s="1" t="s">
        <v>1761</v>
      </c>
      <c r="AG94" s="1" t="s">
        <v>1762</v>
      </c>
      <c r="AH94" s="1" t="s">
        <v>3621</v>
      </c>
      <c r="AI94" s="1" t="s">
        <v>3621</v>
      </c>
      <c r="AJ94" s="1" t="s">
        <v>1763</v>
      </c>
      <c r="AK94" s="1" t="s">
        <v>1763</v>
      </c>
      <c r="AL94" s="1" t="s">
        <v>1763</v>
      </c>
      <c r="AM94" s="1" t="s">
        <v>3622</v>
      </c>
      <c r="AN94" s="1" t="s">
        <v>424</v>
      </c>
      <c r="AO94" s="1" t="s">
        <v>3623</v>
      </c>
      <c r="AP94" s="1" t="s">
        <v>1765</v>
      </c>
      <c r="AQ94" s="1" t="s">
        <v>1766</v>
      </c>
      <c r="AR94" s="1" t="s">
        <v>1767</v>
      </c>
      <c r="AS94" s="1" t="s">
        <v>1768</v>
      </c>
      <c r="AT94">
        <v>2010150922131390</v>
      </c>
      <c r="AU94" s="1" t="s">
        <v>1769</v>
      </c>
      <c r="AV94">
        <v>112744454751750</v>
      </c>
      <c r="AW94" s="1" t="s">
        <v>1770</v>
      </c>
      <c r="AX94" s="1" t="s">
        <v>1765</v>
      </c>
      <c r="AY94" s="1" t="s">
        <v>3624</v>
      </c>
      <c r="AZ94" s="1" t="s">
        <v>1897</v>
      </c>
      <c r="BA94" s="1" t="s">
        <v>3625</v>
      </c>
      <c r="BB94">
        <v>240</v>
      </c>
      <c r="BC94" s="1" t="s">
        <v>1774</v>
      </c>
      <c r="BD94" s="1" t="s">
        <v>1775</v>
      </c>
      <c r="BE94" s="1" t="s">
        <v>1776</v>
      </c>
      <c r="BF94" s="1" t="s">
        <v>1777</v>
      </c>
      <c r="BG94" s="1" t="s">
        <v>1778</v>
      </c>
      <c r="BH94" s="1" t="s">
        <v>1779</v>
      </c>
      <c r="BI94" s="1" t="s">
        <v>1779</v>
      </c>
      <c r="BJ94" s="1" t="s">
        <v>1780</v>
      </c>
      <c r="BK94" s="1" t="s">
        <v>1781</v>
      </c>
      <c r="BL94" s="1" t="s">
        <v>1754</v>
      </c>
      <c r="BM94" s="1" t="s">
        <v>1782</v>
      </c>
      <c r="BN94" s="1" t="s">
        <v>1783</v>
      </c>
      <c r="BO94" s="1" t="s">
        <v>1784</v>
      </c>
      <c r="BP94" s="1" t="s">
        <v>1785</v>
      </c>
      <c r="BQ94" s="1" t="s">
        <v>1786</v>
      </c>
      <c r="BR94" s="1" t="s">
        <v>3626</v>
      </c>
      <c r="BS94" s="1" t="s">
        <v>1788</v>
      </c>
      <c r="BT94" s="1" t="s">
        <v>3627</v>
      </c>
      <c r="BU94" s="1" t="s">
        <v>1790</v>
      </c>
      <c r="BV94" s="1" t="s">
        <v>3628</v>
      </c>
      <c r="BW94" s="1" t="s">
        <v>1790</v>
      </c>
      <c r="BX94" s="1" t="s">
        <v>3628</v>
      </c>
      <c r="BY94" s="1" t="s">
        <v>3446</v>
      </c>
      <c r="BZ94" s="1" t="s">
        <v>3629</v>
      </c>
      <c r="CA94" s="1" t="s">
        <v>1794</v>
      </c>
      <c r="CB94" s="1" t="s">
        <v>1795</v>
      </c>
      <c r="CC94" s="1" t="s">
        <v>1796</v>
      </c>
      <c r="CD94" s="1" t="s">
        <v>1797</v>
      </c>
      <c r="CE94" s="1" t="s">
        <v>1798</v>
      </c>
      <c r="CF94" s="1" t="s">
        <v>1799</v>
      </c>
      <c r="CG94" s="1" t="s">
        <v>1800</v>
      </c>
      <c r="CH94" s="1" t="s">
        <v>1794</v>
      </c>
      <c r="CI94" s="1" t="s">
        <v>1801</v>
      </c>
      <c r="CJ94" s="1" t="s">
        <v>1794</v>
      </c>
      <c r="CK94" s="1" t="s">
        <v>1802</v>
      </c>
      <c r="CL94" s="1" t="s">
        <v>1803</v>
      </c>
      <c r="CM94" s="1" t="s">
        <v>1804</v>
      </c>
      <c r="CN94" s="1" t="s">
        <v>1805</v>
      </c>
      <c r="CO94" s="1" t="s">
        <v>1794</v>
      </c>
      <c r="CP94" s="1" t="s">
        <v>1806</v>
      </c>
      <c r="CQ94" s="1" t="s">
        <v>1807</v>
      </c>
      <c r="CR94" s="1" t="s">
        <v>1808</v>
      </c>
      <c r="CS94" s="1" t="s">
        <v>1809</v>
      </c>
      <c r="CT94" s="1" t="s">
        <v>1810</v>
      </c>
      <c r="CU94" s="1" t="s">
        <v>1811</v>
      </c>
      <c r="CV94" s="1" t="s">
        <v>1812</v>
      </c>
      <c r="CW94" s="1" t="s">
        <v>1813</v>
      </c>
      <c r="CX94" s="1" t="s">
        <v>1814</v>
      </c>
      <c r="CY94" s="1" t="s">
        <v>1813</v>
      </c>
      <c r="CZ94" s="1" t="s">
        <v>1813</v>
      </c>
      <c r="DA94" s="1" t="s">
        <v>1775</v>
      </c>
      <c r="DB94" s="1" t="s">
        <v>1776</v>
      </c>
      <c r="DC94" s="1" t="s">
        <v>1752</v>
      </c>
      <c r="DD94" s="1" t="s">
        <v>1765</v>
      </c>
      <c r="DE94" s="1" t="s">
        <v>1815</v>
      </c>
      <c r="DF94" s="1" t="s">
        <v>1816</v>
      </c>
      <c r="DG94" s="1" t="s">
        <v>1817</v>
      </c>
      <c r="DH94" s="1" t="s">
        <v>1818</v>
      </c>
      <c r="DI94" s="1" t="s">
        <v>1819</v>
      </c>
      <c r="DJ94" s="1" t="s">
        <v>1820</v>
      </c>
      <c r="DK94" s="1" t="s">
        <v>1821</v>
      </c>
      <c r="DL94" s="1" t="s">
        <v>1822</v>
      </c>
      <c r="DM94" s="1" t="s">
        <v>1765</v>
      </c>
      <c r="DN94" s="1" t="s">
        <v>1765</v>
      </c>
      <c r="DO94" s="1" t="s">
        <v>1823</v>
      </c>
      <c r="DP94" s="1" t="s">
        <v>1824</v>
      </c>
      <c r="DQ94" s="1" t="s">
        <v>1824</v>
      </c>
      <c r="DR94" s="1" t="s">
        <v>1765</v>
      </c>
      <c r="DS94" s="1" t="s">
        <v>1825</v>
      </c>
      <c r="DT94" s="1" t="s">
        <v>1816</v>
      </c>
      <c r="DU94" s="1" t="s">
        <v>1826</v>
      </c>
      <c r="DV94" s="1" t="s">
        <v>3630</v>
      </c>
      <c r="DW94" s="1" t="s">
        <v>1828</v>
      </c>
      <c r="DX94" s="1" t="s">
        <v>3631</v>
      </c>
      <c r="DY94" s="1" t="s">
        <v>424</v>
      </c>
      <c r="DZ94" s="1" t="s">
        <v>1752</v>
      </c>
      <c r="EA94" s="1" t="s">
        <v>218</v>
      </c>
      <c r="EB94" s="1" t="s">
        <v>892</v>
      </c>
      <c r="EC94" s="1" t="s">
        <v>3622</v>
      </c>
      <c r="ED94" s="1" t="s">
        <v>3632</v>
      </c>
      <c r="EE94" s="1" t="s">
        <v>3632</v>
      </c>
      <c r="EF94" s="1" t="s">
        <v>3633</v>
      </c>
      <c r="EG94" s="1" t="s">
        <v>2034</v>
      </c>
      <c r="EH94" s="1" t="s">
        <v>3634</v>
      </c>
      <c r="EI94" s="1" t="s">
        <v>2468</v>
      </c>
      <c r="EJ94" s="1" t="s">
        <v>3325</v>
      </c>
      <c r="EK94" s="1" t="s">
        <v>1836</v>
      </c>
      <c r="EL94" s="1" t="s">
        <v>1837</v>
      </c>
      <c r="EM94" s="1" t="s">
        <v>1838</v>
      </c>
      <c r="EN94" s="1" t="s">
        <v>3635</v>
      </c>
      <c r="EO94" s="1" t="s">
        <v>1840</v>
      </c>
      <c r="EP94" s="1" t="s">
        <v>218</v>
      </c>
      <c r="EQ94" s="1" t="s">
        <v>1782</v>
      </c>
      <c r="ER94" s="1" t="s">
        <v>1802</v>
      </c>
      <c r="ES94" s="1" t="s">
        <v>1802</v>
      </c>
      <c r="ET94" s="1" t="s">
        <v>1802</v>
      </c>
      <c r="EU94" s="1" t="s">
        <v>1802</v>
      </c>
      <c r="EV94" s="1" t="s">
        <v>1802</v>
      </c>
      <c r="EW94" s="1" t="s">
        <v>1802</v>
      </c>
      <c r="EX94" s="1" t="s">
        <v>1802</v>
      </c>
      <c r="EY94" s="1" t="s">
        <v>1802</v>
      </c>
      <c r="EZ94" s="1" t="s">
        <v>1802</v>
      </c>
      <c r="FA94" s="1" t="s">
        <v>1802</v>
      </c>
      <c r="FB94" s="1" t="s">
        <v>1802</v>
      </c>
      <c r="FC94" s="1" t="s">
        <v>1802</v>
      </c>
      <c r="FD94" s="1" t="s">
        <v>1802</v>
      </c>
      <c r="FE94" s="1" t="s">
        <v>1802</v>
      </c>
      <c r="FF94" s="1" t="s">
        <v>1802</v>
      </c>
      <c r="FG94" s="1" t="s">
        <v>1802</v>
      </c>
      <c r="FH94" s="1" t="s">
        <v>1802</v>
      </c>
      <c r="FI94" s="1" t="s">
        <v>1802</v>
      </c>
      <c r="FJ94" s="1" t="s">
        <v>1802</v>
      </c>
      <c r="FK94" s="1" t="s">
        <v>1802</v>
      </c>
      <c r="FL94" s="1" t="s">
        <v>1802</v>
      </c>
      <c r="FM94" s="1" t="s">
        <v>1802</v>
      </c>
      <c r="FN94" s="1" t="s">
        <v>1802</v>
      </c>
      <c r="FO94" s="1" t="s">
        <v>1802</v>
      </c>
      <c r="FP94" s="1" t="s">
        <v>1802</v>
      </c>
      <c r="FQ94" s="1" t="s">
        <v>1802</v>
      </c>
      <c r="FR94" s="2"/>
      <c r="FS94" s="1" t="s">
        <v>1802</v>
      </c>
    </row>
    <row r="95" spans="1:175" x14ac:dyDescent="0.3">
      <c r="A95" s="1" t="s">
        <v>3636</v>
      </c>
      <c r="B95" s="1" t="s">
        <v>1739</v>
      </c>
      <c r="C95" s="1" t="s">
        <v>1477</v>
      </c>
      <c r="D95" s="1" t="s">
        <v>1740</v>
      </c>
      <c r="E95" s="1" t="s">
        <v>2577</v>
      </c>
      <c r="F95" s="1" t="s">
        <v>3637</v>
      </c>
      <c r="G95" s="1" t="s">
        <v>3637</v>
      </c>
      <c r="H95" s="1" t="s">
        <v>3638</v>
      </c>
      <c r="I95" s="1" t="s">
        <v>1744</v>
      </c>
      <c r="J95" s="1" t="s">
        <v>1745</v>
      </c>
      <c r="K95" s="1" t="s">
        <v>1746</v>
      </c>
      <c r="L95" s="1" t="s">
        <v>1747</v>
      </c>
      <c r="M95" s="1" t="s">
        <v>1748</v>
      </c>
      <c r="N95" s="1" t="s">
        <v>1749</v>
      </c>
      <c r="O95" s="1" t="s">
        <v>1750</v>
      </c>
      <c r="P95" s="1" t="s">
        <v>1751</v>
      </c>
      <c r="Q95">
        <v>49</v>
      </c>
      <c r="R95" s="1" t="s">
        <v>1752</v>
      </c>
      <c r="S95" s="1" t="s">
        <v>1753</v>
      </c>
      <c r="T95" s="1" t="s">
        <v>1754</v>
      </c>
      <c r="U95" s="1" t="s">
        <v>1755</v>
      </c>
      <c r="V95" s="1" t="s">
        <v>1756</v>
      </c>
      <c r="W95">
        <v>72</v>
      </c>
      <c r="X95">
        <v>72</v>
      </c>
      <c r="Y95" s="1" t="s">
        <v>1757</v>
      </c>
      <c r="Z95" s="2">
        <v>36999</v>
      </c>
      <c r="AA95" s="1" t="s">
        <v>3639</v>
      </c>
      <c r="AB95" s="1" t="s">
        <v>1755</v>
      </c>
      <c r="AC95" s="1" t="s">
        <v>2115</v>
      </c>
      <c r="AD95" s="1" t="s">
        <v>424</v>
      </c>
      <c r="AE95" s="1" t="s">
        <v>1760</v>
      </c>
      <c r="AF95" s="1" t="s">
        <v>2116</v>
      </c>
      <c r="AG95" s="1" t="s">
        <v>1762</v>
      </c>
      <c r="AH95" s="1" t="s">
        <v>3639</v>
      </c>
      <c r="AI95" s="1" t="s">
        <v>3639</v>
      </c>
      <c r="AJ95" s="1" t="s">
        <v>1763</v>
      </c>
      <c r="AK95" s="1" t="s">
        <v>1763</v>
      </c>
      <c r="AL95" s="1" t="s">
        <v>1763</v>
      </c>
      <c r="AM95" s="1" t="s">
        <v>2115</v>
      </c>
      <c r="AN95" s="1" t="s">
        <v>424</v>
      </c>
      <c r="AO95" s="1" t="s">
        <v>3640</v>
      </c>
      <c r="AP95" s="1" t="s">
        <v>1765</v>
      </c>
      <c r="AQ95" s="1" t="s">
        <v>1766</v>
      </c>
      <c r="AR95" s="1" t="s">
        <v>1767</v>
      </c>
      <c r="AS95" s="1" t="s">
        <v>1768</v>
      </c>
      <c r="AT95">
        <v>2009150923181390</v>
      </c>
      <c r="AU95" s="1" t="s">
        <v>1769</v>
      </c>
      <c r="AV95">
        <v>116503596307208</v>
      </c>
      <c r="AW95" s="1" t="s">
        <v>1770</v>
      </c>
      <c r="AX95" s="1" t="s">
        <v>1765</v>
      </c>
      <c r="AY95" s="1" t="s">
        <v>3641</v>
      </c>
      <c r="AZ95" s="1" t="s">
        <v>1897</v>
      </c>
      <c r="BA95" s="1" t="s">
        <v>3642</v>
      </c>
      <c r="BB95">
        <v>860</v>
      </c>
      <c r="BC95" s="1" t="s">
        <v>1774</v>
      </c>
      <c r="BD95" s="1" t="s">
        <v>1775</v>
      </c>
      <c r="BE95" s="1" t="s">
        <v>1776</v>
      </c>
      <c r="BF95" s="1" t="s">
        <v>1777</v>
      </c>
      <c r="BG95" s="1" t="s">
        <v>1778</v>
      </c>
      <c r="BH95" s="1" t="s">
        <v>1779</v>
      </c>
      <c r="BI95" s="1" t="s">
        <v>1779</v>
      </c>
      <c r="BJ95" s="1" t="s">
        <v>1780</v>
      </c>
      <c r="BK95" s="1" t="s">
        <v>1781</v>
      </c>
      <c r="BL95" s="1" t="s">
        <v>1754</v>
      </c>
      <c r="BM95" s="1" t="s">
        <v>1782</v>
      </c>
      <c r="BN95" s="1" t="s">
        <v>1783</v>
      </c>
      <c r="BO95" s="1" t="s">
        <v>1784</v>
      </c>
      <c r="BP95" s="1" t="s">
        <v>1785</v>
      </c>
      <c r="BQ95" s="1" t="s">
        <v>1786</v>
      </c>
      <c r="BR95" s="1" t="s">
        <v>3643</v>
      </c>
      <c r="BS95" s="1" t="s">
        <v>1788</v>
      </c>
      <c r="BT95" s="1" t="s">
        <v>1765</v>
      </c>
      <c r="BU95" s="1" t="s">
        <v>1790</v>
      </c>
      <c r="BV95" s="1" t="s">
        <v>3644</v>
      </c>
      <c r="BW95" s="1" t="s">
        <v>1790</v>
      </c>
      <c r="BX95" s="1" t="s">
        <v>3644</v>
      </c>
      <c r="BY95" s="1" t="s">
        <v>3446</v>
      </c>
      <c r="BZ95" s="1" t="s">
        <v>3645</v>
      </c>
      <c r="CA95" s="1" t="s">
        <v>1794</v>
      </c>
      <c r="CB95" s="1" t="s">
        <v>1795</v>
      </c>
      <c r="CC95" s="1" t="s">
        <v>1796</v>
      </c>
      <c r="CD95" s="1" t="s">
        <v>1797</v>
      </c>
      <c r="CE95" s="1" t="s">
        <v>1798</v>
      </c>
      <c r="CF95" s="1" t="s">
        <v>1799</v>
      </c>
      <c r="CG95" s="1" t="s">
        <v>1800</v>
      </c>
      <c r="CH95" s="1" t="s">
        <v>1794</v>
      </c>
      <c r="CI95" s="1" t="s">
        <v>1801</v>
      </c>
      <c r="CJ95" s="1" t="s">
        <v>1794</v>
      </c>
      <c r="CK95" s="1" t="s">
        <v>1802</v>
      </c>
      <c r="CL95" s="1" t="s">
        <v>1803</v>
      </c>
      <c r="CM95" s="1" t="s">
        <v>1804</v>
      </c>
      <c r="CN95" s="1" t="s">
        <v>1805</v>
      </c>
      <c r="CO95" s="1" t="s">
        <v>1794</v>
      </c>
      <c r="CP95" s="1" t="s">
        <v>1806</v>
      </c>
      <c r="CQ95" s="1" t="s">
        <v>1807</v>
      </c>
      <c r="CR95" s="1" t="s">
        <v>1808</v>
      </c>
      <c r="CS95" s="1" t="s">
        <v>1809</v>
      </c>
      <c r="CT95" s="1" t="s">
        <v>1810</v>
      </c>
      <c r="CU95" s="1" t="s">
        <v>1811</v>
      </c>
      <c r="CV95" s="1" t="s">
        <v>1812</v>
      </c>
      <c r="CW95" s="1" t="s">
        <v>1813</v>
      </c>
      <c r="CX95" s="1" t="s">
        <v>1814</v>
      </c>
      <c r="CY95" s="1" t="s">
        <v>1813</v>
      </c>
      <c r="CZ95" s="1" t="s">
        <v>1813</v>
      </c>
      <c r="DA95" s="1" t="s">
        <v>1775</v>
      </c>
      <c r="DB95" s="1" t="s">
        <v>1776</v>
      </c>
      <c r="DC95" s="1" t="s">
        <v>1752</v>
      </c>
      <c r="DD95" s="1" t="s">
        <v>1765</v>
      </c>
      <c r="DE95" s="1" t="s">
        <v>1815</v>
      </c>
      <c r="DF95" s="1" t="s">
        <v>1816</v>
      </c>
      <c r="DG95" s="1" t="s">
        <v>1817</v>
      </c>
      <c r="DH95" s="1" t="s">
        <v>1818</v>
      </c>
      <c r="DI95" s="1" t="s">
        <v>1819</v>
      </c>
      <c r="DJ95" s="1" t="s">
        <v>1820</v>
      </c>
      <c r="DK95" s="1" t="s">
        <v>1821</v>
      </c>
      <c r="DL95" s="1" t="s">
        <v>1822</v>
      </c>
      <c r="DM95" s="1" t="s">
        <v>1765</v>
      </c>
      <c r="DN95" s="1" t="s">
        <v>1765</v>
      </c>
      <c r="DO95" s="1" t="s">
        <v>1823</v>
      </c>
      <c r="DP95" s="1" t="s">
        <v>1824</v>
      </c>
      <c r="DQ95" s="1" t="s">
        <v>1824</v>
      </c>
      <c r="DR95" s="1" t="s">
        <v>1765</v>
      </c>
      <c r="DS95" s="1" t="s">
        <v>1825</v>
      </c>
      <c r="DT95" s="1" t="s">
        <v>1816</v>
      </c>
      <c r="DU95" s="1" t="s">
        <v>1826</v>
      </c>
      <c r="DV95" s="1" t="s">
        <v>3646</v>
      </c>
      <c r="DW95" s="1" t="s">
        <v>1828</v>
      </c>
      <c r="DX95" s="1" t="s">
        <v>3647</v>
      </c>
      <c r="DY95" s="1" t="s">
        <v>424</v>
      </c>
      <c r="DZ95" s="1" t="s">
        <v>1752</v>
      </c>
      <c r="EA95" s="1" t="s">
        <v>218</v>
      </c>
      <c r="EB95" s="1" t="s">
        <v>892</v>
      </c>
      <c r="EC95" s="1" t="s">
        <v>2115</v>
      </c>
      <c r="ED95" s="1" t="s">
        <v>3648</v>
      </c>
      <c r="EE95" s="1" t="s">
        <v>3648</v>
      </c>
      <c r="EF95" s="1" t="s">
        <v>3649</v>
      </c>
      <c r="EG95" s="1" t="s">
        <v>3650</v>
      </c>
      <c r="EH95" s="1" t="s">
        <v>3651</v>
      </c>
      <c r="EI95" s="1" t="s">
        <v>3652</v>
      </c>
      <c r="EJ95" s="1" t="s">
        <v>3653</v>
      </c>
      <c r="EK95" s="1" t="s">
        <v>1836</v>
      </c>
      <c r="EL95" s="1" t="s">
        <v>1837</v>
      </c>
      <c r="EM95" s="1" t="s">
        <v>1838</v>
      </c>
      <c r="EN95" s="1" t="s">
        <v>3654</v>
      </c>
      <c r="EO95" s="1" t="s">
        <v>1840</v>
      </c>
      <c r="EP95" s="1" t="s">
        <v>1275</v>
      </c>
      <c r="EQ95" s="1" t="s">
        <v>1782</v>
      </c>
      <c r="ER95" s="1" t="s">
        <v>1802</v>
      </c>
      <c r="ES95" s="1" t="s">
        <v>1802</v>
      </c>
      <c r="ET95" s="1" t="s">
        <v>1802</v>
      </c>
      <c r="EU95" s="1" t="s">
        <v>1802</v>
      </c>
      <c r="EV95" s="1" t="s">
        <v>1802</v>
      </c>
      <c r="EW95" s="1" t="s">
        <v>1802</v>
      </c>
      <c r="EX95" s="1" t="s">
        <v>1802</v>
      </c>
      <c r="EY95" s="1" t="s">
        <v>1802</v>
      </c>
      <c r="EZ95" s="1" t="s">
        <v>1802</v>
      </c>
      <c r="FA95" s="1" t="s">
        <v>1802</v>
      </c>
      <c r="FB95" s="1" t="s">
        <v>1802</v>
      </c>
      <c r="FC95" s="1" t="s">
        <v>1802</v>
      </c>
      <c r="FD95" s="1" t="s">
        <v>1802</v>
      </c>
      <c r="FE95" s="1" t="s">
        <v>1802</v>
      </c>
      <c r="FF95" s="1" t="s">
        <v>1802</v>
      </c>
      <c r="FG95" s="1" t="s">
        <v>1802</v>
      </c>
      <c r="FH95" s="1" t="s">
        <v>1802</v>
      </c>
      <c r="FI95" s="1" t="s">
        <v>1802</v>
      </c>
      <c r="FJ95" s="1" t="s">
        <v>1802</v>
      </c>
      <c r="FK95" s="1" t="s">
        <v>1802</v>
      </c>
      <c r="FL95" s="1" t="s">
        <v>1802</v>
      </c>
      <c r="FM95" s="1" t="s">
        <v>1802</v>
      </c>
      <c r="FN95" s="1" t="s">
        <v>1802</v>
      </c>
      <c r="FO95" s="1" t="s">
        <v>1802</v>
      </c>
      <c r="FP95" s="1" t="s">
        <v>1802</v>
      </c>
      <c r="FQ95" s="1" t="s">
        <v>1802</v>
      </c>
      <c r="FR95" s="2"/>
      <c r="FS95" s="1" t="s">
        <v>1802</v>
      </c>
    </row>
    <row r="96" spans="1:175" x14ac:dyDescent="0.3">
      <c r="A96" s="1" t="s">
        <v>3655</v>
      </c>
      <c r="B96" s="1" t="s">
        <v>1739</v>
      </c>
      <c r="C96" s="1" t="s">
        <v>1484</v>
      </c>
      <c r="D96" s="1" t="s">
        <v>1740</v>
      </c>
      <c r="E96" s="1" t="s">
        <v>1890</v>
      </c>
      <c r="F96" s="1" t="s">
        <v>3656</v>
      </c>
      <c r="G96" s="1" t="s">
        <v>3656</v>
      </c>
      <c r="H96" s="1" t="s">
        <v>1915</v>
      </c>
      <c r="I96" s="1" t="s">
        <v>1744</v>
      </c>
      <c r="J96" s="1" t="s">
        <v>1745</v>
      </c>
      <c r="K96" s="1" t="s">
        <v>1746</v>
      </c>
      <c r="L96" s="1" t="s">
        <v>1747</v>
      </c>
      <c r="M96" s="1" t="s">
        <v>1748</v>
      </c>
      <c r="N96" s="1" t="s">
        <v>1749</v>
      </c>
      <c r="O96" s="1" t="s">
        <v>1750</v>
      </c>
      <c r="P96" s="1" t="s">
        <v>1751</v>
      </c>
      <c r="Q96">
        <v>49</v>
      </c>
      <c r="R96" s="1" t="s">
        <v>1752</v>
      </c>
      <c r="S96" s="1" t="s">
        <v>1753</v>
      </c>
      <c r="T96" s="1" t="s">
        <v>1754</v>
      </c>
      <c r="U96" s="1" t="s">
        <v>1755</v>
      </c>
      <c r="V96" s="1" t="s">
        <v>1756</v>
      </c>
      <c r="W96">
        <v>72</v>
      </c>
      <c r="X96">
        <v>72</v>
      </c>
      <c r="Y96" s="1" t="s">
        <v>1757</v>
      </c>
      <c r="Z96" s="2">
        <v>36999</v>
      </c>
      <c r="AA96" s="1" t="s">
        <v>3657</v>
      </c>
      <c r="AB96" s="1" t="s">
        <v>1755</v>
      </c>
      <c r="AC96" s="1" t="s">
        <v>3046</v>
      </c>
      <c r="AD96" s="1" t="s">
        <v>424</v>
      </c>
      <c r="AE96" s="1" t="s">
        <v>1760</v>
      </c>
      <c r="AF96" s="1" t="s">
        <v>3047</v>
      </c>
      <c r="AG96" s="1" t="s">
        <v>1762</v>
      </c>
      <c r="AH96" s="1" t="s">
        <v>3657</v>
      </c>
      <c r="AI96" s="1" t="s">
        <v>3657</v>
      </c>
      <c r="AJ96" s="1" t="s">
        <v>1763</v>
      </c>
      <c r="AK96" s="1" t="s">
        <v>1763</v>
      </c>
      <c r="AL96" s="1" t="s">
        <v>1763</v>
      </c>
      <c r="AM96" s="1" t="s">
        <v>3046</v>
      </c>
      <c r="AN96" s="1" t="s">
        <v>424</v>
      </c>
      <c r="AO96" s="1" t="s">
        <v>3658</v>
      </c>
      <c r="AP96" s="1" t="s">
        <v>1765</v>
      </c>
      <c r="AQ96" s="1" t="s">
        <v>1766</v>
      </c>
      <c r="AR96" s="1" t="s">
        <v>1767</v>
      </c>
      <c r="AS96" s="1" t="s">
        <v>1768</v>
      </c>
      <c r="AT96">
        <v>2009150923181390</v>
      </c>
      <c r="AU96" s="1" t="s">
        <v>1769</v>
      </c>
      <c r="AV96">
        <v>118429588963208</v>
      </c>
      <c r="AW96" s="1" t="s">
        <v>1770</v>
      </c>
      <c r="AX96" s="1" t="s">
        <v>1765</v>
      </c>
      <c r="AY96" s="1" t="s">
        <v>3659</v>
      </c>
      <c r="AZ96" s="1" t="s">
        <v>1897</v>
      </c>
      <c r="BA96" s="1" t="s">
        <v>3068</v>
      </c>
      <c r="BB96">
        <v>200</v>
      </c>
      <c r="BC96" s="1" t="s">
        <v>1774</v>
      </c>
      <c r="BD96" s="1" t="s">
        <v>1775</v>
      </c>
      <c r="BE96" s="1" t="s">
        <v>1776</v>
      </c>
      <c r="BF96" s="1" t="s">
        <v>1777</v>
      </c>
      <c r="BG96" s="1" t="s">
        <v>1778</v>
      </c>
      <c r="BH96" s="1" t="s">
        <v>1779</v>
      </c>
      <c r="BI96" s="1" t="s">
        <v>1779</v>
      </c>
      <c r="BJ96" s="1" t="s">
        <v>1780</v>
      </c>
      <c r="BK96" s="1" t="s">
        <v>1781</v>
      </c>
      <c r="BL96" s="1" t="s">
        <v>1754</v>
      </c>
      <c r="BM96" s="1" t="s">
        <v>1782</v>
      </c>
      <c r="BN96" s="1" t="s">
        <v>1783</v>
      </c>
      <c r="BO96" s="1" t="s">
        <v>1784</v>
      </c>
      <c r="BP96" s="1" t="s">
        <v>1785</v>
      </c>
      <c r="BQ96" s="1" t="s">
        <v>1786</v>
      </c>
      <c r="BR96" s="1" t="s">
        <v>3660</v>
      </c>
      <c r="BS96" s="1" t="s">
        <v>1788</v>
      </c>
      <c r="BT96" s="1" t="s">
        <v>3661</v>
      </c>
      <c r="BU96" s="1" t="s">
        <v>1790</v>
      </c>
      <c r="BV96" s="1" t="s">
        <v>3662</v>
      </c>
      <c r="BW96" s="1" t="s">
        <v>1790</v>
      </c>
      <c r="BX96" s="1" t="s">
        <v>3662</v>
      </c>
      <c r="BY96" s="1" t="s">
        <v>3446</v>
      </c>
      <c r="BZ96" s="1" t="s">
        <v>3663</v>
      </c>
      <c r="CA96" s="1" t="s">
        <v>1794</v>
      </c>
      <c r="CB96" s="1" t="s">
        <v>1795</v>
      </c>
      <c r="CC96" s="1" t="s">
        <v>1796</v>
      </c>
      <c r="CD96" s="1" t="s">
        <v>1797</v>
      </c>
      <c r="CE96" s="1" t="s">
        <v>1798</v>
      </c>
      <c r="CF96" s="1" t="s">
        <v>1799</v>
      </c>
      <c r="CG96" s="1" t="s">
        <v>1800</v>
      </c>
      <c r="CH96" s="1" t="s">
        <v>1794</v>
      </c>
      <c r="CI96" s="1" t="s">
        <v>1801</v>
      </c>
      <c r="CJ96" s="1" t="s">
        <v>1794</v>
      </c>
      <c r="CK96" s="1" t="s">
        <v>1802</v>
      </c>
      <c r="CL96" s="1" t="s">
        <v>1803</v>
      </c>
      <c r="CM96" s="1" t="s">
        <v>1804</v>
      </c>
      <c r="CN96" s="1" t="s">
        <v>1805</v>
      </c>
      <c r="CO96" s="1" t="s">
        <v>1794</v>
      </c>
      <c r="CP96" s="1" t="s">
        <v>1806</v>
      </c>
      <c r="CQ96" s="1" t="s">
        <v>1807</v>
      </c>
      <c r="CR96" s="1" t="s">
        <v>1808</v>
      </c>
      <c r="CS96" s="1" t="s">
        <v>1809</v>
      </c>
      <c r="CT96" s="1" t="s">
        <v>1810</v>
      </c>
      <c r="CU96" s="1" t="s">
        <v>1811</v>
      </c>
      <c r="CV96" s="1" t="s">
        <v>1812</v>
      </c>
      <c r="CW96" s="1" t="s">
        <v>1813</v>
      </c>
      <c r="CX96" s="1" t="s">
        <v>1814</v>
      </c>
      <c r="CY96" s="1" t="s">
        <v>1813</v>
      </c>
      <c r="CZ96" s="1" t="s">
        <v>1813</v>
      </c>
      <c r="DA96" s="1" t="s">
        <v>1775</v>
      </c>
      <c r="DB96" s="1" t="s">
        <v>1776</v>
      </c>
      <c r="DC96" s="1" t="s">
        <v>1752</v>
      </c>
      <c r="DD96" s="1" t="s">
        <v>1765</v>
      </c>
      <c r="DE96" s="1" t="s">
        <v>1815</v>
      </c>
      <c r="DF96" s="1" t="s">
        <v>1816</v>
      </c>
      <c r="DG96" s="1" t="s">
        <v>1817</v>
      </c>
      <c r="DH96" s="1" t="s">
        <v>1818</v>
      </c>
      <c r="DI96" s="1" t="s">
        <v>1819</v>
      </c>
      <c r="DJ96" s="1" t="s">
        <v>1820</v>
      </c>
      <c r="DK96" s="1" t="s">
        <v>1821</v>
      </c>
      <c r="DL96" s="1" t="s">
        <v>1822</v>
      </c>
      <c r="DM96" s="1" t="s">
        <v>1765</v>
      </c>
      <c r="DN96" s="1" t="s">
        <v>1765</v>
      </c>
      <c r="DO96" s="1" t="s">
        <v>1823</v>
      </c>
      <c r="DP96" s="1" t="s">
        <v>1824</v>
      </c>
      <c r="DQ96" s="1" t="s">
        <v>1824</v>
      </c>
      <c r="DR96" s="1" t="s">
        <v>1765</v>
      </c>
      <c r="DS96" s="1" t="s">
        <v>1825</v>
      </c>
      <c r="DT96" s="1" t="s">
        <v>1816</v>
      </c>
      <c r="DU96" s="1" t="s">
        <v>1826</v>
      </c>
      <c r="DV96" s="1" t="s">
        <v>3664</v>
      </c>
      <c r="DW96" s="1" t="s">
        <v>1828</v>
      </c>
      <c r="DX96" s="1" t="s">
        <v>3665</v>
      </c>
      <c r="DY96" s="1" t="s">
        <v>424</v>
      </c>
      <c r="DZ96" s="1" t="s">
        <v>1752</v>
      </c>
      <c r="EA96" s="1" t="s">
        <v>218</v>
      </c>
      <c r="EB96" s="1" t="s">
        <v>892</v>
      </c>
      <c r="EC96" s="1" t="s">
        <v>3046</v>
      </c>
      <c r="ED96" s="1" t="s">
        <v>3666</v>
      </c>
      <c r="EE96" s="1" t="s">
        <v>3666</v>
      </c>
      <c r="EF96" s="1" t="s">
        <v>3667</v>
      </c>
      <c r="EG96" s="1" t="s">
        <v>1832</v>
      </c>
      <c r="EH96" s="1" t="s">
        <v>3668</v>
      </c>
      <c r="EI96" s="1" t="s">
        <v>2573</v>
      </c>
      <c r="EJ96" s="1" t="s">
        <v>3669</v>
      </c>
      <c r="EK96" s="1" t="s">
        <v>1836</v>
      </c>
      <c r="EL96" s="1" t="s">
        <v>1837</v>
      </c>
      <c r="EM96" s="1" t="s">
        <v>1838</v>
      </c>
      <c r="EN96" s="1" t="s">
        <v>3670</v>
      </c>
      <c r="EO96" s="1" t="s">
        <v>1840</v>
      </c>
      <c r="EP96" s="1" t="s">
        <v>711</v>
      </c>
      <c r="EQ96" s="1" t="s">
        <v>1782</v>
      </c>
      <c r="ER96" s="1" t="s">
        <v>1802</v>
      </c>
      <c r="ES96" s="1" t="s">
        <v>1802</v>
      </c>
      <c r="ET96" s="1" t="s">
        <v>1802</v>
      </c>
      <c r="EU96" s="1" t="s">
        <v>1802</v>
      </c>
      <c r="EV96" s="1" t="s">
        <v>1802</v>
      </c>
      <c r="EW96" s="1" t="s">
        <v>1802</v>
      </c>
      <c r="EX96" s="1" t="s">
        <v>1802</v>
      </c>
      <c r="EY96" s="1" t="s">
        <v>1802</v>
      </c>
      <c r="EZ96" s="1" t="s">
        <v>1802</v>
      </c>
      <c r="FA96" s="1" t="s">
        <v>1802</v>
      </c>
      <c r="FB96" s="1" t="s">
        <v>1802</v>
      </c>
      <c r="FC96" s="1" t="s">
        <v>1802</v>
      </c>
      <c r="FD96" s="1" t="s">
        <v>1802</v>
      </c>
      <c r="FE96" s="1" t="s">
        <v>1802</v>
      </c>
      <c r="FF96" s="1" t="s">
        <v>1802</v>
      </c>
      <c r="FG96" s="1" t="s">
        <v>1802</v>
      </c>
      <c r="FH96" s="1" t="s">
        <v>1802</v>
      </c>
      <c r="FI96" s="1" t="s">
        <v>1802</v>
      </c>
      <c r="FJ96" s="1" t="s">
        <v>1802</v>
      </c>
      <c r="FK96" s="1" t="s">
        <v>1802</v>
      </c>
      <c r="FL96" s="1" t="s">
        <v>1802</v>
      </c>
      <c r="FM96" s="1" t="s">
        <v>1802</v>
      </c>
      <c r="FN96" s="1" t="s">
        <v>1802</v>
      </c>
      <c r="FO96" s="1" t="s">
        <v>1802</v>
      </c>
      <c r="FP96" s="1" t="s">
        <v>1802</v>
      </c>
      <c r="FQ96" s="1" t="s">
        <v>1802</v>
      </c>
      <c r="FR96" s="2"/>
      <c r="FS96" s="1" t="s">
        <v>1802</v>
      </c>
    </row>
    <row r="97" spans="1:175" x14ac:dyDescent="0.3">
      <c r="A97" s="1" t="s">
        <v>3671</v>
      </c>
      <c r="B97" s="1" t="s">
        <v>1739</v>
      </c>
      <c r="C97" s="1" t="s">
        <v>1495</v>
      </c>
      <c r="D97" s="1" t="s">
        <v>1740</v>
      </c>
      <c r="E97" s="1" t="s">
        <v>3672</v>
      </c>
      <c r="F97" s="1" t="s">
        <v>3673</v>
      </c>
      <c r="G97" s="1" t="s">
        <v>3673</v>
      </c>
      <c r="H97" s="1" t="s">
        <v>3674</v>
      </c>
      <c r="I97" s="1" t="s">
        <v>1744</v>
      </c>
      <c r="J97" s="1" t="s">
        <v>1745</v>
      </c>
      <c r="K97" s="1" t="s">
        <v>1746</v>
      </c>
      <c r="L97" s="1" t="s">
        <v>1747</v>
      </c>
      <c r="M97" s="1" t="s">
        <v>1748</v>
      </c>
      <c r="N97" s="1" t="s">
        <v>1749</v>
      </c>
      <c r="O97" s="1" t="s">
        <v>1750</v>
      </c>
      <c r="P97" s="1" t="s">
        <v>1751</v>
      </c>
      <c r="Q97">
        <v>49</v>
      </c>
      <c r="R97" s="1" t="s">
        <v>1752</v>
      </c>
      <c r="S97" s="1" t="s">
        <v>1753</v>
      </c>
      <c r="T97" s="1" t="s">
        <v>1754</v>
      </c>
      <c r="U97" s="1" t="s">
        <v>1755</v>
      </c>
      <c r="V97" s="1" t="s">
        <v>1756</v>
      </c>
      <c r="W97">
        <v>72</v>
      </c>
      <c r="X97">
        <v>72</v>
      </c>
      <c r="Y97" s="1" t="s">
        <v>1757</v>
      </c>
      <c r="Z97" s="2">
        <v>36999</v>
      </c>
      <c r="AA97" s="1" t="s">
        <v>3675</v>
      </c>
      <c r="AB97" s="1" t="s">
        <v>1755</v>
      </c>
      <c r="AC97" s="1" t="s">
        <v>3676</v>
      </c>
      <c r="AD97" s="1" t="s">
        <v>424</v>
      </c>
      <c r="AE97" s="1" t="s">
        <v>1760</v>
      </c>
      <c r="AF97" s="1" t="s">
        <v>3677</v>
      </c>
      <c r="AG97" s="1" t="s">
        <v>1762</v>
      </c>
      <c r="AH97" s="1" t="s">
        <v>3675</v>
      </c>
      <c r="AI97" s="1" t="s">
        <v>3675</v>
      </c>
      <c r="AJ97" s="1" t="s">
        <v>1763</v>
      </c>
      <c r="AK97" s="1" t="s">
        <v>1763</v>
      </c>
      <c r="AL97" s="1" t="s">
        <v>1763</v>
      </c>
      <c r="AM97" s="1" t="s">
        <v>3676</v>
      </c>
      <c r="AN97" s="1" t="s">
        <v>424</v>
      </c>
      <c r="AO97" s="1" t="s">
        <v>3678</v>
      </c>
      <c r="AP97" s="1" t="s">
        <v>1765</v>
      </c>
      <c r="AQ97" s="1" t="s">
        <v>1766</v>
      </c>
      <c r="AR97" s="1" t="s">
        <v>1767</v>
      </c>
      <c r="AS97" s="1" t="s">
        <v>1768</v>
      </c>
      <c r="AT97">
        <v>2010150922131390</v>
      </c>
      <c r="AU97" s="1" t="s">
        <v>1769</v>
      </c>
      <c r="AV97">
        <v>121117564419125</v>
      </c>
      <c r="AW97" s="1" t="s">
        <v>1770</v>
      </c>
      <c r="AX97" s="1" t="s">
        <v>1765</v>
      </c>
      <c r="AY97" s="1" t="s">
        <v>3679</v>
      </c>
      <c r="AZ97" s="1" t="s">
        <v>1897</v>
      </c>
      <c r="BA97" s="1" t="s">
        <v>3680</v>
      </c>
      <c r="BB97">
        <v>506</v>
      </c>
      <c r="BC97" s="1" t="s">
        <v>1774</v>
      </c>
      <c r="BD97" s="1" t="s">
        <v>1775</v>
      </c>
      <c r="BE97" s="1" t="s">
        <v>1776</v>
      </c>
      <c r="BF97" s="1" t="s">
        <v>1777</v>
      </c>
      <c r="BG97" s="1" t="s">
        <v>1778</v>
      </c>
      <c r="BH97" s="1" t="s">
        <v>1779</v>
      </c>
      <c r="BI97" s="1" t="s">
        <v>1779</v>
      </c>
      <c r="BJ97" s="1" t="s">
        <v>1780</v>
      </c>
      <c r="BK97" s="1" t="s">
        <v>1781</v>
      </c>
      <c r="BL97" s="1" t="s">
        <v>1754</v>
      </c>
      <c r="BM97" s="1" t="s">
        <v>1782</v>
      </c>
      <c r="BN97" s="1" t="s">
        <v>1783</v>
      </c>
      <c r="BO97" s="1" t="s">
        <v>1784</v>
      </c>
      <c r="BP97" s="1" t="s">
        <v>1785</v>
      </c>
      <c r="BQ97" s="1" t="s">
        <v>1786</v>
      </c>
      <c r="BR97" s="1" t="s">
        <v>3681</v>
      </c>
      <c r="BS97" s="1" t="s">
        <v>1788</v>
      </c>
      <c r="BT97" s="1" t="s">
        <v>1765</v>
      </c>
      <c r="BU97" s="1" t="s">
        <v>1790</v>
      </c>
      <c r="BV97" s="1" t="s">
        <v>3682</v>
      </c>
      <c r="BW97" s="1" t="s">
        <v>1790</v>
      </c>
      <c r="BX97" s="1" t="s">
        <v>3682</v>
      </c>
      <c r="BY97" s="1" t="s">
        <v>3446</v>
      </c>
      <c r="BZ97" s="1" t="s">
        <v>3683</v>
      </c>
      <c r="CA97" s="1" t="s">
        <v>1794</v>
      </c>
      <c r="CB97" s="1" t="s">
        <v>1795</v>
      </c>
      <c r="CC97" s="1" t="s">
        <v>1796</v>
      </c>
      <c r="CD97" s="1" t="s">
        <v>1797</v>
      </c>
      <c r="CE97" s="1" t="s">
        <v>1798</v>
      </c>
      <c r="CF97" s="1" t="s">
        <v>1799</v>
      </c>
      <c r="CG97" s="1" t="s">
        <v>1800</v>
      </c>
      <c r="CH97" s="1" t="s">
        <v>1794</v>
      </c>
      <c r="CI97" s="1" t="s">
        <v>1801</v>
      </c>
      <c r="CJ97" s="1" t="s">
        <v>1794</v>
      </c>
      <c r="CK97" s="1" t="s">
        <v>1802</v>
      </c>
      <c r="CL97" s="1" t="s">
        <v>1803</v>
      </c>
      <c r="CM97" s="1" t="s">
        <v>1804</v>
      </c>
      <c r="CN97" s="1" t="s">
        <v>1805</v>
      </c>
      <c r="CO97" s="1" t="s">
        <v>1794</v>
      </c>
      <c r="CP97" s="1" t="s">
        <v>1806</v>
      </c>
      <c r="CQ97" s="1" t="s">
        <v>1807</v>
      </c>
      <c r="CR97" s="1" t="s">
        <v>1808</v>
      </c>
      <c r="CS97" s="1" t="s">
        <v>1809</v>
      </c>
      <c r="CT97" s="1" t="s">
        <v>1810</v>
      </c>
      <c r="CU97" s="1" t="s">
        <v>1811</v>
      </c>
      <c r="CV97" s="1" t="s">
        <v>1812</v>
      </c>
      <c r="CW97" s="1" t="s">
        <v>1813</v>
      </c>
      <c r="CX97" s="1" t="s">
        <v>1814</v>
      </c>
      <c r="CY97" s="1" t="s">
        <v>1813</v>
      </c>
      <c r="CZ97" s="1" t="s">
        <v>1813</v>
      </c>
      <c r="DA97" s="1" t="s">
        <v>1775</v>
      </c>
      <c r="DB97" s="1" t="s">
        <v>1776</v>
      </c>
      <c r="DC97" s="1" t="s">
        <v>1752</v>
      </c>
      <c r="DD97" s="1" t="s">
        <v>1765</v>
      </c>
      <c r="DE97" s="1" t="s">
        <v>1815</v>
      </c>
      <c r="DF97" s="1" t="s">
        <v>1816</v>
      </c>
      <c r="DG97" s="1" t="s">
        <v>1817</v>
      </c>
      <c r="DH97" s="1" t="s">
        <v>1818</v>
      </c>
      <c r="DI97" s="1" t="s">
        <v>1819</v>
      </c>
      <c r="DJ97" s="1" t="s">
        <v>1820</v>
      </c>
      <c r="DK97" s="1" t="s">
        <v>1821</v>
      </c>
      <c r="DL97" s="1" t="s">
        <v>1822</v>
      </c>
      <c r="DM97" s="1" t="s">
        <v>1765</v>
      </c>
      <c r="DN97" s="1" t="s">
        <v>1765</v>
      </c>
      <c r="DO97" s="1" t="s">
        <v>1823</v>
      </c>
      <c r="DP97" s="1" t="s">
        <v>1824</v>
      </c>
      <c r="DQ97" s="1" t="s">
        <v>1824</v>
      </c>
      <c r="DR97" s="1" t="s">
        <v>1765</v>
      </c>
      <c r="DS97" s="1" t="s">
        <v>1825</v>
      </c>
      <c r="DT97" s="1" t="s">
        <v>1816</v>
      </c>
      <c r="DU97" s="1" t="s">
        <v>1826</v>
      </c>
      <c r="DV97" s="1" t="s">
        <v>3684</v>
      </c>
      <c r="DW97" s="1" t="s">
        <v>2170</v>
      </c>
      <c r="DX97" s="1" t="s">
        <v>3685</v>
      </c>
      <c r="DY97" s="1" t="s">
        <v>424</v>
      </c>
      <c r="DZ97" s="1" t="s">
        <v>1752</v>
      </c>
      <c r="EA97" s="1" t="s">
        <v>218</v>
      </c>
      <c r="EB97" s="1" t="s">
        <v>892</v>
      </c>
      <c r="EC97" s="1" t="s">
        <v>3676</v>
      </c>
      <c r="ED97" s="1" t="s">
        <v>3686</v>
      </c>
      <c r="EE97" s="1" t="s">
        <v>3686</v>
      </c>
      <c r="EF97" s="1" t="s">
        <v>3687</v>
      </c>
      <c r="EG97" s="1" t="s">
        <v>3688</v>
      </c>
      <c r="EH97" s="1" t="s">
        <v>3689</v>
      </c>
      <c r="EI97" s="1" t="s">
        <v>3690</v>
      </c>
      <c r="EJ97" s="1" t="s">
        <v>3653</v>
      </c>
      <c r="EK97" s="1" t="s">
        <v>1836</v>
      </c>
      <c r="EL97" s="1" t="s">
        <v>1837</v>
      </c>
      <c r="EM97" s="1" t="s">
        <v>1838</v>
      </c>
      <c r="EN97" s="1" t="s">
        <v>3691</v>
      </c>
      <c r="EO97" s="1" t="s">
        <v>1840</v>
      </c>
      <c r="EP97" s="1" t="s">
        <v>3692</v>
      </c>
      <c r="EQ97" s="1" t="s">
        <v>1782</v>
      </c>
      <c r="ER97" s="1" t="s">
        <v>1802</v>
      </c>
      <c r="ES97" s="1" t="s">
        <v>1802</v>
      </c>
      <c r="ET97" s="1" t="s">
        <v>1802</v>
      </c>
      <c r="EU97" s="1" t="s">
        <v>1802</v>
      </c>
      <c r="EV97" s="1" t="s">
        <v>1802</v>
      </c>
      <c r="EW97" s="1" t="s">
        <v>1802</v>
      </c>
      <c r="EX97" s="1" t="s">
        <v>1802</v>
      </c>
      <c r="EY97" s="1" t="s">
        <v>1802</v>
      </c>
      <c r="EZ97" s="1" t="s">
        <v>1802</v>
      </c>
      <c r="FA97" s="1" t="s">
        <v>1802</v>
      </c>
      <c r="FB97" s="1" t="s">
        <v>1802</v>
      </c>
      <c r="FC97" s="1" t="s">
        <v>1802</v>
      </c>
      <c r="FD97" s="1" t="s">
        <v>1802</v>
      </c>
      <c r="FE97" s="1" t="s">
        <v>1802</v>
      </c>
      <c r="FF97" s="1" t="s">
        <v>1802</v>
      </c>
      <c r="FG97" s="1" t="s">
        <v>1802</v>
      </c>
      <c r="FH97" s="1" t="s">
        <v>1802</v>
      </c>
      <c r="FI97" s="1" t="s">
        <v>1802</v>
      </c>
      <c r="FJ97" s="1" t="s">
        <v>1802</v>
      </c>
      <c r="FK97" s="1" t="s">
        <v>1802</v>
      </c>
      <c r="FL97" s="1" t="s">
        <v>1802</v>
      </c>
      <c r="FM97" s="1" t="s">
        <v>1802</v>
      </c>
      <c r="FN97" s="1" t="s">
        <v>1802</v>
      </c>
      <c r="FO97" s="1" t="s">
        <v>1802</v>
      </c>
      <c r="FP97" s="1" t="s">
        <v>1802</v>
      </c>
      <c r="FQ97" s="1" t="s">
        <v>1802</v>
      </c>
      <c r="FR97" s="2"/>
      <c r="FS97" s="1" t="s">
        <v>1802</v>
      </c>
    </row>
    <row r="98" spans="1:175" x14ac:dyDescent="0.3">
      <c r="A98" s="1" t="s">
        <v>3693</v>
      </c>
      <c r="B98" s="1" t="s">
        <v>1739</v>
      </c>
      <c r="C98" s="1" t="s">
        <v>1501</v>
      </c>
      <c r="D98" s="1" t="s">
        <v>1740</v>
      </c>
      <c r="E98" s="1" t="s">
        <v>3694</v>
      </c>
      <c r="F98" s="1" t="s">
        <v>3695</v>
      </c>
      <c r="G98" s="1" t="s">
        <v>3695</v>
      </c>
      <c r="H98" s="1" t="s">
        <v>1915</v>
      </c>
      <c r="I98" s="1" t="s">
        <v>1744</v>
      </c>
      <c r="J98" s="1" t="s">
        <v>1745</v>
      </c>
      <c r="K98" s="1" t="s">
        <v>1746</v>
      </c>
      <c r="L98" s="1" t="s">
        <v>1747</v>
      </c>
      <c r="M98" s="1" t="s">
        <v>1748</v>
      </c>
      <c r="N98" s="1" t="s">
        <v>1749</v>
      </c>
      <c r="O98" s="1" t="s">
        <v>1750</v>
      </c>
      <c r="P98" s="1" t="s">
        <v>1751</v>
      </c>
      <c r="Q98">
        <v>49</v>
      </c>
      <c r="R98" s="1" t="s">
        <v>1752</v>
      </c>
      <c r="S98" s="1" t="s">
        <v>1753</v>
      </c>
      <c r="T98" s="1" t="s">
        <v>1754</v>
      </c>
      <c r="U98" s="1" t="s">
        <v>1755</v>
      </c>
      <c r="V98" s="1" t="s">
        <v>1756</v>
      </c>
      <c r="W98">
        <v>72</v>
      </c>
      <c r="X98">
        <v>72</v>
      </c>
      <c r="Y98" s="1" t="s">
        <v>1757</v>
      </c>
      <c r="Z98" s="2">
        <v>36999</v>
      </c>
      <c r="AA98" s="1" t="s">
        <v>3696</v>
      </c>
      <c r="AB98" s="1" t="s">
        <v>1755</v>
      </c>
      <c r="AC98" s="1" t="s">
        <v>2160</v>
      </c>
      <c r="AD98" s="1" t="s">
        <v>424</v>
      </c>
      <c r="AE98" s="1" t="s">
        <v>1760</v>
      </c>
      <c r="AF98" s="1" t="s">
        <v>3425</v>
      </c>
      <c r="AG98" s="1" t="s">
        <v>1762</v>
      </c>
      <c r="AH98" s="1" t="s">
        <v>3696</v>
      </c>
      <c r="AI98" s="1" t="s">
        <v>3696</v>
      </c>
      <c r="AJ98" s="1" t="s">
        <v>1763</v>
      </c>
      <c r="AK98" s="1" t="s">
        <v>1763</v>
      </c>
      <c r="AL98" s="1" t="s">
        <v>1763</v>
      </c>
      <c r="AM98" s="1" t="s">
        <v>2160</v>
      </c>
      <c r="AN98" s="1" t="s">
        <v>424</v>
      </c>
      <c r="AO98" s="1" t="s">
        <v>3697</v>
      </c>
      <c r="AP98" s="1" t="s">
        <v>1765</v>
      </c>
      <c r="AQ98" s="1" t="s">
        <v>1766</v>
      </c>
      <c r="AR98" s="1" t="s">
        <v>1767</v>
      </c>
      <c r="AS98" s="1" t="s">
        <v>1768</v>
      </c>
      <c r="AT98">
        <v>2010150922131390</v>
      </c>
      <c r="AU98" s="1" t="s">
        <v>1769</v>
      </c>
      <c r="AV98">
        <v>121490853617583</v>
      </c>
      <c r="AW98" s="1" t="s">
        <v>1770</v>
      </c>
      <c r="AX98" s="1" t="s">
        <v>1765</v>
      </c>
      <c r="AY98" s="1" t="s">
        <v>3698</v>
      </c>
      <c r="AZ98" s="1" t="s">
        <v>1897</v>
      </c>
      <c r="BA98" s="1" t="s">
        <v>3699</v>
      </c>
      <c r="BB98">
        <v>797</v>
      </c>
      <c r="BC98" s="1" t="s">
        <v>1774</v>
      </c>
      <c r="BD98" s="1" t="s">
        <v>1775</v>
      </c>
      <c r="BE98" s="1" t="s">
        <v>1776</v>
      </c>
      <c r="BF98" s="1" t="s">
        <v>1777</v>
      </c>
      <c r="BG98" s="1" t="s">
        <v>1778</v>
      </c>
      <c r="BH98" s="1" t="s">
        <v>1779</v>
      </c>
      <c r="BI98" s="1" t="s">
        <v>1779</v>
      </c>
      <c r="BJ98" s="1" t="s">
        <v>1780</v>
      </c>
      <c r="BK98" s="1" t="s">
        <v>1781</v>
      </c>
      <c r="BL98" s="1" t="s">
        <v>1754</v>
      </c>
      <c r="BM98" s="1" t="s">
        <v>1782</v>
      </c>
      <c r="BN98" s="1" t="s">
        <v>1783</v>
      </c>
      <c r="BO98" s="1" t="s">
        <v>1784</v>
      </c>
      <c r="BP98" s="1" t="s">
        <v>1785</v>
      </c>
      <c r="BQ98" s="1" t="s">
        <v>1786</v>
      </c>
      <c r="BR98" s="1" t="s">
        <v>3700</v>
      </c>
      <c r="BS98" s="1" t="s">
        <v>1788</v>
      </c>
      <c r="BT98" s="1" t="s">
        <v>3701</v>
      </c>
      <c r="BU98" s="1" t="s">
        <v>1790</v>
      </c>
      <c r="BV98" s="1" t="s">
        <v>3702</v>
      </c>
      <c r="BW98" s="1" t="s">
        <v>1790</v>
      </c>
      <c r="BX98" s="1" t="s">
        <v>3702</v>
      </c>
      <c r="BY98" s="1" t="s">
        <v>3446</v>
      </c>
      <c r="BZ98" s="1" t="s">
        <v>3703</v>
      </c>
      <c r="CA98" s="1" t="s">
        <v>1794</v>
      </c>
      <c r="CB98" s="1" t="s">
        <v>1795</v>
      </c>
      <c r="CC98" s="1" t="s">
        <v>1796</v>
      </c>
      <c r="CD98" s="1" t="s">
        <v>1797</v>
      </c>
      <c r="CE98" s="1" t="s">
        <v>1798</v>
      </c>
      <c r="CF98" s="1" t="s">
        <v>1799</v>
      </c>
      <c r="CG98" s="1" t="s">
        <v>1800</v>
      </c>
      <c r="CH98" s="1" t="s">
        <v>1794</v>
      </c>
      <c r="CI98" s="1" t="s">
        <v>1801</v>
      </c>
      <c r="CJ98" s="1" t="s">
        <v>1794</v>
      </c>
      <c r="CK98" s="1" t="s">
        <v>1802</v>
      </c>
      <c r="CL98" s="1" t="s">
        <v>1803</v>
      </c>
      <c r="CM98" s="1" t="s">
        <v>1804</v>
      </c>
      <c r="CN98" s="1" t="s">
        <v>1805</v>
      </c>
      <c r="CO98" s="1" t="s">
        <v>1794</v>
      </c>
      <c r="CP98" s="1" t="s">
        <v>1806</v>
      </c>
      <c r="CQ98" s="1" t="s">
        <v>1807</v>
      </c>
      <c r="CR98" s="1" t="s">
        <v>1808</v>
      </c>
      <c r="CS98" s="1" t="s">
        <v>1809</v>
      </c>
      <c r="CT98" s="1" t="s">
        <v>1810</v>
      </c>
      <c r="CU98" s="1" t="s">
        <v>1811</v>
      </c>
      <c r="CV98" s="1" t="s">
        <v>1812</v>
      </c>
      <c r="CW98" s="1" t="s">
        <v>1813</v>
      </c>
      <c r="CX98" s="1" t="s">
        <v>1814</v>
      </c>
      <c r="CY98" s="1" t="s">
        <v>1813</v>
      </c>
      <c r="CZ98" s="1" t="s">
        <v>1813</v>
      </c>
      <c r="DA98" s="1" t="s">
        <v>1775</v>
      </c>
      <c r="DB98" s="1" t="s">
        <v>1776</v>
      </c>
      <c r="DC98" s="1" t="s">
        <v>1752</v>
      </c>
      <c r="DD98" s="1" t="s">
        <v>1765</v>
      </c>
      <c r="DE98" s="1" t="s">
        <v>1815</v>
      </c>
      <c r="DF98" s="1" t="s">
        <v>1816</v>
      </c>
      <c r="DG98" s="1" t="s">
        <v>1817</v>
      </c>
      <c r="DH98" s="1" t="s">
        <v>1818</v>
      </c>
      <c r="DI98" s="1" t="s">
        <v>1819</v>
      </c>
      <c r="DJ98" s="1" t="s">
        <v>1820</v>
      </c>
      <c r="DK98" s="1" t="s">
        <v>1821</v>
      </c>
      <c r="DL98" s="1" t="s">
        <v>1822</v>
      </c>
      <c r="DM98" s="1" t="s">
        <v>1765</v>
      </c>
      <c r="DN98" s="1" t="s">
        <v>1765</v>
      </c>
      <c r="DO98" s="1" t="s">
        <v>1823</v>
      </c>
      <c r="DP98" s="1" t="s">
        <v>1824</v>
      </c>
      <c r="DQ98" s="1" t="s">
        <v>1824</v>
      </c>
      <c r="DR98" s="1" t="s">
        <v>1765</v>
      </c>
      <c r="DS98" s="1" t="s">
        <v>1825</v>
      </c>
      <c r="DT98" s="1" t="s">
        <v>1816</v>
      </c>
      <c r="DU98" s="1" t="s">
        <v>1826</v>
      </c>
      <c r="DV98" s="1" t="s">
        <v>3704</v>
      </c>
      <c r="DW98" s="1" t="s">
        <v>2170</v>
      </c>
      <c r="DX98" s="1" t="s">
        <v>3705</v>
      </c>
      <c r="DY98" s="1" t="s">
        <v>424</v>
      </c>
      <c r="DZ98" s="1" t="s">
        <v>1752</v>
      </c>
      <c r="EA98" s="1" t="s">
        <v>218</v>
      </c>
      <c r="EB98" s="1" t="s">
        <v>892</v>
      </c>
      <c r="EC98" s="1" t="s">
        <v>2160</v>
      </c>
      <c r="ED98" s="1" t="s">
        <v>3706</v>
      </c>
      <c r="EE98" s="1" t="s">
        <v>3706</v>
      </c>
      <c r="EF98" s="1" t="s">
        <v>3707</v>
      </c>
      <c r="EG98" s="1" t="s">
        <v>2194</v>
      </c>
      <c r="EH98" s="1" t="s">
        <v>3708</v>
      </c>
      <c r="EI98" s="1" t="s">
        <v>3231</v>
      </c>
      <c r="EJ98" s="1" t="s">
        <v>3709</v>
      </c>
      <c r="EK98" s="1" t="s">
        <v>1836</v>
      </c>
      <c r="EL98" s="1" t="s">
        <v>1837</v>
      </c>
      <c r="EM98" s="1" t="s">
        <v>1838</v>
      </c>
      <c r="EN98" s="1" t="s">
        <v>3710</v>
      </c>
      <c r="EO98" s="1" t="s">
        <v>1840</v>
      </c>
      <c r="EP98" s="1" t="s">
        <v>441</v>
      </c>
      <c r="EQ98" s="1" t="s">
        <v>1782</v>
      </c>
      <c r="ER98" s="1" t="s">
        <v>1802</v>
      </c>
      <c r="ES98" s="1" t="s">
        <v>1802</v>
      </c>
      <c r="ET98" s="1" t="s">
        <v>1802</v>
      </c>
      <c r="EU98" s="1" t="s">
        <v>1802</v>
      </c>
      <c r="EV98" s="1" t="s">
        <v>1802</v>
      </c>
      <c r="EW98" s="1" t="s">
        <v>1802</v>
      </c>
      <c r="EX98" s="1" t="s">
        <v>1802</v>
      </c>
      <c r="EY98" s="1" t="s">
        <v>1802</v>
      </c>
      <c r="EZ98" s="1" t="s">
        <v>1802</v>
      </c>
      <c r="FA98" s="1" t="s">
        <v>1802</v>
      </c>
      <c r="FB98" s="1" t="s">
        <v>1802</v>
      </c>
      <c r="FC98" s="1" t="s">
        <v>1802</v>
      </c>
      <c r="FD98" s="1" t="s">
        <v>1802</v>
      </c>
      <c r="FE98" s="1" t="s">
        <v>1802</v>
      </c>
      <c r="FF98" s="1" t="s">
        <v>1802</v>
      </c>
      <c r="FG98" s="1" t="s">
        <v>1802</v>
      </c>
      <c r="FH98" s="1" t="s">
        <v>1802</v>
      </c>
      <c r="FI98" s="1" t="s">
        <v>1802</v>
      </c>
      <c r="FJ98" s="1" t="s">
        <v>1802</v>
      </c>
      <c r="FK98" s="1" t="s">
        <v>1802</v>
      </c>
      <c r="FL98" s="1" t="s">
        <v>1802</v>
      </c>
      <c r="FM98" s="1" t="s">
        <v>1802</v>
      </c>
      <c r="FN98" s="1" t="s">
        <v>1802</v>
      </c>
      <c r="FO98" s="1" t="s">
        <v>1802</v>
      </c>
      <c r="FP98" s="1" t="s">
        <v>1802</v>
      </c>
      <c r="FQ98" s="1" t="s">
        <v>1802</v>
      </c>
      <c r="FR98" s="2"/>
      <c r="FS98" s="1" t="s">
        <v>1802</v>
      </c>
    </row>
    <row r="99" spans="1:175" x14ac:dyDescent="0.3">
      <c r="A99" s="1" t="s">
        <v>3711</v>
      </c>
      <c r="B99" s="1" t="s">
        <v>1739</v>
      </c>
      <c r="C99" s="1" t="s">
        <v>1514</v>
      </c>
      <c r="D99" s="1" t="s">
        <v>1740</v>
      </c>
      <c r="E99" s="1" t="s">
        <v>3712</v>
      </c>
      <c r="F99" s="1" t="s">
        <v>3713</v>
      </c>
      <c r="G99" s="1" t="s">
        <v>3713</v>
      </c>
      <c r="H99" s="1" t="s">
        <v>3714</v>
      </c>
      <c r="I99" s="1" t="s">
        <v>1744</v>
      </c>
      <c r="J99" s="1" t="s">
        <v>1745</v>
      </c>
      <c r="K99" s="1" t="s">
        <v>1746</v>
      </c>
      <c r="L99" s="1" t="s">
        <v>1747</v>
      </c>
      <c r="M99" s="1" t="s">
        <v>1748</v>
      </c>
      <c r="N99" s="1" t="s">
        <v>1749</v>
      </c>
      <c r="O99" s="1" t="s">
        <v>1750</v>
      </c>
      <c r="P99" s="1" t="s">
        <v>1751</v>
      </c>
      <c r="Q99">
        <v>49</v>
      </c>
      <c r="R99" s="1" t="s">
        <v>1752</v>
      </c>
      <c r="S99" s="1" t="s">
        <v>1753</v>
      </c>
      <c r="T99" s="1" t="s">
        <v>1754</v>
      </c>
      <c r="U99" s="1" t="s">
        <v>1755</v>
      </c>
      <c r="V99" s="1" t="s">
        <v>1756</v>
      </c>
      <c r="W99">
        <v>72</v>
      </c>
      <c r="X99">
        <v>72</v>
      </c>
      <c r="Y99" s="1" t="s">
        <v>1757</v>
      </c>
      <c r="Z99" s="2">
        <v>36999</v>
      </c>
      <c r="AA99" s="1" t="s">
        <v>3715</v>
      </c>
      <c r="AB99" s="1" t="s">
        <v>1755</v>
      </c>
      <c r="AC99" s="1" t="s">
        <v>2160</v>
      </c>
      <c r="AD99" s="1" t="s">
        <v>424</v>
      </c>
      <c r="AE99" s="1" t="s">
        <v>1760</v>
      </c>
      <c r="AF99" s="1" t="s">
        <v>3425</v>
      </c>
      <c r="AG99" s="1" t="s">
        <v>1762</v>
      </c>
      <c r="AH99" s="1" t="s">
        <v>3715</v>
      </c>
      <c r="AI99" s="1" t="s">
        <v>3715</v>
      </c>
      <c r="AJ99" s="1" t="s">
        <v>1763</v>
      </c>
      <c r="AK99" s="1" t="s">
        <v>1763</v>
      </c>
      <c r="AL99" s="1" t="s">
        <v>1763</v>
      </c>
      <c r="AM99" s="1" t="s">
        <v>2160</v>
      </c>
      <c r="AN99" s="1" t="s">
        <v>424</v>
      </c>
      <c r="AO99" s="1" t="s">
        <v>3716</v>
      </c>
      <c r="AP99" s="1" t="s">
        <v>1765</v>
      </c>
      <c r="AQ99" s="1" t="s">
        <v>1766</v>
      </c>
      <c r="AR99" s="1" t="s">
        <v>1767</v>
      </c>
      <c r="AS99" s="1" t="s">
        <v>1768</v>
      </c>
      <c r="AT99">
        <v>2010150922131390</v>
      </c>
      <c r="AU99" s="1" t="s">
        <v>1769</v>
      </c>
      <c r="AV99">
        <v>121499636632625</v>
      </c>
      <c r="AW99" s="1" t="s">
        <v>1770</v>
      </c>
      <c r="AX99" s="1" t="s">
        <v>1765</v>
      </c>
      <c r="AY99" s="1" t="s">
        <v>3717</v>
      </c>
      <c r="AZ99" s="1" t="s">
        <v>1897</v>
      </c>
      <c r="BA99" s="1" t="s">
        <v>3718</v>
      </c>
      <c r="BB99">
        <v>384</v>
      </c>
      <c r="BC99" s="1" t="s">
        <v>1774</v>
      </c>
      <c r="BD99" s="1" t="s">
        <v>1775</v>
      </c>
      <c r="BE99" s="1" t="s">
        <v>1776</v>
      </c>
      <c r="BF99" s="1" t="s">
        <v>1777</v>
      </c>
      <c r="BG99" s="1" t="s">
        <v>1778</v>
      </c>
      <c r="BH99" s="1" t="s">
        <v>1779</v>
      </c>
      <c r="BI99" s="1" t="s">
        <v>1779</v>
      </c>
      <c r="BJ99" s="1" t="s">
        <v>1780</v>
      </c>
      <c r="BK99" s="1" t="s">
        <v>1781</v>
      </c>
      <c r="BL99" s="1" t="s">
        <v>1754</v>
      </c>
      <c r="BM99" s="1" t="s">
        <v>1782</v>
      </c>
      <c r="BN99" s="1" t="s">
        <v>1783</v>
      </c>
      <c r="BO99" s="1" t="s">
        <v>1784</v>
      </c>
      <c r="BP99" s="1" t="s">
        <v>1785</v>
      </c>
      <c r="BQ99" s="1" t="s">
        <v>1786</v>
      </c>
      <c r="BR99" s="1" t="s">
        <v>3719</v>
      </c>
      <c r="BS99" s="1" t="s">
        <v>1788</v>
      </c>
      <c r="BT99" s="1" t="s">
        <v>3720</v>
      </c>
      <c r="BU99" s="1" t="s">
        <v>1790</v>
      </c>
      <c r="BV99" s="1" t="s">
        <v>3721</v>
      </c>
      <c r="BW99" s="1" t="s">
        <v>1790</v>
      </c>
      <c r="BX99" s="1" t="s">
        <v>3721</v>
      </c>
      <c r="BY99" s="1" t="s">
        <v>3446</v>
      </c>
      <c r="BZ99" s="1" t="s">
        <v>3722</v>
      </c>
      <c r="CA99" s="1" t="s">
        <v>1794</v>
      </c>
      <c r="CB99" s="1" t="s">
        <v>1795</v>
      </c>
      <c r="CC99" s="1" t="s">
        <v>1796</v>
      </c>
      <c r="CD99" s="1" t="s">
        <v>1797</v>
      </c>
      <c r="CE99" s="1" t="s">
        <v>1798</v>
      </c>
      <c r="CF99" s="1" t="s">
        <v>1799</v>
      </c>
      <c r="CG99" s="1" t="s">
        <v>1800</v>
      </c>
      <c r="CH99" s="1" t="s">
        <v>1794</v>
      </c>
      <c r="CI99" s="1" t="s">
        <v>1801</v>
      </c>
      <c r="CJ99" s="1" t="s">
        <v>1794</v>
      </c>
      <c r="CK99" s="1" t="s">
        <v>1802</v>
      </c>
      <c r="CL99" s="1" t="s">
        <v>1803</v>
      </c>
      <c r="CM99" s="1" t="s">
        <v>1804</v>
      </c>
      <c r="CN99" s="1" t="s">
        <v>1805</v>
      </c>
      <c r="CO99" s="1" t="s">
        <v>1794</v>
      </c>
      <c r="CP99" s="1" t="s">
        <v>1806</v>
      </c>
      <c r="CQ99" s="1" t="s">
        <v>1807</v>
      </c>
      <c r="CR99" s="1" t="s">
        <v>1808</v>
      </c>
      <c r="CS99" s="1" t="s">
        <v>1809</v>
      </c>
      <c r="CT99" s="1" t="s">
        <v>1810</v>
      </c>
      <c r="CU99" s="1" t="s">
        <v>1811</v>
      </c>
      <c r="CV99" s="1" t="s">
        <v>1812</v>
      </c>
      <c r="CW99" s="1" t="s">
        <v>1813</v>
      </c>
      <c r="CX99" s="1" t="s">
        <v>1814</v>
      </c>
      <c r="CY99" s="1" t="s">
        <v>1813</v>
      </c>
      <c r="CZ99" s="1" t="s">
        <v>1813</v>
      </c>
      <c r="DA99" s="1" t="s">
        <v>1775</v>
      </c>
      <c r="DB99" s="1" t="s">
        <v>1776</v>
      </c>
      <c r="DC99" s="1" t="s">
        <v>1752</v>
      </c>
      <c r="DD99" s="1" t="s">
        <v>1765</v>
      </c>
      <c r="DE99" s="1" t="s">
        <v>1815</v>
      </c>
      <c r="DF99" s="1" t="s">
        <v>1816</v>
      </c>
      <c r="DG99" s="1" t="s">
        <v>1817</v>
      </c>
      <c r="DH99" s="1" t="s">
        <v>1818</v>
      </c>
      <c r="DI99" s="1" t="s">
        <v>1819</v>
      </c>
      <c r="DJ99" s="1" t="s">
        <v>1820</v>
      </c>
      <c r="DK99" s="1" t="s">
        <v>1821</v>
      </c>
      <c r="DL99" s="1" t="s">
        <v>1822</v>
      </c>
      <c r="DM99" s="1" t="s">
        <v>1765</v>
      </c>
      <c r="DN99" s="1" t="s">
        <v>1765</v>
      </c>
      <c r="DO99" s="1" t="s">
        <v>1823</v>
      </c>
      <c r="DP99" s="1" t="s">
        <v>1824</v>
      </c>
      <c r="DQ99" s="1" t="s">
        <v>1824</v>
      </c>
      <c r="DR99" s="1" t="s">
        <v>1765</v>
      </c>
      <c r="DS99" s="1" t="s">
        <v>1825</v>
      </c>
      <c r="DT99" s="1" t="s">
        <v>1816</v>
      </c>
      <c r="DU99" s="1" t="s">
        <v>1826</v>
      </c>
      <c r="DV99" s="1" t="s">
        <v>3723</v>
      </c>
      <c r="DW99" s="1" t="s">
        <v>2170</v>
      </c>
      <c r="DX99" s="1" t="s">
        <v>3724</v>
      </c>
      <c r="DY99" s="1" t="s">
        <v>424</v>
      </c>
      <c r="DZ99" s="1" t="s">
        <v>1752</v>
      </c>
      <c r="EA99" s="1" t="s">
        <v>218</v>
      </c>
      <c r="EB99" s="1" t="s">
        <v>892</v>
      </c>
      <c r="EC99" s="1" t="s">
        <v>2160</v>
      </c>
      <c r="ED99" s="1" t="s">
        <v>3725</v>
      </c>
      <c r="EE99" s="1" t="s">
        <v>3725</v>
      </c>
      <c r="EF99" s="1" t="s">
        <v>3726</v>
      </c>
      <c r="EG99" s="1" t="s">
        <v>2194</v>
      </c>
      <c r="EH99" s="1" t="s">
        <v>3727</v>
      </c>
      <c r="EI99" s="1" t="s">
        <v>3728</v>
      </c>
      <c r="EJ99" s="1" t="s">
        <v>3729</v>
      </c>
      <c r="EK99" s="1" t="s">
        <v>1836</v>
      </c>
      <c r="EL99" s="1" t="s">
        <v>1837</v>
      </c>
      <c r="EM99" s="1" t="s">
        <v>1838</v>
      </c>
      <c r="EN99" s="1" t="s">
        <v>3730</v>
      </c>
      <c r="EO99" s="1" t="s">
        <v>1840</v>
      </c>
      <c r="EP99" s="1" t="s">
        <v>441</v>
      </c>
      <c r="EQ99" s="1" t="s">
        <v>1782</v>
      </c>
      <c r="ER99" s="1" t="s">
        <v>1802</v>
      </c>
      <c r="ES99" s="1" t="s">
        <v>1802</v>
      </c>
      <c r="ET99" s="1" t="s">
        <v>1802</v>
      </c>
      <c r="EU99" s="1" t="s">
        <v>1802</v>
      </c>
      <c r="EV99" s="1" t="s">
        <v>1802</v>
      </c>
      <c r="EW99" s="1" t="s">
        <v>1802</v>
      </c>
      <c r="EX99" s="1" t="s">
        <v>1802</v>
      </c>
      <c r="EY99" s="1" t="s">
        <v>1802</v>
      </c>
      <c r="EZ99" s="1" t="s">
        <v>1802</v>
      </c>
      <c r="FA99" s="1" t="s">
        <v>1802</v>
      </c>
      <c r="FB99" s="1" t="s">
        <v>1802</v>
      </c>
      <c r="FC99" s="1" t="s">
        <v>1802</v>
      </c>
      <c r="FD99" s="1" t="s">
        <v>1802</v>
      </c>
      <c r="FE99" s="1" t="s">
        <v>1802</v>
      </c>
      <c r="FF99" s="1" t="s">
        <v>1802</v>
      </c>
      <c r="FG99" s="1" t="s">
        <v>1802</v>
      </c>
      <c r="FH99" s="1" t="s">
        <v>1802</v>
      </c>
      <c r="FI99" s="1" t="s">
        <v>1802</v>
      </c>
      <c r="FJ99" s="1" t="s">
        <v>1802</v>
      </c>
      <c r="FK99" s="1" t="s">
        <v>1802</v>
      </c>
      <c r="FL99" s="1" t="s">
        <v>1802</v>
      </c>
      <c r="FM99" s="1" t="s">
        <v>1802</v>
      </c>
      <c r="FN99" s="1" t="s">
        <v>1802</v>
      </c>
      <c r="FO99" s="1" t="s">
        <v>1802</v>
      </c>
      <c r="FP99" s="1" t="s">
        <v>1802</v>
      </c>
      <c r="FQ99" s="1" t="s">
        <v>1802</v>
      </c>
      <c r="FR99" s="2"/>
      <c r="FS99" s="1" t="s">
        <v>1802</v>
      </c>
    </row>
    <row r="100" spans="1:175" x14ac:dyDescent="0.3">
      <c r="A100" s="1" t="s">
        <v>3731</v>
      </c>
      <c r="B100" s="1" t="s">
        <v>1739</v>
      </c>
      <c r="C100" s="1" t="s">
        <v>1523</v>
      </c>
      <c r="D100" s="1" t="s">
        <v>1740</v>
      </c>
      <c r="E100" s="1" t="s">
        <v>3732</v>
      </c>
      <c r="F100" s="1" t="s">
        <v>3733</v>
      </c>
      <c r="G100" s="1" t="s">
        <v>3733</v>
      </c>
      <c r="H100" s="1" t="s">
        <v>3734</v>
      </c>
      <c r="I100" s="1" t="s">
        <v>1744</v>
      </c>
      <c r="J100" s="1" t="s">
        <v>1745</v>
      </c>
      <c r="K100" s="1" t="s">
        <v>1746</v>
      </c>
      <c r="L100" s="1" t="s">
        <v>1747</v>
      </c>
      <c r="M100" s="1" t="s">
        <v>1748</v>
      </c>
      <c r="N100" s="1" t="s">
        <v>1749</v>
      </c>
      <c r="O100" s="1" t="s">
        <v>1750</v>
      </c>
      <c r="P100" s="1" t="s">
        <v>1751</v>
      </c>
      <c r="Q100">
        <v>49</v>
      </c>
      <c r="R100" s="1" t="s">
        <v>1752</v>
      </c>
      <c r="S100" s="1" t="s">
        <v>1753</v>
      </c>
      <c r="T100" s="1" t="s">
        <v>1754</v>
      </c>
      <c r="U100" s="1" t="s">
        <v>1755</v>
      </c>
      <c r="V100" s="1" t="s">
        <v>1756</v>
      </c>
      <c r="W100">
        <v>72</v>
      </c>
      <c r="X100">
        <v>72</v>
      </c>
      <c r="Y100" s="1" t="s">
        <v>1757</v>
      </c>
      <c r="Z100" s="2">
        <v>36999</v>
      </c>
      <c r="AA100" s="1" t="s">
        <v>3715</v>
      </c>
      <c r="AB100" s="1" t="s">
        <v>1755</v>
      </c>
      <c r="AC100" s="1" t="s">
        <v>2160</v>
      </c>
      <c r="AD100" s="1" t="s">
        <v>424</v>
      </c>
      <c r="AE100" s="1" t="s">
        <v>1760</v>
      </c>
      <c r="AF100" s="1" t="s">
        <v>3425</v>
      </c>
      <c r="AG100" s="1" t="s">
        <v>1762</v>
      </c>
      <c r="AH100" s="1" t="s">
        <v>3715</v>
      </c>
      <c r="AI100" s="1" t="s">
        <v>3715</v>
      </c>
      <c r="AJ100" s="1" t="s">
        <v>1763</v>
      </c>
      <c r="AK100" s="1" t="s">
        <v>1763</v>
      </c>
      <c r="AL100" s="1" t="s">
        <v>1763</v>
      </c>
      <c r="AM100" s="1" t="s">
        <v>2160</v>
      </c>
      <c r="AN100" s="1" t="s">
        <v>424</v>
      </c>
      <c r="AO100" s="1" t="s">
        <v>3716</v>
      </c>
      <c r="AP100" s="1" t="s">
        <v>1765</v>
      </c>
      <c r="AQ100" s="1" t="s">
        <v>1766</v>
      </c>
      <c r="AR100" s="1" t="s">
        <v>1767</v>
      </c>
      <c r="AS100" s="1" t="s">
        <v>1768</v>
      </c>
      <c r="AT100">
        <v>2010150922131390</v>
      </c>
      <c r="AU100" s="1" t="s">
        <v>1769</v>
      </c>
      <c r="AV100">
        <v>121500353465916</v>
      </c>
      <c r="AW100" s="1" t="s">
        <v>1770</v>
      </c>
      <c r="AX100" s="1" t="s">
        <v>1765</v>
      </c>
      <c r="AY100" s="1" t="s">
        <v>3735</v>
      </c>
      <c r="AZ100" s="1" t="s">
        <v>1897</v>
      </c>
      <c r="BA100" s="1" t="s">
        <v>3736</v>
      </c>
      <c r="BB100">
        <v>998</v>
      </c>
      <c r="BC100" s="1" t="s">
        <v>1774</v>
      </c>
      <c r="BD100" s="1" t="s">
        <v>1775</v>
      </c>
      <c r="BE100" s="1" t="s">
        <v>1776</v>
      </c>
      <c r="BF100" s="1" t="s">
        <v>1777</v>
      </c>
      <c r="BG100" s="1" t="s">
        <v>1778</v>
      </c>
      <c r="BH100" s="1" t="s">
        <v>1779</v>
      </c>
      <c r="BI100" s="1" t="s">
        <v>1779</v>
      </c>
      <c r="BJ100" s="1" t="s">
        <v>1780</v>
      </c>
      <c r="BK100" s="1" t="s">
        <v>1781</v>
      </c>
      <c r="BL100" s="1" t="s">
        <v>1754</v>
      </c>
      <c r="BM100" s="1" t="s">
        <v>1782</v>
      </c>
      <c r="BN100" s="1" t="s">
        <v>1783</v>
      </c>
      <c r="BO100" s="1" t="s">
        <v>1784</v>
      </c>
      <c r="BP100" s="1" t="s">
        <v>1785</v>
      </c>
      <c r="BQ100" s="1" t="s">
        <v>1786</v>
      </c>
      <c r="BR100" s="1" t="s">
        <v>3719</v>
      </c>
      <c r="BS100" s="1" t="s">
        <v>1788</v>
      </c>
      <c r="BT100" s="1" t="s">
        <v>3720</v>
      </c>
      <c r="BU100" s="1" t="s">
        <v>1790</v>
      </c>
      <c r="BV100" s="1" t="s">
        <v>3737</v>
      </c>
      <c r="BW100" s="1" t="s">
        <v>1790</v>
      </c>
      <c r="BX100" s="1" t="s">
        <v>3737</v>
      </c>
      <c r="BY100" s="1" t="s">
        <v>3446</v>
      </c>
      <c r="BZ100" s="1" t="s">
        <v>3722</v>
      </c>
      <c r="CA100" s="1" t="s">
        <v>1794</v>
      </c>
      <c r="CB100" s="1" t="s">
        <v>1795</v>
      </c>
      <c r="CC100" s="1" t="s">
        <v>1796</v>
      </c>
      <c r="CD100" s="1" t="s">
        <v>1797</v>
      </c>
      <c r="CE100" s="1" t="s">
        <v>1798</v>
      </c>
      <c r="CF100" s="1" t="s">
        <v>1799</v>
      </c>
      <c r="CG100" s="1" t="s">
        <v>1800</v>
      </c>
      <c r="CH100" s="1" t="s">
        <v>1794</v>
      </c>
      <c r="CI100" s="1" t="s">
        <v>1801</v>
      </c>
      <c r="CJ100" s="1" t="s">
        <v>1794</v>
      </c>
      <c r="CK100" s="1" t="s">
        <v>1802</v>
      </c>
      <c r="CL100" s="1" t="s">
        <v>1803</v>
      </c>
      <c r="CM100" s="1" t="s">
        <v>1804</v>
      </c>
      <c r="CN100" s="1" t="s">
        <v>1805</v>
      </c>
      <c r="CO100" s="1" t="s">
        <v>1794</v>
      </c>
      <c r="CP100" s="1" t="s">
        <v>1806</v>
      </c>
      <c r="CQ100" s="1" t="s">
        <v>1807</v>
      </c>
      <c r="CR100" s="1" t="s">
        <v>1808</v>
      </c>
      <c r="CS100" s="1" t="s">
        <v>1809</v>
      </c>
      <c r="CT100" s="1" t="s">
        <v>1810</v>
      </c>
      <c r="CU100" s="1" t="s">
        <v>1811</v>
      </c>
      <c r="CV100" s="1" t="s">
        <v>1812</v>
      </c>
      <c r="CW100" s="1" t="s">
        <v>1813</v>
      </c>
      <c r="CX100" s="1" t="s">
        <v>1814</v>
      </c>
      <c r="CY100" s="1" t="s">
        <v>1813</v>
      </c>
      <c r="CZ100" s="1" t="s">
        <v>1813</v>
      </c>
      <c r="DA100" s="1" t="s">
        <v>1775</v>
      </c>
      <c r="DB100" s="1" t="s">
        <v>1776</v>
      </c>
      <c r="DC100" s="1" t="s">
        <v>1752</v>
      </c>
      <c r="DD100" s="1" t="s">
        <v>1765</v>
      </c>
      <c r="DE100" s="1" t="s">
        <v>1815</v>
      </c>
      <c r="DF100" s="1" t="s">
        <v>1816</v>
      </c>
      <c r="DG100" s="1" t="s">
        <v>1817</v>
      </c>
      <c r="DH100" s="1" t="s">
        <v>1818</v>
      </c>
      <c r="DI100" s="1" t="s">
        <v>1819</v>
      </c>
      <c r="DJ100" s="1" t="s">
        <v>1820</v>
      </c>
      <c r="DK100" s="1" t="s">
        <v>1821</v>
      </c>
      <c r="DL100" s="1" t="s">
        <v>1822</v>
      </c>
      <c r="DM100" s="1" t="s">
        <v>1765</v>
      </c>
      <c r="DN100" s="1" t="s">
        <v>1765</v>
      </c>
      <c r="DO100" s="1" t="s">
        <v>1823</v>
      </c>
      <c r="DP100" s="1" t="s">
        <v>1824</v>
      </c>
      <c r="DQ100" s="1" t="s">
        <v>1824</v>
      </c>
      <c r="DR100" s="1" t="s">
        <v>1765</v>
      </c>
      <c r="DS100" s="1" t="s">
        <v>1825</v>
      </c>
      <c r="DT100" s="1" t="s">
        <v>1816</v>
      </c>
      <c r="DU100" s="1" t="s">
        <v>1826</v>
      </c>
      <c r="DV100" s="1" t="s">
        <v>3738</v>
      </c>
      <c r="DW100" s="1" t="s">
        <v>2170</v>
      </c>
      <c r="DX100" s="1" t="s">
        <v>3724</v>
      </c>
      <c r="DY100" s="1" t="s">
        <v>424</v>
      </c>
      <c r="DZ100" s="1" t="s">
        <v>1752</v>
      </c>
      <c r="EA100" s="1" t="s">
        <v>218</v>
      </c>
      <c r="EB100" s="1" t="s">
        <v>892</v>
      </c>
      <c r="EC100" s="1" t="s">
        <v>2160</v>
      </c>
      <c r="ED100" s="1" t="s">
        <v>3739</v>
      </c>
      <c r="EE100" s="1" t="s">
        <v>3739</v>
      </c>
      <c r="EF100" s="1" t="s">
        <v>3726</v>
      </c>
      <c r="EG100" s="1" t="s">
        <v>2194</v>
      </c>
      <c r="EH100" s="1" t="s">
        <v>3727</v>
      </c>
      <c r="EI100" s="1" t="s">
        <v>3728</v>
      </c>
      <c r="EJ100" s="1" t="s">
        <v>3729</v>
      </c>
      <c r="EK100" s="1" t="s">
        <v>1836</v>
      </c>
      <c r="EL100" s="1" t="s">
        <v>1837</v>
      </c>
      <c r="EM100" s="1" t="s">
        <v>1838</v>
      </c>
      <c r="EN100" s="1" t="s">
        <v>3730</v>
      </c>
      <c r="EO100" s="1" t="s">
        <v>1840</v>
      </c>
      <c r="EP100" s="1" t="s">
        <v>441</v>
      </c>
      <c r="EQ100" s="1" t="s">
        <v>1782</v>
      </c>
      <c r="ER100" s="1" t="s">
        <v>1802</v>
      </c>
      <c r="ES100" s="1" t="s">
        <v>1802</v>
      </c>
      <c r="ET100" s="1" t="s">
        <v>1802</v>
      </c>
      <c r="EU100" s="1" t="s">
        <v>1802</v>
      </c>
      <c r="EV100" s="1" t="s">
        <v>1802</v>
      </c>
      <c r="EW100" s="1" t="s">
        <v>1802</v>
      </c>
      <c r="EX100" s="1" t="s">
        <v>1802</v>
      </c>
      <c r="EY100" s="1" t="s">
        <v>1802</v>
      </c>
      <c r="EZ100" s="1" t="s">
        <v>1802</v>
      </c>
      <c r="FA100" s="1" t="s">
        <v>1802</v>
      </c>
      <c r="FB100" s="1" t="s">
        <v>1802</v>
      </c>
      <c r="FC100" s="1" t="s">
        <v>1802</v>
      </c>
      <c r="FD100" s="1" t="s">
        <v>1802</v>
      </c>
      <c r="FE100" s="1" t="s">
        <v>1802</v>
      </c>
      <c r="FF100" s="1" t="s">
        <v>1802</v>
      </c>
      <c r="FG100" s="1" t="s">
        <v>1802</v>
      </c>
      <c r="FH100" s="1" t="s">
        <v>1802</v>
      </c>
      <c r="FI100" s="1" t="s">
        <v>1802</v>
      </c>
      <c r="FJ100" s="1" t="s">
        <v>1802</v>
      </c>
      <c r="FK100" s="1" t="s">
        <v>1802</v>
      </c>
      <c r="FL100" s="1" t="s">
        <v>1802</v>
      </c>
      <c r="FM100" s="1" t="s">
        <v>1802</v>
      </c>
      <c r="FN100" s="1" t="s">
        <v>1802</v>
      </c>
      <c r="FO100" s="1" t="s">
        <v>1802</v>
      </c>
      <c r="FP100" s="1" t="s">
        <v>1802</v>
      </c>
      <c r="FQ100" s="1" t="s">
        <v>1802</v>
      </c>
      <c r="FR100" s="2"/>
      <c r="FS100" s="1" t="s">
        <v>1802</v>
      </c>
    </row>
    <row r="101" spans="1:175" x14ac:dyDescent="0.3">
      <c r="A101" s="1" t="s">
        <v>3740</v>
      </c>
      <c r="B101" s="1" t="s">
        <v>1739</v>
      </c>
      <c r="C101" s="1" t="s">
        <v>1537</v>
      </c>
      <c r="D101" s="1" t="s">
        <v>1740</v>
      </c>
      <c r="E101" s="1" t="s">
        <v>3741</v>
      </c>
      <c r="F101" s="1" t="s">
        <v>3742</v>
      </c>
      <c r="G101" s="1" t="s">
        <v>3742</v>
      </c>
      <c r="H101" s="1" t="s">
        <v>3743</v>
      </c>
      <c r="I101" s="1" t="s">
        <v>1744</v>
      </c>
      <c r="J101" s="1" t="s">
        <v>1745</v>
      </c>
      <c r="K101" s="1" t="s">
        <v>1746</v>
      </c>
      <c r="L101" s="1" t="s">
        <v>1747</v>
      </c>
      <c r="M101" s="1" t="s">
        <v>1748</v>
      </c>
      <c r="N101" s="1" t="s">
        <v>1749</v>
      </c>
      <c r="O101" s="1" t="s">
        <v>1750</v>
      </c>
      <c r="P101" s="1" t="s">
        <v>1751</v>
      </c>
      <c r="Q101">
        <v>49</v>
      </c>
      <c r="R101" s="1" t="s">
        <v>1752</v>
      </c>
      <c r="S101" s="1" t="s">
        <v>1753</v>
      </c>
      <c r="T101" s="1" t="s">
        <v>1754</v>
      </c>
      <c r="U101" s="1" t="s">
        <v>1755</v>
      </c>
      <c r="V101" s="1" t="s">
        <v>1756</v>
      </c>
      <c r="W101">
        <v>72</v>
      </c>
      <c r="X101">
        <v>72</v>
      </c>
      <c r="Y101" s="1" t="s">
        <v>1757</v>
      </c>
      <c r="Z101" s="2">
        <v>36999</v>
      </c>
      <c r="AA101" s="1" t="s">
        <v>3744</v>
      </c>
      <c r="AB101" s="1" t="s">
        <v>1755</v>
      </c>
      <c r="AC101" s="1" t="s">
        <v>2160</v>
      </c>
      <c r="AD101" s="1" t="s">
        <v>424</v>
      </c>
      <c r="AE101" s="1" t="s">
        <v>1760</v>
      </c>
      <c r="AF101" s="1" t="s">
        <v>3425</v>
      </c>
      <c r="AG101" s="1" t="s">
        <v>1762</v>
      </c>
      <c r="AH101" s="1" t="s">
        <v>3744</v>
      </c>
      <c r="AI101" s="1" t="s">
        <v>3744</v>
      </c>
      <c r="AJ101" s="1" t="s">
        <v>1763</v>
      </c>
      <c r="AK101" s="1" t="s">
        <v>1763</v>
      </c>
      <c r="AL101" s="1" t="s">
        <v>1763</v>
      </c>
      <c r="AM101" s="1" t="s">
        <v>2160</v>
      </c>
      <c r="AN101" s="1" t="s">
        <v>424</v>
      </c>
      <c r="AO101" s="1" t="s">
        <v>3745</v>
      </c>
      <c r="AP101" s="1" t="s">
        <v>1765</v>
      </c>
      <c r="AQ101" s="1" t="s">
        <v>1766</v>
      </c>
      <c r="AR101" s="1" t="s">
        <v>1767</v>
      </c>
      <c r="AS101" s="1" t="s">
        <v>1768</v>
      </c>
      <c r="AT101">
        <v>2010150922131390</v>
      </c>
      <c r="AU101" s="1" t="s">
        <v>1769</v>
      </c>
      <c r="AV101">
        <v>122150911281250</v>
      </c>
      <c r="AW101" s="1" t="s">
        <v>1770</v>
      </c>
      <c r="AX101" s="1" t="s">
        <v>1765</v>
      </c>
      <c r="AY101" s="1" t="s">
        <v>3746</v>
      </c>
      <c r="AZ101" s="1" t="s">
        <v>1897</v>
      </c>
      <c r="BA101" s="1" t="s">
        <v>3747</v>
      </c>
      <c r="BB101">
        <v>589</v>
      </c>
      <c r="BC101" s="1" t="s">
        <v>1774</v>
      </c>
      <c r="BD101" s="1" t="s">
        <v>1775</v>
      </c>
      <c r="BE101" s="1" t="s">
        <v>1776</v>
      </c>
      <c r="BF101" s="1" t="s">
        <v>1777</v>
      </c>
      <c r="BG101" s="1" t="s">
        <v>1778</v>
      </c>
      <c r="BH101" s="1" t="s">
        <v>1779</v>
      </c>
      <c r="BI101" s="1" t="s">
        <v>1779</v>
      </c>
      <c r="BJ101" s="1" t="s">
        <v>1780</v>
      </c>
      <c r="BK101" s="1" t="s">
        <v>1781</v>
      </c>
      <c r="BL101" s="1" t="s">
        <v>1754</v>
      </c>
      <c r="BM101" s="1" t="s">
        <v>1782</v>
      </c>
      <c r="BN101" s="1" t="s">
        <v>1783</v>
      </c>
      <c r="BO101" s="1" t="s">
        <v>1784</v>
      </c>
      <c r="BP101" s="1" t="s">
        <v>1785</v>
      </c>
      <c r="BQ101" s="1" t="s">
        <v>1786</v>
      </c>
      <c r="BR101" s="1" t="s">
        <v>3748</v>
      </c>
      <c r="BS101" s="1" t="s">
        <v>1788</v>
      </c>
      <c r="BT101" s="1" t="s">
        <v>3749</v>
      </c>
      <c r="BU101" s="1" t="s">
        <v>1790</v>
      </c>
      <c r="BV101" s="1" t="s">
        <v>3750</v>
      </c>
      <c r="BW101" s="1" t="s">
        <v>1790</v>
      </c>
      <c r="BX101" s="1" t="s">
        <v>3750</v>
      </c>
      <c r="BY101" s="1" t="s">
        <v>3446</v>
      </c>
      <c r="BZ101" s="1" t="s">
        <v>3751</v>
      </c>
      <c r="CA101" s="1" t="s">
        <v>1794</v>
      </c>
      <c r="CB101" s="1" t="s">
        <v>1795</v>
      </c>
      <c r="CC101" s="1" t="s">
        <v>1796</v>
      </c>
      <c r="CD101" s="1" t="s">
        <v>1797</v>
      </c>
      <c r="CE101" s="1" t="s">
        <v>1798</v>
      </c>
      <c r="CF101" s="1" t="s">
        <v>1799</v>
      </c>
      <c r="CG101" s="1" t="s">
        <v>1800</v>
      </c>
      <c r="CH101" s="1" t="s">
        <v>1794</v>
      </c>
      <c r="CI101" s="1" t="s">
        <v>1801</v>
      </c>
      <c r="CJ101" s="1" t="s">
        <v>1794</v>
      </c>
      <c r="CK101" s="1" t="s">
        <v>1802</v>
      </c>
      <c r="CL101" s="1" t="s">
        <v>1803</v>
      </c>
      <c r="CM101" s="1" t="s">
        <v>1804</v>
      </c>
      <c r="CN101" s="1" t="s">
        <v>1805</v>
      </c>
      <c r="CO101" s="1" t="s">
        <v>1794</v>
      </c>
      <c r="CP101" s="1" t="s">
        <v>1806</v>
      </c>
      <c r="CQ101" s="1" t="s">
        <v>1807</v>
      </c>
      <c r="CR101" s="1" t="s">
        <v>1808</v>
      </c>
      <c r="CS101" s="1" t="s">
        <v>1809</v>
      </c>
      <c r="CT101" s="1" t="s">
        <v>1810</v>
      </c>
      <c r="CU101" s="1" t="s">
        <v>1811</v>
      </c>
      <c r="CV101" s="1" t="s">
        <v>1812</v>
      </c>
      <c r="CW101" s="1" t="s">
        <v>1813</v>
      </c>
      <c r="CX101" s="1" t="s">
        <v>1814</v>
      </c>
      <c r="CY101" s="1" t="s">
        <v>1813</v>
      </c>
      <c r="CZ101" s="1" t="s">
        <v>1813</v>
      </c>
      <c r="DA101" s="1" t="s">
        <v>1775</v>
      </c>
      <c r="DB101" s="1" t="s">
        <v>1776</v>
      </c>
      <c r="DC101" s="1" t="s">
        <v>1752</v>
      </c>
      <c r="DD101" s="1" t="s">
        <v>1765</v>
      </c>
      <c r="DE101" s="1" t="s">
        <v>1815</v>
      </c>
      <c r="DF101" s="1" t="s">
        <v>1816</v>
      </c>
      <c r="DG101" s="1" t="s">
        <v>1817</v>
      </c>
      <c r="DH101" s="1" t="s">
        <v>1818</v>
      </c>
      <c r="DI101" s="1" t="s">
        <v>1819</v>
      </c>
      <c r="DJ101" s="1" t="s">
        <v>1820</v>
      </c>
      <c r="DK101" s="1" t="s">
        <v>1821</v>
      </c>
      <c r="DL101" s="1" t="s">
        <v>1822</v>
      </c>
      <c r="DM101" s="1" t="s">
        <v>1765</v>
      </c>
      <c r="DN101" s="1" t="s">
        <v>1765</v>
      </c>
      <c r="DO101" s="1" t="s">
        <v>1823</v>
      </c>
      <c r="DP101" s="1" t="s">
        <v>1824</v>
      </c>
      <c r="DQ101" s="1" t="s">
        <v>1824</v>
      </c>
      <c r="DR101" s="1" t="s">
        <v>1765</v>
      </c>
      <c r="DS101" s="1" t="s">
        <v>1825</v>
      </c>
      <c r="DT101" s="1" t="s">
        <v>1816</v>
      </c>
      <c r="DU101" s="1" t="s">
        <v>1826</v>
      </c>
      <c r="DV101" s="1" t="s">
        <v>3752</v>
      </c>
      <c r="DW101" s="1" t="s">
        <v>2170</v>
      </c>
      <c r="DX101" s="1" t="s">
        <v>3753</v>
      </c>
      <c r="DY101" s="1" t="s">
        <v>424</v>
      </c>
      <c r="DZ101" s="1" t="s">
        <v>1752</v>
      </c>
      <c r="EA101" s="1" t="s">
        <v>218</v>
      </c>
      <c r="EB101" s="1" t="s">
        <v>892</v>
      </c>
      <c r="EC101" s="1" t="s">
        <v>2160</v>
      </c>
      <c r="ED101" s="1" t="s">
        <v>3754</v>
      </c>
      <c r="EE101" s="1" t="s">
        <v>3754</v>
      </c>
      <c r="EF101" s="1" t="s">
        <v>3755</v>
      </c>
      <c r="EG101" s="1" t="s">
        <v>2218</v>
      </c>
      <c r="EH101" s="1" t="s">
        <v>3756</v>
      </c>
      <c r="EI101" s="1" t="s">
        <v>2573</v>
      </c>
      <c r="EJ101" s="1" t="s">
        <v>2489</v>
      </c>
      <c r="EK101" s="1" t="s">
        <v>1836</v>
      </c>
      <c r="EL101" s="1" t="s">
        <v>1837</v>
      </c>
      <c r="EM101" s="1" t="s">
        <v>1838</v>
      </c>
      <c r="EN101" s="1" t="s">
        <v>3757</v>
      </c>
      <c r="EO101" s="1" t="s">
        <v>1840</v>
      </c>
      <c r="EP101" s="1" t="s">
        <v>441</v>
      </c>
      <c r="EQ101" s="1" t="s">
        <v>1782</v>
      </c>
      <c r="ER101" s="1" t="s">
        <v>1802</v>
      </c>
      <c r="ES101" s="1" t="s">
        <v>1802</v>
      </c>
      <c r="ET101" s="1" t="s">
        <v>1802</v>
      </c>
      <c r="EU101" s="1" t="s">
        <v>1802</v>
      </c>
      <c r="EV101" s="1" t="s">
        <v>1802</v>
      </c>
      <c r="EW101" s="1" t="s">
        <v>1802</v>
      </c>
      <c r="EX101" s="1" t="s">
        <v>1802</v>
      </c>
      <c r="EY101" s="1" t="s">
        <v>1802</v>
      </c>
      <c r="EZ101" s="1" t="s">
        <v>1802</v>
      </c>
      <c r="FA101" s="1" t="s">
        <v>1802</v>
      </c>
      <c r="FB101" s="1" t="s">
        <v>1802</v>
      </c>
      <c r="FC101" s="1" t="s">
        <v>1802</v>
      </c>
      <c r="FD101" s="1" t="s">
        <v>1802</v>
      </c>
      <c r="FE101" s="1" t="s">
        <v>1802</v>
      </c>
      <c r="FF101" s="1" t="s">
        <v>1802</v>
      </c>
      <c r="FG101" s="1" t="s">
        <v>1802</v>
      </c>
      <c r="FH101" s="1" t="s">
        <v>1802</v>
      </c>
      <c r="FI101" s="1" t="s">
        <v>1802</v>
      </c>
      <c r="FJ101" s="1" t="s">
        <v>1802</v>
      </c>
      <c r="FK101" s="1" t="s">
        <v>1802</v>
      </c>
      <c r="FL101" s="1" t="s">
        <v>1802</v>
      </c>
      <c r="FM101" s="1" t="s">
        <v>1802</v>
      </c>
      <c r="FN101" s="1" t="s">
        <v>1802</v>
      </c>
      <c r="FO101" s="1" t="s">
        <v>1802</v>
      </c>
      <c r="FP101" s="1" t="s">
        <v>1802</v>
      </c>
      <c r="FQ101" s="1" t="s">
        <v>1802</v>
      </c>
      <c r="FR101" s="2"/>
      <c r="FS101" s="1" t="s">
        <v>1802</v>
      </c>
    </row>
    <row r="102" spans="1:175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R102" s="1"/>
      <c r="S102" s="1"/>
      <c r="T102" s="1"/>
      <c r="U102" s="1"/>
      <c r="V102" s="1"/>
      <c r="Y102" s="1"/>
      <c r="Z102" s="2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U102" s="1"/>
      <c r="AW102" s="1"/>
      <c r="AX102" s="1"/>
      <c r="AY102" s="1"/>
      <c r="AZ102" s="1"/>
      <c r="BA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2"/>
      <c r="FS102" s="1"/>
    </row>
    <row r="103" spans="1:175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R103" s="1"/>
      <c r="S103" s="1"/>
      <c r="T103" s="1"/>
      <c r="U103" s="1"/>
      <c r="V103" s="1"/>
      <c r="Y103" s="1"/>
      <c r="Z103" s="2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U103" s="1"/>
      <c r="AW103" s="1"/>
      <c r="AX103" s="1"/>
      <c r="AY103" s="1"/>
      <c r="AZ103" s="1"/>
      <c r="BA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2"/>
      <c r="FS103" s="1"/>
    </row>
    <row r="104" spans="1:175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R104" s="1"/>
      <c r="S104" s="1"/>
      <c r="T104" s="1"/>
      <c r="U104" s="1"/>
      <c r="V104" s="1"/>
      <c r="Y104" s="1"/>
      <c r="Z104" s="2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U104" s="1"/>
      <c r="AW104" s="1"/>
      <c r="AX104" s="1"/>
      <c r="AY104" s="1"/>
      <c r="AZ104" s="1"/>
      <c r="BA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2"/>
      <c r="FS104" s="1"/>
    </row>
    <row r="105" spans="1:175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R105" s="1"/>
      <c r="S105" s="1"/>
      <c r="T105" s="1"/>
      <c r="U105" s="1"/>
      <c r="V105" s="1"/>
      <c r="Y105" s="1"/>
      <c r="Z105" s="2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U105" s="1"/>
      <c r="AW105" s="1"/>
      <c r="AX105" s="1"/>
      <c r="AY105" s="1"/>
      <c r="AZ105" s="1"/>
      <c r="BA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2"/>
      <c r="FS105" s="1"/>
    </row>
    <row r="106" spans="1:175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R106" s="1"/>
      <c r="S106" s="1"/>
      <c r="T106" s="1"/>
      <c r="U106" s="1"/>
      <c r="V106" s="1"/>
      <c r="Y106" s="1"/>
      <c r="Z106" s="2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U106" s="1"/>
      <c r="AW106" s="1"/>
      <c r="AX106" s="1"/>
      <c r="AY106" s="1"/>
      <c r="AZ106" s="1"/>
      <c r="BA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2"/>
      <c r="FS106" s="1"/>
    </row>
    <row r="107" spans="1:175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R107" s="1"/>
      <c r="S107" s="1"/>
      <c r="T107" s="1"/>
      <c r="U107" s="1"/>
      <c r="V107" s="1"/>
      <c r="Y107" s="1"/>
      <c r="Z107" s="2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U107" s="1"/>
      <c r="AW107" s="1"/>
      <c r="AX107" s="1"/>
      <c r="AY107" s="1"/>
      <c r="AZ107" s="1"/>
      <c r="BA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2"/>
      <c r="FS107" s="1"/>
    </row>
    <row r="108" spans="1:175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R108" s="1"/>
      <c r="S108" s="1"/>
      <c r="T108" s="1"/>
      <c r="U108" s="1"/>
      <c r="V108" s="1"/>
      <c r="Y108" s="1"/>
      <c r="Z108" s="2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U108" s="1"/>
      <c r="AW108" s="1"/>
      <c r="AX108" s="1"/>
      <c r="AY108" s="1"/>
      <c r="AZ108" s="1"/>
      <c r="BA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2"/>
      <c r="FS108" s="1"/>
    </row>
    <row r="109" spans="1:175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R109" s="1"/>
      <c r="S109" s="1"/>
      <c r="T109" s="1"/>
      <c r="U109" s="1"/>
      <c r="V109" s="1"/>
      <c r="Y109" s="1"/>
      <c r="Z109" s="2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U109" s="1"/>
      <c r="AW109" s="1"/>
      <c r="AX109" s="1"/>
      <c r="AY109" s="1"/>
      <c r="AZ109" s="1"/>
      <c r="BA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2"/>
      <c r="FS109" s="1"/>
    </row>
    <row r="110" spans="1:175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R110" s="1"/>
      <c r="S110" s="1"/>
      <c r="T110" s="1"/>
      <c r="U110" s="1"/>
      <c r="V110" s="1"/>
      <c r="Y110" s="1"/>
      <c r="Z110" s="2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U110" s="1"/>
      <c r="AW110" s="1"/>
      <c r="AX110" s="1"/>
      <c r="AY110" s="1"/>
      <c r="AZ110" s="1"/>
      <c r="BA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2"/>
      <c r="FS110" s="1"/>
    </row>
    <row r="111" spans="1:175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R111" s="1"/>
      <c r="S111" s="1"/>
      <c r="T111" s="1"/>
      <c r="U111" s="1"/>
      <c r="V111" s="1"/>
      <c r="Y111" s="1"/>
      <c r="Z111" s="2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U111" s="1"/>
      <c r="AW111" s="1"/>
      <c r="AX111" s="1"/>
      <c r="AY111" s="1"/>
      <c r="AZ111" s="1"/>
      <c r="BA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2"/>
      <c r="FS111" s="1"/>
    </row>
    <row r="112" spans="1:175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R112" s="1"/>
      <c r="S112" s="1"/>
      <c r="T112" s="1"/>
      <c r="U112" s="1"/>
      <c r="V112" s="1"/>
      <c r="Y112" s="1"/>
      <c r="Z112" s="2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U112" s="1"/>
      <c r="AW112" s="1"/>
      <c r="AX112" s="1"/>
      <c r="AY112" s="1"/>
      <c r="AZ112" s="1"/>
      <c r="BA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2"/>
      <c r="FS112" s="1"/>
    </row>
    <row r="113" spans="1:175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R113" s="1"/>
      <c r="S113" s="1"/>
      <c r="T113" s="1"/>
      <c r="U113" s="1"/>
      <c r="V113" s="1"/>
      <c r="Y113" s="1"/>
      <c r="Z113" s="2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U113" s="1"/>
      <c r="AW113" s="1"/>
      <c r="AX113" s="1"/>
      <c r="AY113" s="1"/>
      <c r="AZ113" s="1"/>
      <c r="BA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2"/>
      <c r="FS113" s="1"/>
    </row>
    <row r="114" spans="1:175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R114" s="1"/>
      <c r="S114" s="1"/>
      <c r="T114" s="1"/>
      <c r="U114" s="1"/>
      <c r="V114" s="1"/>
      <c r="Y114" s="1"/>
      <c r="Z114" s="2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U114" s="1"/>
      <c r="AW114" s="1"/>
      <c r="AX114" s="1"/>
      <c r="AY114" s="1"/>
      <c r="AZ114" s="1"/>
      <c r="BA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2"/>
      <c r="FS114" s="1"/>
    </row>
    <row r="115" spans="1:175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R115" s="1"/>
      <c r="S115" s="1"/>
      <c r="T115" s="1"/>
      <c r="U115" s="1"/>
      <c r="V115" s="1"/>
      <c r="Y115" s="1"/>
      <c r="Z115" s="2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U115" s="1"/>
      <c r="AW115" s="1"/>
      <c r="AX115" s="1"/>
      <c r="AY115" s="1"/>
      <c r="AZ115" s="1"/>
      <c r="BA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2"/>
      <c r="FS115" s="1"/>
    </row>
    <row r="116" spans="1:175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R116" s="1"/>
      <c r="S116" s="1"/>
      <c r="T116" s="1"/>
      <c r="U116" s="1"/>
      <c r="V116" s="1"/>
      <c r="Y116" s="1"/>
      <c r="Z116" s="2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U116" s="1"/>
      <c r="AW116" s="1"/>
      <c r="AX116" s="1"/>
      <c r="AY116" s="1"/>
      <c r="AZ116" s="1"/>
      <c r="BA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2"/>
      <c r="FS116" s="1"/>
    </row>
    <row r="117" spans="1:175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R117" s="1"/>
      <c r="S117" s="1"/>
      <c r="T117" s="1"/>
      <c r="U117" s="1"/>
      <c r="V117" s="1"/>
      <c r="Y117" s="1"/>
      <c r="Z117" s="2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U117" s="1"/>
      <c r="AW117" s="1"/>
      <c r="AX117" s="1"/>
      <c r="AY117" s="1"/>
      <c r="AZ117" s="1"/>
      <c r="BA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2"/>
      <c r="FS117" s="1"/>
    </row>
    <row r="118" spans="1:175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R118" s="1"/>
      <c r="S118" s="1"/>
      <c r="T118" s="1"/>
      <c r="U118" s="1"/>
      <c r="V118" s="1"/>
      <c r="Y118" s="1"/>
      <c r="Z118" s="2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U118" s="1"/>
      <c r="AW118" s="1"/>
      <c r="AX118" s="1"/>
      <c r="AY118" s="1"/>
      <c r="AZ118" s="1"/>
      <c r="BA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2"/>
      <c r="FS118" s="1"/>
    </row>
    <row r="119" spans="1:175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R119" s="1"/>
      <c r="S119" s="1"/>
      <c r="T119" s="1"/>
      <c r="U119" s="1"/>
      <c r="V119" s="1"/>
      <c r="Y119" s="1"/>
      <c r="Z119" s="2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U119" s="1"/>
      <c r="AW119" s="1"/>
      <c r="AX119" s="1"/>
      <c r="AY119" s="1"/>
      <c r="AZ119" s="1"/>
      <c r="BA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2"/>
      <c r="FS119" s="1"/>
    </row>
    <row r="120" spans="1:175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R120" s="1"/>
      <c r="S120" s="1"/>
      <c r="T120" s="1"/>
      <c r="U120" s="1"/>
      <c r="V120" s="1"/>
      <c r="Y120" s="1"/>
      <c r="Z120" s="2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U120" s="1"/>
      <c r="AW120" s="1"/>
      <c r="AX120" s="1"/>
      <c r="AY120" s="1"/>
      <c r="AZ120" s="1"/>
      <c r="BA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2"/>
      <c r="FS120" s="1"/>
    </row>
    <row r="121" spans="1:175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R121" s="1"/>
      <c r="S121" s="1"/>
      <c r="T121" s="1"/>
      <c r="U121" s="1"/>
      <c r="V121" s="1"/>
      <c r="Y121" s="1"/>
      <c r="Z121" s="2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U121" s="1"/>
      <c r="AW121" s="1"/>
      <c r="AX121" s="1"/>
      <c r="AY121" s="1"/>
      <c r="AZ121" s="1"/>
      <c r="BA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2"/>
      <c r="FS121" s="1"/>
    </row>
    <row r="122" spans="1:175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R122" s="1"/>
      <c r="S122" s="1"/>
      <c r="T122" s="1"/>
      <c r="U122" s="1"/>
      <c r="V122" s="1"/>
      <c r="Y122" s="1"/>
      <c r="Z122" s="2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U122" s="1"/>
      <c r="AW122" s="1"/>
      <c r="AX122" s="1"/>
      <c r="AY122" s="1"/>
      <c r="AZ122" s="1"/>
      <c r="BA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2"/>
      <c r="FS122" s="1"/>
    </row>
    <row r="123" spans="1:175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R123" s="1"/>
      <c r="S123" s="1"/>
      <c r="T123" s="1"/>
      <c r="U123" s="1"/>
      <c r="V123" s="1"/>
      <c r="Y123" s="1"/>
      <c r="Z123" s="2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U123" s="1"/>
      <c r="AW123" s="1"/>
      <c r="AX123" s="1"/>
      <c r="AY123" s="1"/>
      <c r="AZ123" s="1"/>
      <c r="BA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2"/>
      <c r="FS123" s="1"/>
    </row>
    <row r="124" spans="1:175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R124" s="1"/>
      <c r="S124" s="1"/>
      <c r="T124" s="1"/>
      <c r="U124" s="1"/>
      <c r="V124" s="1"/>
      <c r="Y124" s="1"/>
      <c r="Z124" s="2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U124" s="1"/>
      <c r="AW124" s="1"/>
      <c r="AX124" s="1"/>
      <c r="AY124" s="1"/>
      <c r="AZ124" s="1"/>
      <c r="BA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2"/>
      <c r="FS124" s="1"/>
    </row>
    <row r="125" spans="1:175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R125" s="1"/>
      <c r="S125" s="1"/>
      <c r="T125" s="1"/>
      <c r="U125" s="1"/>
      <c r="V125" s="1"/>
      <c r="Y125" s="1"/>
      <c r="Z125" s="2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U125" s="1"/>
      <c r="AW125" s="1"/>
      <c r="AX125" s="1"/>
      <c r="AY125" s="1"/>
      <c r="AZ125" s="1"/>
      <c r="BA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2"/>
      <c r="FS125" s="1"/>
    </row>
    <row r="126" spans="1:175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R126" s="1"/>
      <c r="S126" s="1"/>
      <c r="T126" s="1"/>
      <c r="U126" s="1"/>
      <c r="V126" s="1"/>
      <c r="Y126" s="1"/>
      <c r="Z126" s="2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U126" s="1"/>
      <c r="AW126" s="1"/>
      <c r="AX126" s="1"/>
      <c r="AY126" s="1"/>
      <c r="AZ126" s="1"/>
      <c r="BA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2"/>
      <c r="FS126" s="1"/>
    </row>
    <row r="127" spans="1:175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R127" s="1"/>
      <c r="S127" s="1"/>
      <c r="T127" s="1"/>
      <c r="U127" s="1"/>
      <c r="V127" s="1"/>
      <c r="Y127" s="1"/>
      <c r="Z127" s="2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U127" s="1"/>
      <c r="AW127" s="1"/>
      <c r="AX127" s="1"/>
      <c r="AY127" s="1"/>
      <c r="AZ127" s="1"/>
      <c r="BA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2"/>
      <c r="FS127" s="1"/>
    </row>
    <row r="128" spans="1:175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R128" s="1"/>
      <c r="S128" s="1"/>
      <c r="T128" s="1"/>
      <c r="U128" s="1"/>
      <c r="V128" s="1"/>
      <c r="Y128" s="1"/>
      <c r="Z128" s="2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U128" s="1"/>
      <c r="AW128" s="1"/>
      <c r="AX128" s="1"/>
      <c r="AY128" s="1"/>
      <c r="AZ128" s="1"/>
      <c r="BA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2"/>
      <c r="FS128" s="1"/>
    </row>
    <row r="129" spans="1:175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R129" s="1"/>
      <c r="S129" s="1"/>
      <c r="T129" s="1"/>
      <c r="U129" s="1"/>
      <c r="V129" s="1"/>
      <c r="Y129" s="1"/>
      <c r="Z129" s="2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U129" s="1"/>
      <c r="AW129" s="1"/>
      <c r="AX129" s="1"/>
      <c r="AY129" s="1"/>
      <c r="AZ129" s="1"/>
      <c r="BA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2"/>
      <c r="FS129" s="1"/>
    </row>
    <row r="130" spans="1:175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R130" s="1"/>
      <c r="S130" s="1"/>
      <c r="T130" s="1"/>
      <c r="U130" s="1"/>
      <c r="V130" s="1"/>
      <c r="Y130" s="1"/>
      <c r="Z130" s="2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U130" s="1"/>
      <c r="AW130" s="1"/>
      <c r="AX130" s="1"/>
      <c r="AY130" s="1"/>
      <c r="AZ130" s="1"/>
      <c r="BA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2"/>
      <c r="FS130" s="1"/>
    </row>
    <row r="131" spans="1:175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R131" s="1"/>
      <c r="S131" s="1"/>
      <c r="T131" s="1"/>
      <c r="U131" s="1"/>
      <c r="V131" s="1"/>
      <c r="Y131" s="1"/>
      <c r="Z131" s="2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U131" s="1"/>
      <c r="AW131" s="1"/>
      <c r="AX131" s="1"/>
      <c r="AY131" s="1"/>
      <c r="AZ131" s="1"/>
      <c r="BA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2"/>
      <c r="FS131" s="1"/>
    </row>
    <row r="132" spans="1:175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R132" s="1"/>
      <c r="S132" s="1"/>
      <c r="T132" s="1"/>
      <c r="U132" s="1"/>
      <c r="V132" s="1"/>
      <c r="Y132" s="1"/>
      <c r="Z132" s="2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U132" s="1"/>
      <c r="AW132" s="1"/>
      <c r="AX132" s="1"/>
      <c r="AY132" s="1"/>
      <c r="AZ132" s="1"/>
      <c r="BA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2"/>
      <c r="FS132" s="1"/>
    </row>
    <row r="133" spans="1:175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R133" s="1"/>
      <c r="S133" s="1"/>
      <c r="T133" s="1"/>
      <c r="U133" s="1"/>
      <c r="V133" s="1"/>
      <c r="Y133" s="1"/>
      <c r="Z133" s="2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U133" s="1"/>
      <c r="AW133" s="1"/>
      <c r="AX133" s="1"/>
      <c r="AY133" s="1"/>
      <c r="AZ133" s="1"/>
      <c r="BA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2"/>
      <c r="FS133" s="1"/>
    </row>
    <row r="134" spans="1:175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R134" s="1"/>
      <c r="S134" s="1"/>
      <c r="T134" s="1"/>
      <c r="U134" s="1"/>
      <c r="V134" s="1"/>
      <c r="Y134" s="1"/>
      <c r="Z134" s="2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U134" s="1"/>
      <c r="AW134" s="1"/>
      <c r="AX134" s="1"/>
      <c r="AY134" s="1"/>
      <c r="AZ134" s="1"/>
      <c r="BA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1"/>
      <c r="FJ134" s="1"/>
      <c r="FK134" s="1"/>
      <c r="FL134" s="1"/>
      <c r="FM134" s="1"/>
      <c r="FN134" s="1"/>
      <c r="FO134" s="1"/>
      <c r="FP134" s="1"/>
      <c r="FQ134" s="1"/>
      <c r="FR134" s="2"/>
      <c r="FS134" s="1"/>
    </row>
    <row r="135" spans="1:175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R135" s="1"/>
      <c r="S135" s="1"/>
      <c r="T135" s="1"/>
      <c r="U135" s="1"/>
      <c r="V135" s="1"/>
      <c r="Y135" s="1"/>
      <c r="Z135" s="2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U135" s="1"/>
      <c r="AW135" s="1"/>
      <c r="AX135" s="1"/>
      <c r="AY135" s="1"/>
      <c r="AZ135" s="1"/>
      <c r="BA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/>
      <c r="FP135" s="1"/>
      <c r="FQ135" s="1"/>
      <c r="FR135" s="2"/>
      <c r="FS135" s="1"/>
    </row>
    <row r="136" spans="1:175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R136" s="1"/>
      <c r="S136" s="1"/>
      <c r="T136" s="1"/>
      <c r="U136" s="1"/>
      <c r="V136" s="1"/>
      <c r="Y136" s="1"/>
      <c r="Z136" s="2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U136" s="1"/>
      <c r="AW136" s="1"/>
      <c r="AX136" s="1"/>
      <c r="AY136" s="1"/>
      <c r="AZ136" s="1"/>
      <c r="BA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/>
      <c r="FP136" s="1"/>
      <c r="FQ136" s="1"/>
      <c r="FR136" s="2"/>
      <c r="FS136" s="1"/>
    </row>
    <row r="137" spans="1:175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R137" s="1"/>
      <c r="S137" s="1"/>
      <c r="T137" s="1"/>
      <c r="U137" s="1"/>
      <c r="V137" s="1"/>
      <c r="Y137" s="1"/>
      <c r="Z137" s="2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U137" s="1"/>
      <c r="AW137" s="1"/>
      <c r="AX137" s="1"/>
      <c r="AY137" s="1"/>
      <c r="AZ137" s="1"/>
      <c r="BA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/>
      <c r="FJ137" s="1"/>
      <c r="FK137" s="1"/>
      <c r="FL137" s="1"/>
      <c r="FM137" s="1"/>
      <c r="FN137" s="1"/>
      <c r="FO137" s="1"/>
      <c r="FP137" s="1"/>
      <c r="FQ137" s="1"/>
      <c r="FR137" s="2"/>
      <c r="FS137" s="1"/>
    </row>
    <row r="138" spans="1:175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R138" s="1"/>
      <c r="S138" s="1"/>
      <c r="T138" s="1"/>
      <c r="U138" s="1"/>
      <c r="V138" s="1"/>
      <c r="Y138" s="1"/>
      <c r="Z138" s="2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U138" s="1"/>
      <c r="AW138" s="1"/>
      <c r="AX138" s="1"/>
      <c r="AY138" s="1"/>
      <c r="AZ138" s="1"/>
      <c r="BA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1"/>
      <c r="FK138" s="1"/>
      <c r="FL138" s="1"/>
      <c r="FM138" s="1"/>
      <c r="FN138" s="1"/>
      <c r="FO138" s="1"/>
      <c r="FP138" s="1"/>
      <c r="FQ138" s="1"/>
      <c r="FR138" s="2"/>
      <c r="FS138" s="1"/>
    </row>
    <row r="139" spans="1:175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R139" s="1"/>
      <c r="S139" s="1"/>
      <c r="T139" s="1"/>
      <c r="U139" s="1"/>
      <c r="V139" s="1"/>
      <c r="Y139" s="1"/>
      <c r="Z139" s="2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U139" s="1"/>
      <c r="AW139" s="1"/>
      <c r="AX139" s="1"/>
      <c r="AY139" s="1"/>
      <c r="AZ139" s="1"/>
      <c r="BA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1"/>
      <c r="FO139" s="1"/>
      <c r="FP139" s="1"/>
      <c r="FQ139" s="1"/>
      <c r="FR139" s="2"/>
      <c r="FS139" s="1"/>
    </row>
    <row r="140" spans="1:175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R140" s="1"/>
      <c r="S140" s="1"/>
      <c r="T140" s="1"/>
      <c r="U140" s="1"/>
      <c r="V140" s="1"/>
      <c r="Y140" s="1"/>
      <c r="Z140" s="2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U140" s="1"/>
      <c r="AW140" s="1"/>
      <c r="AX140" s="1"/>
      <c r="AY140" s="1"/>
      <c r="AZ140" s="1"/>
      <c r="BA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  <c r="FJ140" s="1"/>
      <c r="FK140" s="1"/>
      <c r="FL140" s="1"/>
      <c r="FM140" s="1"/>
      <c r="FN140" s="1"/>
      <c r="FO140" s="1"/>
      <c r="FP140" s="1"/>
      <c r="FQ140" s="1"/>
      <c r="FR140" s="2"/>
      <c r="FS140" s="1"/>
    </row>
    <row r="141" spans="1:175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R141" s="1"/>
      <c r="S141" s="1"/>
      <c r="T141" s="1"/>
      <c r="U141" s="1"/>
      <c r="V141" s="1"/>
      <c r="Y141" s="1"/>
      <c r="Z141" s="2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U141" s="1"/>
      <c r="AW141" s="1"/>
      <c r="AX141" s="1"/>
      <c r="AY141" s="1"/>
      <c r="AZ141" s="1"/>
      <c r="BA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1"/>
      <c r="FO141" s="1"/>
      <c r="FP141" s="1"/>
      <c r="FQ141" s="1"/>
      <c r="FR141" s="2"/>
      <c r="FS141" s="1"/>
    </row>
    <row r="142" spans="1:175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R142" s="1"/>
      <c r="S142" s="1"/>
      <c r="T142" s="1"/>
      <c r="U142" s="1"/>
      <c r="V142" s="1"/>
      <c r="Y142" s="1"/>
      <c r="Z142" s="2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U142" s="1"/>
      <c r="AW142" s="1"/>
      <c r="AX142" s="1"/>
      <c r="AY142" s="1"/>
      <c r="AZ142" s="1"/>
      <c r="BA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I142" s="1"/>
      <c r="FJ142" s="1"/>
      <c r="FK142" s="1"/>
      <c r="FL142" s="1"/>
      <c r="FM142" s="1"/>
      <c r="FN142" s="1"/>
      <c r="FO142" s="1"/>
      <c r="FP142" s="1"/>
      <c r="FQ142" s="1"/>
      <c r="FR142" s="2"/>
      <c r="FS142" s="1"/>
    </row>
    <row r="143" spans="1:175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R143" s="1"/>
      <c r="S143" s="1"/>
      <c r="T143" s="1"/>
      <c r="U143" s="1"/>
      <c r="V143" s="1"/>
      <c r="Y143" s="1"/>
      <c r="Z143" s="2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U143" s="1"/>
      <c r="AW143" s="1"/>
      <c r="AX143" s="1"/>
      <c r="AY143" s="1"/>
      <c r="AZ143" s="1"/>
      <c r="BA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I143" s="1"/>
      <c r="FJ143" s="1"/>
      <c r="FK143" s="1"/>
      <c r="FL143" s="1"/>
      <c r="FM143" s="1"/>
      <c r="FN143" s="1"/>
      <c r="FO143" s="1"/>
      <c r="FP143" s="1"/>
      <c r="FQ143" s="1"/>
      <c r="FR143" s="2"/>
      <c r="FS143" s="1"/>
    </row>
    <row r="144" spans="1:175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R144" s="1"/>
      <c r="S144" s="1"/>
      <c r="T144" s="1"/>
      <c r="U144" s="1"/>
      <c r="V144" s="1"/>
      <c r="Y144" s="1"/>
      <c r="Z144" s="2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U144" s="1"/>
      <c r="AW144" s="1"/>
      <c r="AX144" s="1"/>
      <c r="AY144" s="1"/>
      <c r="AZ144" s="1"/>
      <c r="BA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  <c r="FO144" s="1"/>
      <c r="FP144" s="1"/>
      <c r="FQ144" s="1"/>
      <c r="FR144" s="2"/>
      <c r="FS144" s="1"/>
    </row>
    <row r="145" spans="1:175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R145" s="1"/>
      <c r="S145" s="1"/>
      <c r="T145" s="1"/>
      <c r="U145" s="1"/>
      <c r="V145" s="1"/>
      <c r="Y145" s="1"/>
      <c r="Z145" s="2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U145" s="1"/>
      <c r="AW145" s="1"/>
      <c r="AX145" s="1"/>
      <c r="AY145" s="1"/>
      <c r="AZ145" s="1"/>
      <c r="BA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P145" s="1"/>
      <c r="FQ145" s="1"/>
      <c r="FR145" s="2"/>
      <c r="FS145" s="1"/>
    </row>
    <row r="146" spans="1:175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R146" s="1"/>
      <c r="S146" s="1"/>
      <c r="T146" s="1"/>
      <c r="U146" s="1"/>
      <c r="V146" s="1"/>
      <c r="Y146" s="1"/>
      <c r="Z146" s="2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U146" s="1"/>
      <c r="AW146" s="1"/>
      <c r="AX146" s="1"/>
      <c r="AY146" s="1"/>
      <c r="AZ146" s="1"/>
      <c r="BA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1"/>
      <c r="FJ146" s="1"/>
      <c r="FK146" s="1"/>
      <c r="FL146" s="1"/>
      <c r="FM146" s="1"/>
      <c r="FN146" s="1"/>
      <c r="FO146" s="1"/>
      <c r="FP146" s="1"/>
      <c r="FQ146" s="1"/>
      <c r="FR146" s="2"/>
      <c r="FS146" s="1"/>
    </row>
    <row r="147" spans="1:175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R147" s="1"/>
      <c r="S147" s="1"/>
      <c r="T147" s="1"/>
      <c r="U147" s="1"/>
      <c r="V147" s="1"/>
      <c r="Y147" s="1"/>
      <c r="Z147" s="2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U147" s="1"/>
      <c r="AW147" s="1"/>
      <c r="AX147" s="1"/>
      <c r="AY147" s="1"/>
      <c r="AZ147" s="1"/>
      <c r="BA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I147" s="1"/>
      <c r="FJ147" s="1"/>
      <c r="FK147" s="1"/>
      <c r="FL147" s="1"/>
      <c r="FM147" s="1"/>
      <c r="FN147" s="1"/>
      <c r="FO147" s="1"/>
      <c r="FP147" s="1"/>
      <c r="FQ147" s="1"/>
      <c r="FR147" s="2"/>
      <c r="FS147" s="1"/>
    </row>
    <row r="148" spans="1:175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R148" s="1"/>
      <c r="S148" s="1"/>
      <c r="T148" s="1"/>
      <c r="U148" s="1"/>
      <c r="V148" s="1"/>
      <c r="Y148" s="1"/>
      <c r="Z148" s="2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U148" s="1"/>
      <c r="AW148" s="1"/>
      <c r="AX148" s="1"/>
      <c r="AY148" s="1"/>
      <c r="AZ148" s="1"/>
      <c r="BA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  <c r="FJ148" s="1"/>
      <c r="FK148" s="1"/>
      <c r="FL148" s="1"/>
      <c r="FM148" s="1"/>
      <c r="FN148" s="1"/>
      <c r="FO148" s="1"/>
      <c r="FP148" s="1"/>
      <c r="FQ148" s="1"/>
      <c r="FR148" s="2"/>
      <c r="FS148" s="1"/>
    </row>
    <row r="149" spans="1:175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R149" s="1"/>
      <c r="S149" s="1"/>
      <c r="T149" s="1"/>
      <c r="U149" s="1"/>
      <c r="V149" s="1"/>
      <c r="Y149" s="1"/>
      <c r="Z149" s="2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U149" s="1"/>
      <c r="AW149" s="1"/>
      <c r="AX149" s="1"/>
      <c r="AY149" s="1"/>
      <c r="AZ149" s="1"/>
      <c r="BA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2"/>
      <c r="FS149" s="1"/>
    </row>
    <row r="150" spans="1:175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R150" s="1"/>
      <c r="S150" s="1"/>
      <c r="T150" s="1"/>
      <c r="U150" s="1"/>
      <c r="V150" s="1"/>
      <c r="Y150" s="1"/>
      <c r="Z150" s="2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U150" s="1"/>
      <c r="AW150" s="1"/>
      <c r="AX150" s="1"/>
      <c r="AY150" s="1"/>
      <c r="AZ150" s="1"/>
      <c r="BA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2"/>
      <c r="FS150" s="1"/>
    </row>
    <row r="151" spans="1:175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R151" s="1"/>
      <c r="S151" s="1"/>
      <c r="T151" s="1"/>
      <c r="U151" s="1"/>
      <c r="V151" s="1"/>
      <c r="Y151" s="1"/>
      <c r="Z151" s="2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U151" s="1"/>
      <c r="AW151" s="1"/>
      <c r="AX151" s="1"/>
      <c r="AY151" s="1"/>
      <c r="AZ151" s="1"/>
      <c r="BA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2"/>
      <c r="FS151" s="1"/>
    </row>
    <row r="152" spans="1:175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R152" s="1"/>
      <c r="S152" s="1"/>
      <c r="T152" s="1"/>
      <c r="U152" s="1"/>
      <c r="V152" s="1"/>
      <c r="Y152" s="1"/>
      <c r="Z152" s="2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U152" s="1"/>
      <c r="AW152" s="1"/>
      <c r="AX152" s="1"/>
      <c r="AY152" s="1"/>
      <c r="AZ152" s="1"/>
      <c r="BA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1"/>
      <c r="FQ152" s="1"/>
      <c r="FR152" s="2"/>
      <c r="FS152" s="1"/>
    </row>
    <row r="153" spans="1:175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R153" s="1"/>
      <c r="S153" s="1"/>
      <c r="T153" s="1"/>
      <c r="U153" s="1"/>
      <c r="V153" s="1"/>
      <c r="Y153" s="1"/>
      <c r="Z153" s="2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U153" s="1"/>
      <c r="AW153" s="1"/>
      <c r="AX153" s="1"/>
      <c r="AY153" s="1"/>
      <c r="AZ153" s="1"/>
      <c r="BA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P153" s="1"/>
      <c r="FQ153" s="1"/>
      <c r="FR153" s="2"/>
      <c r="FS153" s="1"/>
    </row>
    <row r="154" spans="1:175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R154" s="1"/>
      <c r="S154" s="1"/>
      <c r="T154" s="1"/>
      <c r="U154" s="1"/>
      <c r="V154" s="1"/>
      <c r="Y154" s="1"/>
      <c r="Z154" s="2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U154" s="1"/>
      <c r="AW154" s="1"/>
      <c r="AX154" s="1"/>
      <c r="AY154" s="1"/>
      <c r="AZ154" s="1"/>
      <c r="BA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1"/>
      <c r="FJ154" s="1"/>
      <c r="FK154" s="1"/>
      <c r="FL154" s="1"/>
      <c r="FM154" s="1"/>
      <c r="FN154" s="1"/>
      <c r="FO154" s="1"/>
      <c r="FP154" s="1"/>
      <c r="FQ154" s="1"/>
      <c r="FR154" s="2"/>
      <c r="FS154" s="1"/>
    </row>
    <row r="155" spans="1:175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R155" s="1"/>
      <c r="S155" s="1"/>
      <c r="T155" s="1"/>
      <c r="U155" s="1"/>
      <c r="V155" s="1"/>
      <c r="Y155" s="1"/>
      <c r="Z155" s="2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U155" s="1"/>
      <c r="AW155" s="1"/>
      <c r="AX155" s="1"/>
      <c r="AY155" s="1"/>
      <c r="AZ155" s="1"/>
      <c r="BA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2"/>
      <c r="FS155" s="1"/>
    </row>
    <row r="156" spans="1:175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R156" s="1"/>
      <c r="S156" s="1"/>
      <c r="T156" s="1"/>
      <c r="U156" s="1"/>
      <c r="V156" s="1"/>
      <c r="Y156" s="1"/>
      <c r="Z156" s="2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U156" s="1"/>
      <c r="AW156" s="1"/>
      <c r="AX156" s="1"/>
      <c r="AY156" s="1"/>
      <c r="AZ156" s="1"/>
      <c r="BA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1"/>
      <c r="FO156" s="1"/>
      <c r="FP156" s="1"/>
      <c r="FQ156" s="1"/>
      <c r="FR156" s="2"/>
      <c r="FS156" s="1"/>
    </row>
    <row r="157" spans="1:175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R157" s="1"/>
      <c r="S157" s="1"/>
      <c r="T157" s="1"/>
      <c r="U157" s="1"/>
      <c r="V157" s="1"/>
      <c r="Y157" s="1"/>
      <c r="Z157" s="2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U157" s="1"/>
      <c r="AW157" s="1"/>
      <c r="AX157" s="1"/>
      <c r="AY157" s="1"/>
      <c r="AZ157" s="1"/>
      <c r="BA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2"/>
      <c r="FS157" s="1"/>
    </row>
    <row r="158" spans="1:175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R158" s="1"/>
      <c r="S158" s="1"/>
      <c r="T158" s="1"/>
      <c r="U158" s="1"/>
      <c r="V158" s="1"/>
      <c r="Y158" s="1"/>
      <c r="Z158" s="2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U158" s="1"/>
      <c r="AW158" s="1"/>
      <c r="AX158" s="1"/>
      <c r="AY158" s="1"/>
      <c r="AZ158" s="1"/>
      <c r="BA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  <c r="FJ158" s="1"/>
      <c r="FK158" s="1"/>
      <c r="FL158" s="1"/>
      <c r="FM158" s="1"/>
      <c r="FN158" s="1"/>
      <c r="FO158" s="1"/>
      <c r="FP158" s="1"/>
      <c r="FQ158" s="1"/>
      <c r="FR158" s="2"/>
      <c r="FS158" s="1"/>
    </row>
    <row r="159" spans="1:175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R159" s="1"/>
      <c r="S159" s="1"/>
      <c r="T159" s="1"/>
      <c r="U159" s="1"/>
      <c r="V159" s="1"/>
      <c r="Y159" s="1"/>
      <c r="Z159" s="2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U159" s="1"/>
      <c r="AW159" s="1"/>
      <c r="AX159" s="1"/>
      <c r="AY159" s="1"/>
      <c r="AZ159" s="1"/>
      <c r="BA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  <c r="FJ159" s="1"/>
      <c r="FK159" s="1"/>
      <c r="FL159" s="1"/>
      <c r="FM159" s="1"/>
      <c r="FN159" s="1"/>
      <c r="FO159" s="1"/>
      <c r="FP159" s="1"/>
      <c r="FQ159" s="1"/>
      <c r="FR159" s="2"/>
      <c r="FS159" s="1"/>
    </row>
    <row r="160" spans="1:175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R160" s="1"/>
      <c r="S160" s="1"/>
      <c r="T160" s="1"/>
      <c r="U160" s="1"/>
      <c r="V160" s="1"/>
      <c r="Y160" s="1"/>
      <c r="Z160" s="2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U160" s="1"/>
      <c r="AW160" s="1"/>
      <c r="AX160" s="1"/>
      <c r="AY160" s="1"/>
      <c r="AZ160" s="1"/>
      <c r="BA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/>
      <c r="FM160" s="1"/>
      <c r="FN160" s="1"/>
      <c r="FO160" s="1"/>
      <c r="FP160" s="1"/>
      <c r="FQ160" s="1"/>
      <c r="FR160" s="2"/>
      <c r="FS160" s="1"/>
    </row>
    <row r="161" spans="1:175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R161" s="1"/>
      <c r="S161" s="1"/>
      <c r="T161" s="1"/>
      <c r="U161" s="1"/>
      <c r="V161" s="1"/>
      <c r="Y161" s="1"/>
      <c r="Z161" s="2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U161" s="1"/>
      <c r="AW161" s="1"/>
      <c r="AX161" s="1"/>
      <c r="AY161" s="1"/>
      <c r="AZ161" s="1"/>
      <c r="BA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/>
      <c r="FN161" s="1"/>
      <c r="FO161" s="1"/>
      <c r="FP161" s="1"/>
      <c r="FQ161" s="1"/>
      <c r="FR161" s="2"/>
      <c r="FS161" s="1"/>
    </row>
    <row r="162" spans="1:175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R162" s="1"/>
      <c r="S162" s="1"/>
      <c r="T162" s="1"/>
      <c r="U162" s="1"/>
      <c r="V162" s="1"/>
      <c r="Y162" s="1"/>
      <c r="Z162" s="2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U162" s="1"/>
      <c r="AW162" s="1"/>
      <c r="AX162" s="1"/>
      <c r="AY162" s="1"/>
      <c r="AZ162" s="1"/>
      <c r="BA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2"/>
      <c r="FS162" s="1"/>
    </row>
    <row r="163" spans="1:175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R163" s="1"/>
      <c r="S163" s="1"/>
      <c r="T163" s="1"/>
      <c r="U163" s="1"/>
      <c r="V163" s="1"/>
      <c r="Y163" s="1"/>
      <c r="Z163" s="2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U163" s="1"/>
      <c r="AW163" s="1"/>
      <c r="AX163" s="1"/>
      <c r="AY163" s="1"/>
      <c r="AZ163" s="1"/>
      <c r="BA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  <c r="FO163" s="1"/>
      <c r="FP163" s="1"/>
      <c r="FQ163" s="1"/>
      <c r="FR163" s="2"/>
      <c r="FS163" s="1"/>
    </row>
    <row r="164" spans="1:175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R164" s="1"/>
      <c r="S164" s="1"/>
      <c r="T164" s="1"/>
      <c r="U164" s="1"/>
      <c r="V164" s="1"/>
      <c r="Y164" s="1"/>
      <c r="Z164" s="2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U164" s="1"/>
      <c r="AW164" s="1"/>
      <c r="AX164" s="1"/>
      <c r="AY164" s="1"/>
      <c r="AZ164" s="1"/>
      <c r="BA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s="1"/>
      <c r="FQ164" s="1"/>
      <c r="FR164" s="2"/>
      <c r="FS164" s="1"/>
    </row>
    <row r="165" spans="1:175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R165" s="1"/>
      <c r="S165" s="1"/>
      <c r="T165" s="1"/>
      <c r="U165" s="1"/>
      <c r="V165" s="1"/>
      <c r="Y165" s="1"/>
      <c r="Z165" s="2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U165" s="1"/>
      <c r="AW165" s="1"/>
      <c r="AX165" s="1"/>
      <c r="AY165" s="1"/>
      <c r="AZ165" s="1"/>
      <c r="BA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  <c r="FJ165" s="1"/>
      <c r="FK165" s="1"/>
      <c r="FL165" s="1"/>
      <c r="FM165" s="1"/>
      <c r="FN165" s="1"/>
      <c r="FO165" s="1"/>
      <c r="FP165" s="1"/>
      <c r="FQ165" s="1"/>
      <c r="FR165" s="2"/>
      <c r="FS165" s="1"/>
    </row>
    <row r="166" spans="1:175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R166" s="1"/>
      <c r="S166" s="1"/>
      <c r="T166" s="1"/>
      <c r="U166" s="1"/>
      <c r="V166" s="1"/>
      <c r="Y166" s="1"/>
      <c r="Z166" s="2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U166" s="1"/>
      <c r="AW166" s="1"/>
      <c r="AX166" s="1"/>
      <c r="AY166" s="1"/>
      <c r="AZ166" s="1"/>
      <c r="BA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  <c r="FO166" s="1"/>
      <c r="FP166" s="1"/>
      <c r="FQ166" s="1"/>
      <c r="FR166" s="2"/>
      <c r="FS166" s="1"/>
    </row>
    <row r="167" spans="1:175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R167" s="1"/>
      <c r="S167" s="1"/>
      <c r="T167" s="1"/>
      <c r="U167" s="1"/>
      <c r="V167" s="1"/>
      <c r="Y167" s="1"/>
      <c r="Z167" s="2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U167" s="1"/>
      <c r="AW167" s="1"/>
      <c r="AX167" s="1"/>
      <c r="AY167" s="1"/>
      <c r="AZ167" s="1"/>
      <c r="BA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/>
      <c r="FJ167" s="1"/>
      <c r="FK167" s="1"/>
      <c r="FL167" s="1"/>
      <c r="FM167" s="1"/>
      <c r="FN167" s="1"/>
      <c r="FO167" s="1"/>
      <c r="FP167" s="1"/>
      <c r="FQ167" s="1"/>
      <c r="FR167" s="2"/>
      <c r="FS167" s="1"/>
    </row>
    <row r="168" spans="1:175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R168" s="1"/>
      <c r="S168" s="1"/>
      <c r="T168" s="1"/>
      <c r="U168" s="1"/>
      <c r="V168" s="1"/>
      <c r="Y168" s="1"/>
      <c r="Z168" s="2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U168" s="1"/>
      <c r="AW168" s="1"/>
      <c r="AX168" s="1"/>
      <c r="AY168" s="1"/>
      <c r="AZ168" s="1"/>
      <c r="BA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  <c r="FJ168" s="1"/>
      <c r="FK168" s="1"/>
      <c r="FL168" s="1"/>
      <c r="FM168" s="1"/>
      <c r="FN168" s="1"/>
      <c r="FO168" s="1"/>
      <c r="FP168" s="1"/>
      <c r="FQ168" s="1"/>
      <c r="FR168" s="2"/>
      <c r="FS168" s="1"/>
    </row>
    <row r="169" spans="1:175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R169" s="1"/>
      <c r="S169" s="1"/>
      <c r="T169" s="1"/>
      <c r="U169" s="1"/>
      <c r="V169" s="1"/>
      <c r="Y169" s="1"/>
      <c r="Z169" s="2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U169" s="1"/>
      <c r="AW169" s="1"/>
      <c r="AX169" s="1"/>
      <c r="AY169" s="1"/>
      <c r="AZ169" s="1"/>
      <c r="BA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  <c r="FJ169" s="1"/>
      <c r="FK169" s="1"/>
      <c r="FL169" s="1"/>
      <c r="FM169" s="1"/>
      <c r="FN169" s="1"/>
      <c r="FO169" s="1"/>
      <c r="FP169" s="1"/>
      <c r="FQ169" s="1"/>
      <c r="FR169" s="2"/>
      <c r="FS169" s="1"/>
    </row>
    <row r="170" spans="1:175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R170" s="1"/>
      <c r="S170" s="1"/>
      <c r="T170" s="1"/>
      <c r="U170" s="1"/>
      <c r="V170" s="1"/>
      <c r="Y170" s="1"/>
      <c r="Z170" s="2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U170" s="1"/>
      <c r="AW170" s="1"/>
      <c r="AX170" s="1"/>
      <c r="AY170" s="1"/>
      <c r="AZ170" s="1"/>
      <c r="BA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1"/>
      <c r="FJ170" s="1"/>
      <c r="FK170" s="1"/>
      <c r="FL170" s="1"/>
      <c r="FM170" s="1"/>
      <c r="FN170" s="1"/>
      <c r="FO170" s="1"/>
      <c r="FP170" s="1"/>
      <c r="FQ170" s="1"/>
      <c r="FR170" s="2"/>
      <c r="FS170" s="1"/>
    </row>
    <row r="171" spans="1:175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R171" s="1"/>
      <c r="S171" s="1"/>
      <c r="T171" s="1"/>
      <c r="U171" s="1"/>
      <c r="V171" s="1"/>
      <c r="Y171" s="1"/>
      <c r="Z171" s="2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U171" s="1"/>
      <c r="AW171" s="1"/>
      <c r="AX171" s="1"/>
      <c r="AY171" s="1"/>
      <c r="AZ171" s="1"/>
      <c r="BA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  <c r="FP171" s="1"/>
      <c r="FQ171" s="1"/>
      <c r="FR171" s="2"/>
      <c r="FS171" s="1"/>
    </row>
    <row r="172" spans="1:175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R172" s="1"/>
      <c r="S172" s="1"/>
      <c r="T172" s="1"/>
      <c r="U172" s="1"/>
      <c r="V172" s="1"/>
      <c r="Y172" s="1"/>
      <c r="Z172" s="2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U172" s="1"/>
      <c r="AW172" s="1"/>
      <c r="AX172" s="1"/>
      <c r="AY172" s="1"/>
      <c r="AZ172" s="1"/>
      <c r="BA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  <c r="FP172" s="1"/>
      <c r="FQ172" s="1"/>
      <c r="FR172" s="2"/>
      <c r="FS172" s="1"/>
    </row>
    <row r="173" spans="1:175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R173" s="1"/>
      <c r="S173" s="1"/>
      <c r="T173" s="1"/>
      <c r="U173" s="1"/>
      <c r="V173" s="1"/>
      <c r="Y173" s="1"/>
      <c r="Z173" s="2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U173" s="1"/>
      <c r="AW173" s="1"/>
      <c r="AX173" s="1"/>
      <c r="AY173" s="1"/>
      <c r="AZ173" s="1"/>
      <c r="BA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2"/>
      <c r="FS173" s="1"/>
    </row>
    <row r="174" spans="1:175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R174" s="1"/>
      <c r="S174" s="1"/>
      <c r="T174" s="1"/>
      <c r="U174" s="1"/>
      <c r="V174" s="1"/>
      <c r="Y174" s="1"/>
      <c r="Z174" s="2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U174" s="1"/>
      <c r="AW174" s="1"/>
      <c r="AX174" s="1"/>
      <c r="AY174" s="1"/>
      <c r="AZ174" s="1"/>
      <c r="BA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P174" s="1"/>
      <c r="FQ174" s="1"/>
      <c r="FR174" s="2"/>
      <c r="FS174" s="1"/>
    </row>
    <row r="175" spans="1:175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R175" s="1"/>
      <c r="S175" s="1"/>
      <c r="T175" s="1"/>
      <c r="U175" s="1"/>
      <c r="V175" s="1"/>
      <c r="Y175" s="1"/>
      <c r="Z175" s="2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U175" s="1"/>
      <c r="AW175" s="1"/>
      <c r="AX175" s="1"/>
      <c r="AY175" s="1"/>
      <c r="AZ175" s="1"/>
      <c r="BA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  <c r="FP175" s="1"/>
      <c r="FQ175" s="1"/>
      <c r="FR175" s="2"/>
      <c r="FS175" s="1"/>
    </row>
    <row r="176" spans="1:175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R176" s="1"/>
      <c r="S176" s="1"/>
      <c r="T176" s="1"/>
      <c r="U176" s="1"/>
      <c r="V176" s="1"/>
      <c r="Y176" s="1"/>
      <c r="Z176" s="2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U176" s="1"/>
      <c r="AW176" s="1"/>
      <c r="AX176" s="1"/>
      <c r="AY176" s="1"/>
      <c r="AZ176" s="1"/>
      <c r="BA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O176" s="1"/>
      <c r="FP176" s="1"/>
      <c r="FQ176" s="1"/>
      <c r="FR176" s="2"/>
      <c r="FS176" s="1"/>
    </row>
    <row r="177" spans="1:175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R177" s="1"/>
      <c r="S177" s="1"/>
      <c r="T177" s="1"/>
      <c r="U177" s="1"/>
      <c r="V177" s="1"/>
      <c r="Y177" s="1"/>
      <c r="Z177" s="2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U177" s="1"/>
      <c r="AW177" s="1"/>
      <c r="AX177" s="1"/>
      <c r="AY177" s="1"/>
      <c r="AZ177" s="1"/>
      <c r="BA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O177" s="1"/>
      <c r="FP177" s="1"/>
      <c r="FQ177" s="1"/>
      <c r="FR177" s="2"/>
      <c r="FS177" s="1"/>
    </row>
    <row r="178" spans="1:175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R178" s="1"/>
      <c r="S178" s="1"/>
      <c r="T178" s="1"/>
      <c r="U178" s="1"/>
      <c r="V178" s="1"/>
      <c r="Y178" s="1"/>
      <c r="Z178" s="2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U178" s="1"/>
      <c r="AW178" s="1"/>
      <c r="AX178" s="1"/>
      <c r="AY178" s="1"/>
      <c r="AZ178" s="1"/>
      <c r="BA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  <c r="FO178" s="1"/>
      <c r="FP178" s="1"/>
      <c r="FQ178" s="1"/>
      <c r="FR178" s="2"/>
      <c r="FS178" s="1"/>
    </row>
    <row r="179" spans="1:175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R179" s="1"/>
      <c r="S179" s="1"/>
      <c r="T179" s="1"/>
      <c r="U179" s="1"/>
      <c r="V179" s="1"/>
      <c r="Y179" s="1"/>
      <c r="Z179" s="2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U179" s="1"/>
      <c r="AW179" s="1"/>
      <c r="AX179" s="1"/>
      <c r="AY179" s="1"/>
      <c r="AZ179" s="1"/>
      <c r="BA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FI179" s="1"/>
      <c r="FJ179" s="1"/>
      <c r="FK179" s="1"/>
      <c r="FL179" s="1"/>
      <c r="FM179" s="1"/>
      <c r="FN179" s="1"/>
      <c r="FO179" s="1"/>
      <c r="FP179" s="1"/>
      <c r="FQ179" s="1"/>
      <c r="FR179" s="2"/>
      <c r="FS179" s="1"/>
    </row>
    <row r="180" spans="1:175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R180" s="1"/>
      <c r="S180" s="1"/>
      <c r="T180" s="1"/>
      <c r="U180" s="1"/>
      <c r="V180" s="1"/>
      <c r="Y180" s="1"/>
      <c r="Z180" s="2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U180" s="1"/>
      <c r="AW180" s="1"/>
      <c r="AX180" s="1"/>
      <c r="AY180" s="1"/>
      <c r="AZ180" s="1"/>
      <c r="BA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  <c r="FP180" s="1"/>
      <c r="FQ180" s="1"/>
      <c r="FR180" s="2"/>
      <c r="FS180" s="1"/>
    </row>
    <row r="181" spans="1:175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R181" s="1"/>
      <c r="S181" s="1"/>
      <c r="T181" s="1"/>
      <c r="U181" s="1"/>
      <c r="V181" s="1"/>
      <c r="Y181" s="1"/>
      <c r="Z181" s="2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U181" s="1"/>
      <c r="AW181" s="1"/>
      <c r="AX181" s="1"/>
      <c r="AY181" s="1"/>
      <c r="AZ181" s="1"/>
      <c r="BA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/>
      <c r="FJ181" s="1"/>
      <c r="FK181" s="1"/>
      <c r="FL181" s="1"/>
      <c r="FM181" s="1"/>
      <c r="FN181" s="1"/>
      <c r="FO181" s="1"/>
      <c r="FP181" s="1"/>
      <c r="FQ181" s="1"/>
      <c r="FR181" s="2"/>
      <c r="FS181" s="1"/>
    </row>
    <row r="182" spans="1:175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R182" s="1"/>
      <c r="S182" s="1"/>
      <c r="T182" s="1"/>
      <c r="U182" s="1"/>
      <c r="V182" s="1"/>
      <c r="Y182" s="1"/>
      <c r="Z182" s="2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U182" s="1"/>
      <c r="AW182" s="1"/>
      <c r="AX182" s="1"/>
      <c r="AY182" s="1"/>
      <c r="AZ182" s="1"/>
      <c r="BA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/>
      <c r="FJ182" s="1"/>
      <c r="FK182" s="1"/>
      <c r="FL182" s="1"/>
      <c r="FM182" s="1"/>
      <c r="FN182" s="1"/>
      <c r="FO182" s="1"/>
      <c r="FP182" s="1"/>
      <c r="FQ182" s="1"/>
      <c r="FR182" s="2"/>
      <c r="FS182" s="1"/>
    </row>
    <row r="183" spans="1:175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R183" s="1"/>
      <c r="S183" s="1"/>
      <c r="T183" s="1"/>
      <c r="U183" s="1"/>
      <c r="V183" s="1"/>
      <c r="Y183" s="1"/>
      <c r="Z183" s="2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U183" s="1"/>
      <c r="AW183" s="1"/>
      <c r="AX183" s="1"/>
      <c r="AY183" s="1"/>
      <c r="AZ183" s="1"/>
      <c r="BA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1"/>
      <c r="FJ183" s="1"/>
      <c r="FK183" s="1"/>
      <c r="FL183" s="1"/>
      <c r="FM183" s="1"/>
      <c r="FN183" s="1"/>
      <c r="FO183" s="1"/>
      <c r="FP183" s="1"/>
      <c r="FQ183" s="1"/>
      <c r="FR183" s="2"/>
      <c r="FS183" s="1"/>
    </row>
    <row r="184" spans="1:175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R184" s="1"/>
      <c r="S184" s="1"/>
      <c r="T184" s="1"/>
      <c r="U184" s="1"/>
      <c r="V184" s="1"/>
      <c r="Y184" s="1"/>
      <c r="Z184" s="2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U184" s="1"/>
      <c r="AW184" s="1"/>
      <c r="AX184" s="1"/>
      <c r="AY184" s="1"/>
      <c r="AZ184" s="1"/>
      <c r="BA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1"/>
      <c r="FK184" s="1"/>
      <c r="FL184" s="1"/>
      <c r="FM184" s="1"/>
      <c r="FN184" s="1"/>
      <c r="FO184" s="1"/>
      <c r="FP184" s="1"/>
      <c r="FQ184" s="1"/>
      <c r="FR184" s="2"/>
      <c r="FS184" s="1"/>
    </row>
    <row r="185" spans="1:175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R185" s="1"/>
      <c r="S185" s="1"/>
      <c r="T185" s="1"/>
      <c r="U185" s="1"/>
      <c r="V185" s="1"/>
      <c r="Y185" s="1"/>
      <c r="Z185" s="2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U185" s="1"/>
      <c r="AW185" s="1"/>
      <c r="AX185" s="1"/>
      <c r="AY185" s="1"/>
      <c r="AZ185" s="1"/>
      <c r="BA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1"/>
      <c r="FJ185" s="1"/>
      <c r="FK185" s="1"/>
      <c r="FL185" s="1"/>
      <c r="FM185" s="1"/>
      <c r="FN185" s="1"/>
      <c r="FO185" s="1"/>
      <c r="FP185" s="1"/>
      <c r="FQ185" s="1"/>
      <c r="FR185" s="2"/>
      <c r="FS185" s="1"/>
    </row>
    <row r="186" spans="1:175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R186" s="1"/>
      <c r="S186" s="1"/>
      <c r="T186" s="1"/>
      <c r="U186" s="1"/>
      <c r="V186" s="1"/>
      <c r="Y186" s="1"/>
      <c r="Z186" s="2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U186" s="1"/>
      <c r="AW186" s="1"/>
      <c r="AX186" s="1"/>
      <c r="AY186" s="1"/>
      <c r="AZ186" s="1"/>
      <c r="BA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/>
      <c r="FG186" s="1"/>
      <c r="FH186" s="1"/>
      <c r="FI186" s="1"/>
      <c r="FJ186" s="1"/>
      <c r="FK186" s="1"/>
      <c r="FL186" s="1"/>
      <c r="FM186" s="1"/>
      <c r="FN186" s="1"/>
      <c r="FO186" s="1"/>
      <c r="FP186" s="1"/>
      <c r="FQ186" s="1"/>
      <c r="FR186" s="2"/>
      <c r="FS186" s="1"/>
    </row>
    <row r="187" spans="1:175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R187" s="1"/>
      <c r="S187" s="1"/>
      <c r="T187" s="1"/>
      <c r="U187" s="1"/>
      <c r="V187" s="1"/>
      <c r="Y187" s="1"/>
      <c r="Z187" s="2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U187" s="1"/>
      <c r="AW187" s="1"/>
      <c r="AX187" s="1"/>
      <c r="AY187" s="1"/>
      <c r="AZ187" s="1"/>
      <c r="BA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1"/>
      <c r="FG187" s="1"/>
      <c r="FH187" s="1"/>
      <c r="FI187" s="1"/>
      <c r="FJ187" s="1"/>
      <c r="FK187" s="1"/>
      <c r="FL187" s="1"/>
      <c r="FM187" s="1"/>
      <c r="FN187" s="1"/>
      <c r="FO187" s="1"/>
      <c r="FP187" s="1"/>
      <c r="FQ187" s="1"/>
      <c r="FR187" s="2"/>
      <c r="FS187" s="1"/>
    </row>
    <row r="188" spans="1:175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R188" s="1"/>
      <c r="S188" s="1"/>
      <c r="T188" s="1"/>
      <c r="U188" s="1"/>
      <c r="V188" s="1"/>
      <c r="Y188" s="1"/>
      <c r="Z188" s="2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U188" s="1"/>
      <c r="AW188" s="1"/>
      <c r="AX188" s="1"/>
      <c r="AY188" s="1"/>
      <c r="AZ188" s="1"/>
      <c r="BA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/>
      <c r="FH188" s="1"/>
      <c r="FI188" s="1"/>
      <c r="FJ188" s="1"/>
      <c r="FK188" s="1"/>
      <c r="FL188" s="1"/>
      <c r="FM188" s="1"/>
      <c r="FN188" s="1"/>
      <c r="FO188" s="1"/>
      <c r="FP188" s="1"/>
      <c r="FQ188" s="1"/>
      <c r="FR188" s="2"/>
      <c r="FS188" s="1"/>
    </row>
    <row r="189" spans="1:175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R189" s="1"/>
      <c r="S189" s="1"/>
      <c r="T189" s="1"/>
      <c r="U189" s="1"/>
      <c r="V189" s="1"/>
      <c r="Y189" s="1"/>
      <c r="Z189" s="2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U189" s="1"/>
      <c r="AW189" s="1"/>
      <c r="AX189" s="1"/>
      <c r="AY189" s="1"/>
      <c r="AZ189" s="1"/>
      <c r="BA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/>
      <c r="FI189" s="1"/>
      <c r="FJ189" s="1"/>
      <c r="FK189" s="1"/>
      <c r="FL189" s="1"/>
      <c r="FM189" s="1"/>
      <c r="FN189" s="1"/>
      <c r="FO189" s="1"/>
      <c r="FP189" s="1"/>
      <c r="FQ189" s="1"/>
      <c r="FR189" s="2"/>
      <c r="FS189" s="1"/>
    </row>
    <row r="190" spans="1:175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R190" s="1"/>
      <c r="S190" s="1"/>
      <c r="T190" s="1"/>
      <c r="U190" s="1"/>
      <c r="V190" s="1"/>
      <c r="Y190" s="1"/>
      <c r="Z190" s="2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U190" s="1"/>
      <c r="AW190" s="1"/>
      <c r="AX190" s="1"/>
      <c r="AY190" s="1"/>
      <c r="AZ190" s="1"/>
      <c r="BA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B190" s="1"/>
      <c r="FC190" s="1"/>
      <c r="FD190" s="1"/>
      <c r="FE190" s="1"/>
      <c r="FF190" s="1"/>
      <c r="FG190" s="1"/>
      <c r="FH190" s="1"/>
      <c r="FI190" s="1"/>
      <c r="FJ190" s="1"/>
      <c r="FK190" s="1"/>
      <c r="FL190" s="1"/>
      <c r="FM190" s="1"/>
      <c r="FN190" s="1"/>
      <c r="FO190" s="1"/>
      <c r="FP190" s="1"/>
      <c r="FQ190" s="1"/>
      <c r="FR190" s="2"/>
      <c r="FS190" s="1"/>
    </row>
    <row r="191" spans="1:175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R191" s="1"/>
      <c r="S191" s="1"/>
      <c r="T191" s="1"/>
      <c r="U191" s="1"/>
      <c r="V191" s="1"/>
      <c r="Y191" s="1"/>
      <c r="Z191" s="2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U191" s="1"/>
      <c r="AW191" s="1"/>
      <c r="AX191" s="1"/>
      <c r="AY191" s="1"/>
      <c r="AZ191" s="1"/>
      <c r="BA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/>
      <c r="FI191" s="1"/>
      <c r="FJ191" s="1"/>
      <c r="FK191" s="1"/>
      <c r="FL191" s="1"/>
      <c r="FM191" s="1"/>
      <c r="FN191" s="1"/>
      <c r="FO191" s="1"/>
      <c r="FP191" s="1"/>
      <c r="FQ191" s="1"/>
      <c r="FR191" s="2"/>
      <c r="FS191" s="1"/>
    </row>
    <row r="192" spans="1:175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R192" s="1"/>
      <c r="S192" s="1"/>
      <c r="T192" s="1"/>
      <c r="U192" s="1"/>
      <c r="V192" s="1"/>
      <c r="Y192" s="1"/>
      <c r="Z192" s="2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U192" s="1"/>
      <c r="AW192" s="1"/>
      <c r="AX192" s="1"/>
      <c r="AY192" s="1"/>
      <c r="AZ192" s="1"/>
      <c r="BA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1"/>
      <c r="FG192" s="1"/>
      <c r="FH192" s="1"/>
      <c r="FI192" s="1"/>
      <c r="FJ192" s="1"/>
      <c r="FK192" s="1"/>
      <c r="FL192" s="1"/>
      <c r="FM192" s="1"/>
      <c r="FN192" s="1"/>
      <c r="FO192" s="1"/>
      <c r="FP192" s="1"/>
      <c r="FQ192" s="1"/>
      <c r="FR192" s="2"/>
      <c r="FS192" s="1"/>
    </row>
    <row r="193" spans="1:175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R193" s="1"/>
      <c r="S193" s="1"/>
      <c r="T193" s="1"/>
      <c r="U193" s="1"/>
      <c r="V193" s="1"/>
      <c r="Y193" s="1"/>
      <c r="Z193" s="2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U193" s="1"/>
      <c r="AW193" s="1"/>
      <c r="AX193" s="1"/>
      <c r="AY193" s="1"/>
      <c r="AZ193" s="1"/>
      <c r="BA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  <c r="FP193" s="1"/>
      <c r="FQ193" s="1"/>
      <c r="FR193" s="2"/>
      <c r="FS193" s="1"/>
    </row>
    <row r="194" spans="1:175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R194" s="1"/>
      <c r="S194" s="1"/>
      <c r="T194" s="1"/>
      <c r="U194" s="1"/>
      <c r="V194" s="1"/>
      <c r="Y194" s="1"/>
      <c r="Z194" s="2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U194" s="1"/>
      <c r="AW194" s="1"/>
      <c r="AX194" s="1"/>
      <c r="AY194" s="1"/>
      <c r="AZ194" s="1"/>
      <c r="BA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  <c r="EY194" s="1"/>
      <c r="EZ194" s="1"/>
      <c r="FA194" s="1"/>
      <c r="FB194" s="1"/>
      <c r="FC194" s="1"/>
      <c r="FD194" s="1"/>
      <c r="FE194" s="1"/>
      <c r="FF194" s="1"/>
      <c r="FG194" s="1"/>
      <c r="FH194" s="1"/>
      <c r="FI194" s="1"/>
      <c r="FJ194" s="1"/>
      <c r="FK194" s="1"/>
      <c r="FL194" s="1"/>
      <c r="FM194" s="1"/>
      <c r="FN194" s="1"/>
      <c r="FO194" s="1"/>
      <c r="FP194" s="1"/>
      <c r="FQ194" s="1"/>
      <c r="FR194" s="2"/>
      <c r="FS194" s="1"/>
    </row>
    <row r="195" spans="1:175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R195" s="1"/>
      <c r="S195" s="1"/>
      <c r="T195" s="1"/>
      <c r="U195" s="1"/>
      <c r="V195" s="1"/>
      <c r="Y195" s="1"/>
      <c r="Z195" s="2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U195" s="1"/>
      <c r="AW195" s="1"/>
      <c r="AX195" s="1"/>
      <c r="AY195" s="1"/>
      <c r="AZ195" s="1"/>
      <c r="BA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FI195" s="1"/>
      <c r="FJ195" s="1"/>
      <c r="FK195" s="1"/>
      <c r="FL195" s="1"/>
      <c r="FM195" s="1"/>
      <c r="FN195" s="1"/>
      <c r="FO195" s="1"/>
      <c r="FP195" s="1"/>
      <c r="FQ195" s="1"/>
      <c r="FR195" s="2"/>
      <c r="FS195" s="1"/>
    </row>
    <row r="196" spans="1:175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R196" s="1"/>
      <c r="S196" s="1"/>
      <c r="T196" s="1"/>
      <c r="U196" s="1"/>
      <c r="V196" s="1"/>
      <c r="Y196" s="1"/>
      <c r="Z196" s="2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U196" s="1"/>
      <c r="AW196" s="1"/>
      <c r="AX196" s="1"/>
      <c r="AY196" s="1"/>
      <c r="AZ196" s="1"/>
      <c r="BA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1"/>
      <c r="FO196" s="1"/>
      <c r="FP196" s="1"/>
      <c r="FQ196" s="1"/>
      <c r="FR196" s="2"/>
      <c r="FS196" s="1"/>
    </row>
    <row r="197" spans="1:175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R197" s="1"/>
      <c r="S197" s="1"/>
      <c r="T197" s="1"/>
      <c r="U197" s="1"/>
      <c r="V197" s="1"/>
      <c r="Y197" s="1"/>
      <c r="Z197" s="2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U197" s="1"/>
      <c r="AW197" s="1"/>
      <c r="AX197" s="1"/>
      <c r="AY197" s="1"/>
      <c r="AZ197" s="1"/>
      <c r="BA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1"/>
      <c r="FJ197" s="1"/>
      <c r="FK197" s="1"/>
      <c r="FL197" s="1"/>
      <c r="FM197" s="1"/>
      <c r="FN197" s="1"/>
      <c r="FO197" s="1"/>
      <c r="FP197" s="1"/>
      <c r="FQ197" s="1"/>
      <c r="FR197" s="2"/>
      <c r="FS197" s="1"/>
    </row>
    <row r="198" spans="1:175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R198" s="1"/>
      <c r="S198" s="1"/>
      <c r="T198" s="1"/>
      <c r="U198" s="1"/>
      <c r="V198" s="1"/>
      <c r="Y198" s="1"/>
      <c r="Z198" s="2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U198" s="1"/>
      <c r="AW198" s="1"/>
      <c r="AX198" s="1"/>
      <c r="AY198" s="1"/>
      <c r="AZ198" s="1"/>
      <c r="BA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  <c r="FI198" s="1"/>
      <c r="FJ198" s="1"/>
      <c r="FK198" s="1"/>
      <c r="FL198" s="1"/>
      <c r="FM198" s="1"/>
      <c r="FN198" s="1"/>
      <c r="FO198" s="1"/>
      <c r="FP198" s="1"/>
      <c r="FQ198" s="1"/>
      <c r="FR198" s="2"/>
      <c r="FS198" s="1"/>
    </row>
    <row r="199" spans="1:175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R199" s="1"/>
      <c r="S199" s="1"/>
      <c r="T199" s="1"/>
      <c r="U199" s="1"/>
      <c r="V199" s="1"/>
      <c r="Y199" s="1"/>
      <c r="Z199" s="2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U199" s="1"/>
      <c r="AW199" s="1"/>
      <c r="AX199" s="1"/>
      <c r="AY199" s="1"/>
      <c r="AZ199" s="1"/>
      <c r="BA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  <c r="FI199" s="1"/>
      <c r="FJ199" s="1"/>
      <c r="FK199" s="1"/>
      <c r="FL199" s="1"/>
      <c r="FM199" s="1"/>
      <c r="FN199" s="1"/>
      <c r="FO199" s="1"/>
      <c r="FP199" s="1"/>
      <c r="FQ199" s="1"/>
      <c r="FR199" s="2"/>
      <c r="FS199" s="1"/>
    </row>
    <row r="200" spans="1:175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R200" s="1"/>
      <c r="S200" s="1"/>
      <c r="T200" s="1"/>
      <c r="U200" s="1"/>
      <c r="V200" s="1"/>
      <c r="Y200" s="1"/>
      <c r="Z200" s="2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U200" s="1"/>
      <c r="AW200" s="1"/>
      <c r="AX200" s="1"/>
      <c r="AY200" s="1"/>
      <c r="AZ200" s="1"/>
      <c r="BA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B200" s="1"/>
      <c r="FC200" s="1"/>
      <c r="FD200" s="1"/>
      <c r="FE200" s="1"/>
      <c r="FF200" s="1"/>
      <c r="FG200" s="1"/>
      <c r="FH200" s="1"/>
      <c r="FI200" s="1"/>
      <c r="FJ200" s="1"/>
      <c r="FK200" s="1"/>
      <c r="FL200" s="1"/>
      <c r="FM200" s="1"/>
      <c r="FN200" s="1"/>
      <c r="FO200" s="1"/>
      <c r="FP200" s="1"/>
      <c r="FQ200" s="1"/>
      <c r="FR200" s="2"/>
      <c r="FS200" s="1"/>
    </row>
    <row r="201" spans="1:175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R201" s="1"/>
      <c r="S201" s="1"/>
      <c r="T201" s="1"/>
      <c r="U201" s="1"/>
      <c r="V201" s="1"/>
      <c r="Y201" s="1"/>
      <c r="Z201" s="2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U201" s="1"/>
      <c r="AW201" s="1"/>
      <c r="AX201" s="1"/>
      <c r="AY201" s="1"/>
      <c r="AZ201" s="1"/>
      <c r="BA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1"/>
      <c r="EY201" s="1"/>
      <c r="EZ201" s="1"/>
      <c r="FA201" s="1"/>
      <c r="FB201" s="1"/>
      <c r="FC201" s="1"/>
      <c r="FD201" s="1"/>
      <c r="FE201" s="1"/>
      <c r="FF201" s="1"/>
      <c r="FG201" s="1"/>
      <c r="FH201" s="1"/>
      <c r="FI201" s="1"/>
      <c r="FJ201" s="1"/>
      <c r="FK201" s="1"/>
      <c r="FL201" s="1"/>
      <c r="FM201" s="1"/>
      <c r="FN201" s="1"/>
      <c r="FO201" s="1"/>
      <c r="FP201" s="1"/>
      <c r="FQ201" s="1"/>
      <c r="FR201" s="2"/>
      <c r="FS201" s="1"/>
    </row>
    <row r="202" spans="1:175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R202" s="1"/>
      <c r="S202" s="1"/>
      <c r="T202" s="1"/>
      <c r="U202" s="1"/>
      <c r="V202" s="1"/>
      <c r="Y202" s="1"/>
      <c r="Z202" s="2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U202" s="1"/>
      <c r="AW202" s="1"/>
      <c r="AX202" s="1"/>
      <c r="AY202" s="1"/>
      <c r="AZ202" s="1"/>
      <c r="BA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/>
      <c r="EW202" s="1"/>
      <c r="EX202" s="1"/>
      <c r="EY202" s="1"/>
      <c r="EZ202" s="1"/>
      <c r="FA202" s="1"/>
      <c r="FB202" s="1"/>
      <c r="FC202" s="1"/>
      <c r="FD202" s="1"/>
      <c r="FE202" s="1"/>
      <c r="FF202" s="1"/>
      <c r="FG202" s="1"/>
      <c r="FH202" s="1"/>
      <c r="FI202" s="1"/>
      <c r="FJ202" s="1"/>
      <c r="FK202" s="1"/>
      <c r="FL202" s="1"/>
      <c r="FM202" s="1"/>
      <c r="FN202" s="1"/>
      <c r="FO202" s="1"/>
      <c r="FP202" s="1"/>
      <c r="FQ202" s="1"/>
      <c r="FR202" s="2"/>
      <c r="FS202" s="1"/>
    </row>
    <row r="203" spans="1:175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R203" s="1"/>
      <c r="S203" s="1"/>
      <c r="T203" s="1"/>
      <c r="U203" s="1"/>
      <c r="V203" s="1"/>
      <c r="Y203" s="1"/>
      <c r="Z203" s="2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U203" s="1"/>
      <c r="AW203" s="1"/>
      <c r="AX203" s="1"/>
      <c r="AY203" s="1"/>
      <c r="AZ203" s="1"/>
      <c r="BA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  <c r="EY203" s="1"/>
      <c r="EZ203" s="1"/>
      <c r="FA203" s="1"/>
      <c r="FB203" s="1"/>
      <c r="FC203" s="1"/>
      <c r="FD203" s="1"/>
      <c r="FE203" s="1"/>
      <c r="FF203" s="1"/>
      <c r="FG203" s="1"/>
      <c r="FH203" s="1"/>
      <c r="FI203" s="1"/>
      <c r="FJ203" s="1"/>
      <c r="FK203" s="1"/>
      <c r="FL203" s="1"/>
      <c r="FM203" s="1"/>
      <c r="FN203" s="1"/>
      <c r="FO203" s="1"/>
      <c r="FP203" s="1"/>
      <c r="FQ203" s="1"/>
      <c r="FR203" s="2"/>
      <c r="FS203" s="1"/>
    </row>
    <row r="204" spans="1:175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R204" s="1"/>
      <c r="S204" s="1"/>
      <c r="T204" s="1"/>
      <c r="U204" s="1"/>
      <c r="V204" s="1"/>
      <c r="Y204" s="1"/>
      <c r="Z204" s="2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U204" s="1"/>
      <c r="AW204" s="1"/>
      <c r="AX204" s="1"/>
      <c r="AY204" s="1"/>
      <c r="AZ204" s="1"/>
      <c r="BA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/>
      <c r="EW204" s="1"/>
      <c r="EX204" s="1"/>
      <c r="EY204" s="1"/>
      <c r="EZ204" s="1"/>
      <c r="FA204" s="1"/>
      <c r="FB204" s="1"/>
      <c r="FC204" s="1"/>
      <c r="FD204" s="1"/>
      <c r="FE204" s="1"/>
      <c r="FF204" s="1"/>
      <c r="FG204" s="1"/>
      <c r="FH204" s="1"/>
      <c r="FI204" s="1"/>
      <c r="FJ204" s="1"/>
      <c r="FK204" s="1"/>
      <c r="FL204" s="1"/>
      <c r="FM204" s="1"/>
      <c r="FN204" s="1"/>
      <c r="FO204" s="1"/>
      <c r="FP204" s="1"/>
      <c r="FQ204" s="1"/>
      <c r="FR204" s="2"/>
      <c r="FS204" s="1"/>
    </row>
    <row r="205" spans="1:175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R205" s="1"/>
      <c r="S205" s="1"/>
      <c r="T205" s="1"/>
      <c r="U205" s="1"/>
      <c r="V205" s="1"/>
      <c r="Y205" s="1"/>
      <c r="Z205" s="2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U205" s="1"/>
      <c r="AW205" s="1"/>
      <c r="AX205" s="1"/>
      <c r="AY205" s="1"/>
      <c r="AZ205" s="1"/>
      <c r="BA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/>
      <c r="EW205" s="1"/>
      <c r="EX205" s="1"/>
      <c r="EY205" s="1"/>
      <c r="EZ205" s="1"/>
      <c r="FA205" s="1"/>
      <c r="FB205" s="1"/>
      <c r="FC205" s="1"/>
      <c r="FD205" s="1"/>
      <c r="FE205" s="1"/>
      <c r="FF205" s="1"/>
      <c r="FG205" s="1"/>
      <c r="FH205" s="1"/>
      <c r="FI205" s="1"/>
      <c r="FJ205" s="1"/>
      <c r="FK205" s="1"/>
      <c r="FL205" s="1"/>
      <c r="FM205" s="1"/>
      <c r="FN205" s="1"/>
      <c r="FO205" s="1"/>
      <c r="FP205" s="1"/>
      <c r="FQ205" s="1"/>
      <c r="FR205" s="2"/>
      <c r="FS205" s="1"/>
    </row>
    <row r="206" spans="1:175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R206" s="1"/>
      <c r="S206" s="1"/>
      <c r="T206" s="1"/>
      <c r="U206" s="1"/>
      <c r="V206" s="1"/>
      <c r="Y206" s="1"/>
      <c r="Z206" s="2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U206" s="1"/>
      <c r="AW206" s="1"/>
      <c r="AX206" s="1"/>
      <c r="AY206" s="1"/>
      <c r="AZ206" s="1"/>
      <c r="BA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1"/>
      <c r="EY206" s="1"/>
      <c r="EZ206" s="1"/>
      <c r="FA206" s="1"/>
      <c r="FB206" s="1"/>
      <c r="FC206" s="1"/>
      <c r="FD206" s="1"/>
      <c r="FE206" s="1"/>
      <c r="FF206" s="1"/>
      <c r="FG206" s="1"/>
      <c r="FH206" s="1"/>
      <c r="FI206" s="1"/>
      <c r="FJ206" s="1"/>
      <c r="FK206" s="1"/>
      <c r="FL206" s="1"/>
      <c r="FM206" s="1"/>
      <c r="FN206" s="1"/>
      <c r="FO206" s="1"/>
      <c r="FP206" s="1"/>
      <c r="FQ206" s="1"/>
      <c r="FR206" s="2"/>
      <c r="FS206" s="1"/>
    </row>
    <row r="207" spans="1:175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R207" s="1"/>
      <c r="S207" s="1"/>
      <c r="T207" s="1"/>
      <c r="U207" s="1"/>
      <c r="V207" s="1"/>
      <c r="Y207" s="1"/>
      <c r="Z207" s="2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U207" s="1"/>
      <c r="AW207" s="1"/>
      <c r="AX207" s="1"/>
      <c r="AY207" s="1"/>
      <c r="AZ207" s="1"/>
      <c r="BA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  <c r="EZ207" s="1"/>
      <c r="FA207" s="1"/>
      <c r="FB207" s="1"/>
      <c r="FC207" s="1"/>
      <c r="FD207" s="1"/>
      <c r="FE207" s="1"/>
      <c r="FF207" s="1"/>
      <c r="FG207" s="1"/>
      <c r="FH207" s="1"/>
      <c r="FI207" s="1"/>
      <c r="FJ207" s="1"/>
      <c r="FK207" s="1"/>
      <c r="FL207" s="1"/>
      <c r="FM207" s="1"/>
      <c r="FN207" s="1"/>
      <c r="FO207" s="1"/>
      <c r="FP207" s="1"/>
      <c r="FQ207" s="1"/>
      <c r="FR207" s="2"/>
      <c r="FS207" s="1"/>
    </row>
    <row r="208" spans="1:175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R208" s="1"/>
      <c r="S208" s="1"/>
      <c r="T208" s="1"/>
      <c r="U208" s="1"/>
      <c r="V208" s="1"/>
      <c r="Y208" s="1"/>
      <c r="Z208" s="2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U208" s="1"/>
      <c r="AW208" s="1"/>
      <c r="AX208" s="1"/>
      <c r="AY208" s="1"/>
      <c r="AZ208" s="1"/>
      <c r="BA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  <c r="EY208" s="1"/>
      <c r="EZ208" s="1"/>
      <c r="FA208" s="1"/>
      <c r="FB208" s="1"/>
      <c r="FC208" s="1"/>
      <c r="FD208" s="1"/>
      <c r="FE208" s="1"/>
      <c r="FF208" s="1"/>
      <c r="FG208" s="1"/>
      <c r="FH208" s="1"/>
      <c r="FI208" s="1"/>
      <c r="FJ208" s="1"/>
      <c r="FK208" s="1"/>
      <c r="FL208" s="1"/>
      <c r="FM208" s="1"/>
      <c r="FN208" s="1"/>
      <c r="FO208" s="1"/>
      <c r="FP208" s="1"/>
      <c r="FQ208" s="1"/>
      <c r="FR208" s="2"/>
      <c r="FS208" s="1"/>
    </row>
    <row r="209" spans="1:175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R209" s="1"/>
      <c r="S209" s="1"/>
      <c r="T209" s="1"/>
      <c r="U209" s="1"/>
      <c r="V209" s="1"/>
      <c r="Y209" s="1"/>
      <c r="Z209" s="2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U209" s="1"/>
      <c r="AW209" s="1"/>
      <c r="AX209" s="1"/>
      <c r="AY209" s="1"/>
      <c r="AZ209" s="1"/>
      <c r="BA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1"/>
      <c r="EY209" s="1"/>
      <c r="EZ209" s="1"/>
      <c r="FA209" s="1"/>
      <c r="FB209" s="1"/>
      <c r="FC209" s="1"/>
      <c r="FD209" s="1"/>
      <c r="FE209" s="1"/>
      <c r="FF209" s="1"/>
      <c r="FG209" s="1"/>
      <c r="FH209" s="1"/>
      <c r="FI209" s="1"/>
      <c r="FJ209" s="1"/>
      <c r="FK209" s="1"/>
      <c r="FL209" s="1"/>
      <c r="FM209" s="1"/>
      <c r="FN209" s="1"/>
      <c r="FO209" s="1"/>
      <c r="FP209" s="1"/>
      <c r="FQ209" s="1"/>
      <c r="FR209" s="2"/>
      <c r="FS209" s="1"/>
    </row>
    <row r="210" spans="1:175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R210" s="1"/>
      <c r="S210" s="1"/>
      <c r="T210" s="1"/>
      <c r="U210" s="1"/>
      <c r="V210" s="1"/>
      <c r="Y210" s="1"/>
      <c r="Z210" s="2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U210" s="1"/>
      <c r="AW210" s="1"/>
      <c r="AX210" s="1"/>
      <c r="AY210" s="1"/>
      <c r="AZ210" s="1"/>
      <c r="BA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1"/>
      <c r="EY210" s="1"/>
      <c r="EZ210" s="1"/>
      <c r="FA210" s="1"/>
      <c r="FB210" s="1"/>
      <c r="FC210" s="1"/>
      <c r="FD210" s="1"/>
      <c r="FE210" s="1"/>
      <c r="FF210" s="1"/>
      <c r="FG210" s="1"/>
      <c r="FH210" s="1"/>
      <c r="FI210" s="1"/>
      <c r="FJ210" s="1"/>
      <c r="FK210" s="1"/>
      <c r="FL210" s="1"/>
      <c r="FM210" s="1"/>
      <c r="FN210" s="1"/>
      <c r="FO210" s="1"/>
      <c r="FP210" s="1"/>
      <c r="FQ210" s="1"/>
      <c r="FR210" s="2"/>
      <c r="FS210" s="1"/>
    </row>
    <row r="211" spans="1:175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R211" s="1"/>
      <c r="S211" s="1"/>
      <c r="T211" s="1"/>
      <c r="U211" s="1"/>
      <c r="V211" s="1"/>
      <c r="Y211" s="1"/>
      <c r="Z211" s="2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U211" s="1"/>
      <c r="AW211" s="1"/>
      <c r="AX211" s="1"/>
      <c r="AY211" s="1"/>
      <c r="AZ211" s="1"/>
      <c r="BA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  <c r="EZ211" s="1"/>
      <c r="FA211" s="1"/>
      <c r="FB211" s="1"/>
      <c r="FC211" s="1"/>
      <c r="FD211" s="1"/>
      <c r="FE211" s="1"/>
      <c r="FF211" s="1"/>
      <c r="FG211" s="1"/>
      <c r="FH211" s="1"/>
      <c r="FI211" s="1"/>
      <c r="FJ211" s="1"/>
      <c r="FK211" s="1"/>
      <c r="FL211" s="1"/>
      <c r="FM211" s="1"/>
      <c r="FN211" s="1"/>
      <c r="FO211" s="1"/>
      <c r="FP211" s="1"/>
      <c r="FQ211" s="1"/>
      <c r="FR211" s="2"/>
      <c r="FS211" s="1"/>
    </row>
    <row r="212" spans="1:175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R212" s="1"/>
      <c r="S212" s="1"/>
      <c r="T212" s="1"/>
      <c r="U212" s="1"/>
      <c r="V212" s="1"/>
      <c r="Y212" s="1"/>
      <c r="Z212" s="2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U212" s="1"/>
      <c r="AW212" s="1"/>
      <c r="AX212" s="1"/>
      <c r="AY212" s="1"/>
      <c r="AZ212" s="1"/>
      <c r="BA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s="1"/>
      <c r="FG212" s="1"/>
      <c r="FH212" s="1"/>
      <c r="FI212" s="1"/>
      <c r="FJ212" s="1"/>
      <c r="FK212" s="1"/>
      <c r="FL212" s="1"/>
      <c r="FM212" s="1"/>
      <c r="FN212" s="1"/>
      <c r="FO212" s="1"/>
      <c r="FP212" s="1"/>
      <c r="FQ212" s="1"/>
      <c r="FR212" s="2"/>
      <c r="FS212" s="1"/>
    </row>
    <row r="213" spans="1:175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R213" s="1"/>
      <c r="S213" s="1"/>
      <c r="T213" s="1"/>
      <c r="U213" s="1"/>
      <c r="V213" s="1"/>
      <c r="Y213" s="1"/>
      <c r="Z213" s="2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U213" s="1"/>
      <c r="AW213" s="1"/>
      <c r="AX213" s="1"/>
      <c r="AY213" s="1"/>
      <c r="AZ213" s="1"/>
      <c r="BA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  <c r="EZ213" s="1"/>
      <c r="FA213" s="1"/>
      <c r="FB213" s="1"/>
      <c r="FC213" s="1"/>
      <c r="FD213" s="1"/>
      <c r="FE213" s="1"/>
      <c r="FF213" s="1"/>
      <c r="FG213" s="1"/>
      <c r="FH213" s="1"/>
      <c r="FI213" s="1"/>
      <c r="FJ213" s="1"/>
      <c r="FK213" s="1"/>
      <c r="FL213" s="1"/>
      <c r="FM213" s="1"/>
      <c r="FN213" s="1"/>
      <c r="FO213" s="1"/>
      <c r="FP213" s="1"/>
      <c r="FQ213" s="1"/>
      <c r="FR213" s="2"/>
      <c r="FS213" s="1"/>
    </row>
    <row r="214" spans="1:175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R214" s="1"/>
      <c r="S214" s="1"/>
      <c r="T214" s="1"/>
      <c r="U214" s="1"/>
      <c r="V214" s="1"/>
      <c r="Y214" s="1"/>
      <c r="Z214" s="2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U214" s="1"/>
      <c r="AW214" s="1"/>
      <c r="AX214" s="1"/>
      <c r="AY214" s="1"/>
      <c r="AZ214" s="1"/>
      <c r="BA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  <c r="EY214" s="1"/>
      <c r="EZ214" s="1"/>
      <c r="FA214" s="1"/>
      <c r="FB214" s="1"/>
      <c r="FC214" s="1"/>
      <c r="FD214" s="1"/>
      <c r="FE214" s="1"/>
      <c r="FF214" s="1"/>
      <c r="FG214" s="1"/>
      <c r="FH214" s="1"/>
      <c r="FI214" s="1"/>
      <c r="FJ214" s="1"/>
      <c r="FK214" s="1"/>
      <c r="FL214" s="1"/>
      <c r="FM214" s="1"/>
      <c r="FN214" s="1"/>
      <c r="FO214" s="1"/>
      <c r="FP214" s="1"/>
      <c r="FQ214" s="1"/>
      <c r="FR214" s="2"/>
      <c r="FS214" s="1"/>
    </row>
    <row r="215" spans="1:175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R215" s="1"/>
      <c r="S215" s="1"/>
      <c r="T215" s="1"/>
      <c r="U215" s="1"/>
      <c r="V215" s="1"/>
      <c r="Y215" s="1"/>
      <c r="Z215" s="2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U215" s="1"/>
      <c r="AW215" s="1"/>
      <c r="AX215" s="1"/>
      <c r="AY215" s="1"/>
      <c r="AZ215" s="1"/>
      <c r="BA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/>
      <c r="EW215" s="1"/>
      <c r="EX215" s="1"/>
      <c r="EY215" s="1"/>
      <c r="EZ215" s="1"/>
      <c r="FA215" s="1"/>
      <c r="FB215" s="1"/>
      <c r="FC215" s="1"/>
      <c r="FD215" s="1"/>
      <c r="FE215" s="1"/>
      <c r="FF215" s="1"/>
      <c r="FG215" s="1"/>
      <c r="FH215" s="1"/>
      <c r="FI215" s="1"/>
      <c r="FJ215" s="1"/>
      <c r="FK215" s="1"/>
      <c r="FL215" s="1"/>
      <c r="FM215" s="1"/>
      <c r="FN215" s="1"/>
      <c r="FO215" s="1"/>
      <c r="FP215" s="1"/>
      <c r="FQ215" s="1"/>
      <c r="FR215" s="2"/>
      <c r="FS215" s="1"/>
    </row>
    <row r="216" spans="1:175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R216" s="1"/>
      <c r="S216" s="1"/>
      <c r="T216" s="1"/>
      <c r="U216" s="1"/>
      <c r="V216" s="1"/>
      <c r="Y216" s="1"/>
      <c r="Z216" s="2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U216" s="1"/>
      <c r="AW216" s="1"/>
      <c r="AX216" s="1"/>
      <c r="AY216" s="1"/>
      <c r="AZ216" s="1"/>
      <c r="BA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/>
      <c r="EW216" s="1"/>
      <c r="EX216" s="1"/>
      <c r="EY216" s="1"/>
      <c r="EZ216" s="1"/>
      <c r="FA216" s="1"/>
      <c r="FB216" s="1"/>
      <c r="FC216" s="1"/>
      <c r="FD216" s="1"/>
      <c r="FE216" s="1"/>
      <c r="FF216" s="1"/>
      <c r="FG216" s="1"/>
      <c r="FH216" s="1"/>
      <c r="FI216" s="1"/>
      <c r="FJ216" s="1"/>
      <c r="FK216" s="1"/>
      <c r="FL216" s="1"/>
      <c r="FM216" s="1"/>
      <c r="FN216" s="1"/>
      <c r="FO216" s="1"/>
      <c r="FP216" s="1"/>
      <c r="FQ216" s="1"/>
      <c r="FR216" s="2"/>
      <c r="FS216" s="1"/>
    </row>
    <row r="217" spans="1:175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R217" s="1"/>
      <c r="S217" s="1"/>
      <c r="T217" s="1"/>
      <c r="U217" s="1"/>
      <c r="V217" s="1"/>
      <c r="Y217" s="1"/>
      <c r="Z217" s="2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U217" s="1"/>
      <c r="AW217" s="1"/>
      <c r="AX217" s="1"/>
      <c r="AY217" s="1"/>
      <c r="AZ217" s="1"/>
      <c r="BA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  <c r="EZ217" s="1"/>
      <c r="FA217" s="1"/>
      <c r="FB217" s="1"/>
      <c r="FC217" s="1"/>
      <c r="FD217" s="1"/>
      <c r="FE217" s="1"/>
      <c r="FF217" s="1"/>
      <c r="FG217" s="1"/>
      <c r="FH217" s="1"/>
      <c r="FI217" s="1"/>
      <c r="FJ217" s="1"/>
      <c r="FK217" s="1"/>
      <c r="FL217" s="1"/>
      <c r="FM217" s="1"/>
      <c r="FN217" s="1"/>
      <c r="FO217" s="1"/>
      <c r="FP217" s="1"/>
      <c r="FQ217" s="1"/>
      <c r="FR217" s="2"/>
      <c r="FS217" s="1"/>
    </row>
    <row r="218" spans="1:175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R218" s="1"/>
      <c r="S218" s="1"/>
      <c r="T218" s="1"/>
      <c r="U218" s="1"/>
      <c r="V218" s="1"/>
      <c r="Y218" s="1"/>
      <c r="Z218" s="2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U218" s="1"/>
      <c r="AW218" s="1"/>
      <c r="AX218" s="1"/>
      <c r="AY218" s="1"/>
      <c r="AZ218" s="1"/>
      <c r="BA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1"/>
      <c r="EY218" s="1"/>
      <c r="EZ218" s="1"/>
      <c r="FA218" s="1"/>
      <c r="FB218" s="1"/>
      <c r="FC218" s="1"/>
      <c r="FD218" s="1"/>
      <c r="FE218" s="1"/>
      <c r="FF218" s="1"/>
      <c r="FG218" s="1"/>
      <c r="FH218" s="1"/>
      <c r="FI218" s="1"/>
      <c r="FJ218" s="1"/>
      <c r="FK218" s="1"/>
      <c r="FL218" s="1"/>
      <c r="FM218" s="1"/>
      <c r="FN218" s="1"/>
      <c r="FO218" s="1"/>
      <c r="FP218" s="1"/>
      <c r="FQ218" s="1"/>
      <c r="FR218" s="2"/>
      <c r="FS218" s="1"/>
    </row>
    <row r="219" spans="1:175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R219" s="1"/>
      <c r="S219" s="1"/>
      <c r="T219" s="1"/>
      <c r="U219" s="1"/>
      <c r="V219" s="1"/>
      <c r="Y219" s="1"/>
      <c r="Z219" s="2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U219" s="1"/>
      <c r="AW219" s="1"/>
      <c r="AX219" s="1"/>
      <c r="AY219" s="1"/>
      <c r="AZ219" s="1"/>
      <c r="BA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/>
      <c r="EW219" s="1"/>
      <c r="EX219" s="1"/>
      <c r="EY219" s="1"/>
      <c r="EZ219" s="1"/>
      <c r="FA219" s="1"/>
      <c r="FB219" s="1"/>
      <c r="FC219" s="1"/>
      <c r="FD219" s="1"/>
      <c r="FE219" s="1"/>
      <c r="FF219" s="1"/>
      <c r="FG219" s="1"/>
      <c r="FH219" s="1"/>
      <c r="FI219" s="1"/>
      <c r="FJ219" s="1"/>
      <c r="FK219" s="1"/>
      <c r="FL219" s="1"/>
      <c r="FM219" s="1"/>
      <c r="FN219" s="1"/>
      <c r="FO219" s="1"/>
      <c r="FP219" s="1"/>
      <c r="FQ219" s="1"/>
      <c r="FR219" s="2"/>
      <c r="FS219" s="1"/>
    </row>
    <row r="220" spans="1:175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R220" s="1"/>
      <c r="S220" s="1"/>
      <c r="T220" s="1"/>
      <c r="U220" s="1"/>
      <c r="V220" s="1"/>
      <c r="Y220" s="1"/>
      <c r="Z220" s="2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U220" s="1"/>
      <c r="AW220" s="1"/>
      <c r="AX220" s="1"/>
      <c r="AY220" s="1"/>
      <c r="AZ220" s="1"/>
      <c r="BA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1"/>
      <c r="EY220" s="1"/>
      <c r="EZ220" s="1"/>
      <c r="FA220" s="1"/>
      <c r="FB220" s="1"/>
      <c r="FC220" s="1"/>
      <c r="FD220" s="1"/>
      <c r="FE220" s="1"/>
      <c r="FF220" s="1"/>
      <c r="FG220" s="1"/>
      <c r="FH220" s="1"/>
      <c r="FI220" s="1"/>
      <c r="FJ220" s="1"/>
      <c r="FK220" s="1"/>
      <c r="FL220" s="1"/>
      <c r="FM220" s="1"/>
      <c r="FN220" s="1"/>
      <c r="FO220" s="1"/>
      <c r="FP220" s="1"/>
      <c r="FQ220" s="1"/>
      <c r="FR220" s="2"/>
      <c r="FS220" s="1"/>
    </row>
    <row r="221" spans="1:175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R221" s="1"/>
      <c r="S221" s="1"/>
      <c r="T221" s="1"/>
      <c r="U221" s="1"/>
      <c r="V221" s="1"/>
      <c r="Y221" s="1"/>
      <c r="Z221" s="2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U221" s="1"/>
      <c r="AW221" s="1"/>
      <c r="AX221" s="1"/>
      <c r="AY221" s="1"/>
      <c r="AZ221" s="1"/>
      <c r="BA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/>
      <c r="EW221" s="1"/>
      <c r="EX221" s="1"/>
      <c r="EY221" s="1"/>
      <c r="EZ221" s="1"/>
      <c r="FA221" s="1"/>
      <c r="FB221" s="1"/>
      <c r="FC221" s="1"/>
      <c r="FD221" s="1"/>
      <c r="FE221" s="1"/>
      <c r="FF221" s="1"/>
      <c r="FG221" s="1"/>
      <c r="FH221" s="1"/>
      <c r="FI221" s="1"/>
      <c r="FJ221" s="1"/>
      <c r="FK221" s="1"/>
      <c r="FL221" s="1"/>
      <c r="FM221" s="1"/>
      <c r="FN221" s="1"/>
      <c r="FO221" s="1"/>
      <c r="FP221" s="1"/>
      <c r="FQ221" s="1"/>
      <c r="FR221" s="2"/>
      <c r="FS221" s="1"/>
    </row>
    <row r="222" spans="1:175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R222" s="1"/>
      <c r="S222" s="1"/>
      <c r="T222" s="1"/>
      <c r="U222" s="1"/>
      <c r="V222" s="1"/>
      <c r="Y222" s="1"/>
      <c r="Z222" s="2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U222" s="1"/>
      <c r="AW222" s="1"/>
      <c r="AX222" s="1"/>
      <c r="AY222" s="1"/>
      <c r="AZ222" s="1"/>
      <c r="BA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/>
      <c r="EW222" s="1"/>
      <c r="EX222" s="1"/>
      <c r="EY222" s="1"/>
      <c r="EZ222" s="1"/>
      <c r="FA222" s="1"/>
      <c r="FB222" s="1"/>
      <c r="FC222" s="1"/>
      <c r="FD222" s="1"/>
      <c r="FE222" s="1"/>
      <c r="FF222" s="1"/>
      <c r="FG222" s="1"/>
      <c r="FH222" s="1"/>
      <c r="FI222" s="1"/>
      <c r="FJ222" s="1"/>
      <c r="FK222" s="1"/>
      <c r="FL222" s="1"/>
      <c r="FM222" s="1"/>
      <c r="FN222" s="1"/>
      <c r="FO222" s="1"/>
      <c r="FP222" s="1"/>
      <c r="FQ222" s="1"/>
      <c r="FR222" s="2"/>
      <c r="FS222" s="1"/>
    </row>
    <row r="223" spans="1:175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R223" s="1"/>
      <c r="S223" s="1"/>
      <c r="T223" s="1"/>
      <c r="U223" s="1"/>
      <c r="V223" s="1"/>
      <c r="Y223" s="1"/>
      <c r="Z223" s="2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U223" s="1"/>
      <c r="AW223" s="1"/>
      <c r="AX223" s="1"/>
      <c r="AY223" s="1"/>
      <c r="AZ223" s="1"/>
      <c r="BA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/>
      <c r="EW223" s="1"/>
      <c r="EX223" s="1"/>
      <c r="EY223" s="1"/>
      <c r="EZ223" s="1"/>
      <c r="FA223" s="1"/>
      <c r="FB223" s="1"/>
      <c r="FC223" s="1"/>
      <c r="FD223" s="1"/>
      <c r="FE223" s="1"/>
      <c r="FF223" s="1"/>
      <c r="FG223" s="1"/>
      <c r="FH223" s="1"/>
      <c r="FI223" s="1"/>
      <c r="FJ223" s="1"/>
      <c r="FK223" s="1"/>
      <c r="FL223" s="1"/>
      <c r="FM223" s="1"/>
      <c r="FN223" s="1"/>
      <c r="FO223" s="1"/>
      <c r="FP223" s="1"/>
      <c r="FQ223" s="1"/>
      <c r="FR223" s="2"/>
      <c r="FS223" s="1"/>
    </row>
    <row r="224" spans="1:175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R224" s="1"/>
      <c r="S224" s="1"/>
      <c r="T224" s="1"/>
      <c r="U224" s="1"/>
      <c r="V224" s="1"/>
      <c r="Y224" s="1"/>
      <c r="Z224" s="2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U224" s="1"/>
      <c r="AW224" s="1"/>
      <c r="AX224" s="1"/>
      <c r="AY224" s="1"/>
      <c r="AZ224" s="1"/>
      <c r="BA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1"/>
      <c r="EZ224" s="1"/>
      <c r="FA224" s="1"/>
      <c r="FB224" s="1"/>
      <c r="FC224" s="1"/>
      <c r="FD224" s="1"/>
      <c r="FE224" s="1"/>
      <c r="FF224" s="1"/>
      <c r="FG224" s="1"/>
      <c r="FH224" s="1"/>
      <c r="FI224" s="1"/>
      <c r="FJ224" s="1"/>
      <c r="FK224" s="1"/>
      <c r="FL224" s="1"/>
      <c r="FM224" s="1"/>
      <c r="FN224" s="1"/>
      <c r="FO224" s="1"/>
      <c r="FP224" s="1"/>
      <c r="FQ224" s="1"/>
      <c r="FR224" s="2"/>
      <c r="FS224" s="1"/>
    </row>
    <row r="225" spans="1:175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R225" s="1"/>
      <c r="S225" s="1"/>
      <c r="T225" s="1"/>
      <c r="U225" s="1"/>
      <c r="V225" s="1"/>
      <c r="Y225" s="1"/>
      <c r="Z225" s="2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U225" s="1"/>
      <c r="AW225" s="1"/>
      <c r="AX225" s="1"/>
      <c r="AY225" s="1"/>
      <c r="AZ225" s="1"/>
      <c r="BA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  <c r="FA225" s="1"/>
      <c r="FB225" s="1"/>
      <c r="FC225" s="1"/>
      <c r="FD225" s="1"/>
      <c r="FE225" s="1"/>
      <c r="FF225" s="1"/>
      <c r="FG225" s="1"/>
      <c r="FH225" s="1"/>
      <c r="FI225" s="1"/>
      <c r="FJ225" s="1"/>
      <c r="FK225" s="1"/>
      <c r="FL225" s="1"/>
      <c r="FM225" s="1"/>
      <c r="FN225" s="1"/>
      <c r="FO225" s="1"/>
      <c r="FP225" s="1"/>
      <c r="FQ225" s="1"/>
      <c r="FR225" s="2"/>
      <c r="FS225" s="1"/>
    </row>
    <row r="226" spans="1:175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R226" s="1"/>
      <c r="S226" s="1"/>
      <c r="T226" s="1"/>
      <c r="U226" s="1"/>
      <c r="V226" s="1"/>
      <c r="Y226" s="1"/>
      <c r="Z226" s="2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U226" s="1"/>
      <c r="AW226" s="1"/>
      <c r="AX226" s="1"/>
      <c r="AY226" s="1"/>
      <c r="AZ226" s="1"/>
      <c r="BA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  <c r="EY226" s="1"/>
      <c r="EZ226" s="1"/>
      <c r="FA226" s="1"/>
      <c r="FB226" s="1"/>
      <c r="FC226" s="1"/>
      <c r="FD226" s="1"/>
      <c r="FE226" s="1"/>
      <c r="FF226" s="1"/>
      <c r="FG226" s="1"/>
      <c r="FH226" s="1"/>
      <c r="FI226" s="1"/>
      <c r="FJ226" s="1"/>
      <c r="FK226" s="1"/>
      <c r="FL226" s="1"/>
      <c r="FM226" s="1"/>
      <c r="FN226" s="1"/>
      <c r="FO226" s="1"/>
      <c r="FP226" s="1"/>
      <c r="FQ226" s="1"/>
      <c r="FR226" s="2"/>
      <c r="FS226" s="1"/>
    </row>
    <row r="227" spans="1:175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R227" s="1"/>
      <c r="S227" s="1"/>
      <c r="T227" s="1"/>
      <c r="U227" s="1"/>
      <c r="V227" s="1"/>
      <c r="Y227" s="1"/>
      <c r="Z227" s="2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U227" s="1"/>
      <c r="AW227" s="1"/>
      <c r="AX227" s="1"/>
      <c r="AY227" s="1"/>
      <c r="AZ227" s="1"/>
      <c r="BA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/>
      <c r="EW227" s="1"/>
      <c r="EX227" s="1"/>
      <c r="EY227" s="1"/>
      <c r="EZ227" s="1"/>
      <c r="FA227" s="1"/>
      <c r="FB227" s="1"/>
      <c r="FC227" s="1"/>
      <c r="FD227" s="1"/>
      <c r="FE227" s="1"/>
      <c r="FF227" s="1"/>
      <c r="FG227" s="1"/>
      <c r="FH227" s="1"/>
      <c r="FI227" s="1"/>
      <c r="FJ227" s="1"/>
      <c r="FK227" s="1"/>
      <c r="FL227" s="1"/>
      <c r="FM227" s="1"/>
      <c r="FN227" s="1"/>
      <c r="FO227" s="1"/>
      <c r="FP227" s="1"/>
      <c r="FQ227" s="1"/>
      <c r="FR227" s="2"/>
      <c r="FS227" s="1"/>
    </row>
    <row r="228" spans="1:175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R228" s="1"/>
      <c r="S228" s="1"/>
      <c r="T228" s="1"/>
      <c r="U228" s="1"/>
      <c r="V228" s="1"/>
      <c r="Y228" s="1"/>
      <c r="Z228" s="2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U228" s="1"/>
      <c r="AW228" s="1"/>
      <c r="AX228" s="1"/>
      <c r="AY228" s="1"/>
      <c r="AZ228" s="1"/>
      <c r="BA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1"/>
      <c r="EY228" s="1"/>
      <c r="EZ228" s="1"/>
      <c r="FA228" s="1"/>
      <c r="FB228" s="1"/>
      <c r="FC228" s="1"/>
      <c r="FD228" s="1"/>
      <c r="FE228" s="1"/>
      <c r="FF228" s="1"/>
      <c r="FG228" s="1"/>
      <c r="FH228" s="1"/>
      <c r="FI228" s="1"/>
      <c r="FJ228" s="1"/>
      <c r="FK228" s="1"/>
      <c r="FL228" s="1"/>
      <c r="FM228" s="1"/>
      <c r="FN228" s="1"/>
      <c r="FO228" s="1"/>
      <c r="FP228" s="1"/>
      <c r="FQ228" s="1"/>
      <c r="FR228" s="2"/>
      <c r="FS228" s="1"/>
    </row>
    <row r="229" spans="1:175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R229" s="1"/>
      <c r="S229" s="1"/>
      <c r="T229" s="1"/>
      <c r="U229" s="1"/>
      <c r="V229" s="1"/>
      <c r="Y229" s="1"/>
      <c r="Z229" s="2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U229" s="1"/>
      <c r="AW229" s="1"/>
      <c r="AX229" s="1"/>
      <c r="AY229" s="1"/>
      <c r="AZ229" s="1"/>
      <c r="BA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1"/>
      <c r="EZ229" s="1"/>
      <c r="FA229" s="1"/>
      <c r="FB229" s="1"/>
      <c r="FC229" s="1"/>
      <c r="FD229" s="1"/>
      <c r="FE229" s="1"/>
      <c r="FF229" s="1"/>
      <c r="FG229" s="1"/>
      <c r="FH229" s="1"/>
      <c r="FI229" s="1"/>
      <c r="FJ229" s="1"/>
      <c r="FK229" s="1"/>
      <c r="FL229" s="1"/>
      <c r="FM229" s="1"/>
      <c r="FN229" s="1"/>
      <c r="FO229" s="1"/>
      <c r="FP229" s="1"/>
      <c r="FQ229" s="1"/>
      <c r="FR229" s="2"/>
      <c r="FS229" s="1"/>
    </row>
    <row r="230" spans="1:175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R230" s="1"/>
      <c r="S230" s="1"/>
      <c r="T230" s="1"/>
      <c r="U230" s="1"/>
      <c r="V230" s="1"/>
      <c r="Y230" s="1"/>
      <c r="Z230" s="2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U230" s="1"/>
      <c r="AW230" s="1"/>
      <c r="AX230" s="1"/>
      <c r="AY230" s="1"/>
      <c r="AZ230" s="1"/>
      <c r="BA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/>
      <c r="EW230" s="1"/>
      <c r="EX230" s="1"/>
      <c r="EY230" s="1"/>
      <c r="EZ230" s="1"/>
      <c r="FA230" s="1"/>
      <c r="FB230" s="1"/>
      <c r="FC230" s="1"/>
      <c r="FD230" s="1"/>
      <c r="FE230" s="1"/>
      <c r="FF230" s="1"/>
      <c r="FG230" s="1"/>
      <c r="FH230" s="1"/>
      <c r="FI230" s="1"/>
      <c r="FJ230" s="1"/>
      <c r="FK230" s="1"/>
      <c r="FL230" s="1"/>
      <c r="FM230" s="1"/>
      <c r="FN230" s="1"/>
      <c r="FO230" s="1"/>
      <c r="FP230" s="1"/>
      <c r="FQ230" s="1"/>
      <c r="FR230" s="2"/>
      <c r="FS230" s="1"/>
    </row>
    <row r="231" spans="1:175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R231" s="1"/>
      <c r="S231" s="1"/>
      <c r="T231" s="1"/>
      <c r="U231" s="1"/>
      <c r="V231" s="1"/>
      <c r="Y231" s="1"/>
      <c r="Z231" s="2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U231" s="1"/>
      <c r="AW231" s="1"/>
      <c r="AX231" s="1"/>
      <c r="AY231" s="1"/>
      <c r="AZ231" s="1"/>
      <c r="BA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/>
      <c r="EW231" s="1"/>
      <c r="EX231" s="1"/>
      <c r="EY231" s="1"/>
      <c r="EZ231" s="1"/>
      <c r="FA231" s="1"/>
      <c r="FB231" s="1"/>
      <c r="FC231" s="1"/>
      <c r="FD231" s="1"/>
      <c r="FE231" s="1"/>
      <c r="FF231" s="1"/>
      <c r="FG231" s="1"/>
      <c r="FH231" s="1"/>
      <c r="FI231" s="1"/>
      <c r="FJ231" s="1"/>
      <c r="FK231" s="1"/>
      <c r="FL231" s="1"/>
      <c r="FM231" s="1"/>
      <c r="FN231" s="1"/>
      <c r="FO231" s="1"/>
      <c r="FP231" s="1"/>
      <c r="FQ231" s="1"/>
      <c r="FR231" s="2"/>
      <c r="FS231" s="1"/>
    </row>
    <row r="232" spans="1:175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R232" s="1"/>
      <c r="S232" s="1"/>
      <c r="T232" s="1"/>
      <c r="U232" s="1"/>
      <c r="V232" s="1"/>
      <c r="Y232" s="1"/>
      <c r="Z232" s="2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U232" s="1"/>
      <c r="AW232" s="1"/>
      <c r="AX232" s="1"/>
      <c r="AY232" s="1"/>
      <c r="AZ232" s="1"/>
      <c r="BA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1"/>
      <c r="EY232" s="1"/>
      <c r="EZ232" s="1"/>
      <c r="FA232" s="1"/>
      <c r="FB232" s="1"/>
      <c r="FC232" s="1"/>
      <c r="FD232" s="1"/>
      <c r="FE232" s="1"/>
      <c r="FF232" s="1"/>
      <c r="FG232" s="1"/>
      <c r="FH232" s="1"/>
      <c r="FI232" s="1"/>
      <c r="FJ232" s="1"/>
      <c r="FK232" s="1"/>
      <c r="FL232" s="1"/>
      <c r="FM232" s="1"/>
      <c r="FN232" s="1"/>
      <c r="FO232" s="1"/>
      <c r="FP232" s="1"/>
      <c r="FQ232" s="1"/>
      <c r="FR232" s="2"/>
      <c r="FS232" s="1"/>
    </row>
    <row r="233" spans="1:175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R233" s="1"/>
      <c r="S233" s="1"/>
      <c r="T233" s="1"/>
      <c r="U233" s="1"/>
      <c r="V233" s="1"/>
      <c r="Y233" s="1"/>
      <c r="Z233" s="2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U233" s="1"/>
      <c r="AW233" s="1"/>
      <c r="AX233" s="1"/>
      <c r="AY233" s="1"/>
      <c r="AZ233" s="1"/>
      <c r="BA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1"/>
      <c r="EY233" s="1"/>
      <c r="EZ233" s="1"/>
      <c r="FA233" s="1"/>
      <c r="FB233" s="1"/>
      <c r="FC233" s="1"/>
      <c r="FD233" s="1"/>
      <c r="FE233" s="1"/>
      <c r="FF233" s="1"/>
      <c r="FG233" s="1"/>
      <c r="FH233" s="1"/>
      <c r="FI233" s="1"/>
      <c r="FJ233" s="1"/>
      <c r="FK233" s="1"/>
      <c r="FL233" s="1"/>
      <c r="FM233" s="1"/>
      <c r="FN233" s="1"/>
      <c r="FO233" s="1"/>
      <c r="FP233" s="1"/>
      <c r="FQ233" s="1"/>
      <c r="FR233" s="2"/>
      <c r="FS233" s="1"/>
    </row>
    <row r="234" spans="1:175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R234" s="1"/>
      <c r="S234" s="1"/>
      <c r="T234" s="1"/>
      <c r="U234" s="1"/>
      <c r="V234" s="1"/>
      <c r="Y234" s="1"/>
      <c r="Z234" s="2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U234" s="1"/>
      <c r="AW234" s="1"/>
      <c r="AX234" s="1"/>
      <c r="AY234" s="1"/>
      <c r="AZ234" s="1"/>
      <c r="BA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/>
      <c r="EW234" s="1"/>
      <c r="EX234" s="1"/>
      <c r="EY234" s="1"/>
      <c r="EZ234" s="1"/>
      <c r="FA234" s="1"/>
      <c r="FB234" s="1"/>
      <c r="FC234" s="1"/>
      <c r="FD234" s="1"/>
      <c r="FE234" s="1"/>
      <c r="FF234" s="1"/>
      <c r="FG234" s="1"/>
      <c r="FH234" s="1"/>
      <c r="FI234" s="1"/>
      <c r="FJ234" s="1"/>
      <c r="FK234" s="1"/>
      <c r="FL234" s="1"/>
      <c r="FM234" s="1"/>
      <c r="FN234" s="1"/>
      <c r="FO234" s="1"/>
      <c r="FP234" s="1"/>
      <c r="FQ234" s="1"/>
      <c r="FR234" s="2"/>
      <c r="FS234" s="1"/>
    </row>
    <row r="235" spans="1:175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R235" s="1"/>
      <c r="S235" s="1"/>
      <c r="T235" s="1"/>
      <c r="U235" s="1"/>
      <c r="V235" s="1"/>
      <c r="Y235" s="1"/>
      <c r="Z235" s="2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U235" s="1"/>
      <c r="AW235" s="1"/>
      <c r="AX235" s="1"/>
      <c r="AY235" s="1"/>
      <c r="AZ235" s="1"/>
      <c r="BA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/>
      <c r="EW235" s="1"/>
      <c r="EX235" s="1"/>
      <c r="EY235" s="1"/>
      <c r="EZ235" s="1"/>
      <c r="FA235" s="1"/>
      <c r="FB235" s="1"/>
      <c r="FC235" s="1"/>
      <c r="FD235" s="1"/>
      <c r="FE235" s="1"/>
      <c r="FF235" s="1"/>
      <c r="FG235" s="1"/>
      <c r="FH235" s="1"/>
      <c r="FI235" s="1"/>
      <c r="FJ235" s="1"/>
      <c r="FK235" s="1"/>
      <c r="FL235" s="1"/>
      <c r="FM235" s="1"/>
      <c r="FN235" s="1"/>
      <c r="FO235" s="1"/>
      <c r="FP235" s="1"/>
      <c r="FQ235" s="1"/>
      <c r="FR235" s="2"/>
      <c r="FS235" s="1"/>
    </row>
    <row r="236" spans="1:175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R236" s="1"/>
      <c r="S236" s="1"/>
      <c r="T236" s="1"/>
      <c r="U236" s="1"/>
      <c r="V236" s="1"/>
      <c r="Y236" s="1"/>
      <c r="Z236" s="2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U236" s="1"/>
      <c r="AW236" s="1"/>
      <c r="AX236" s="1"/>
      <c r="AY236" s="1"/>
      <c r="AZ236" s="1"/>
      <c r="BA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/>
      <c r="EW236" s="1"/>
      <c r="EX236" s="1"/>
      <c r="EY236" s="1"/>
      <c r="EZ236" s="1"/>
      <c r="FA236" s="1"/>
      <c r="FB236" s="1"/>
      <c r="FC236" s="1"/>
      <c r="FD236" s="1"/>
      <c r="FE236" s="1"/>
      <c r="FF236" s="1"/>
      <c r="FG236" s="1"/>
      <c r="FH236" s="1"/>
      <c r="FI236" s="1"/>
      <c r="FJ236" s="1"/>
      <c r="FK236" s="1"/>
      <c r="FL236" s="1"/>
      <c r="FM236" s="1"/>
      <c r="FN236" s="1"/>
      <c r="FO236" s="1"/>
      <c r="FP236" s="1"/>
      <c r="FQ236" s="1"/>
      <c r="FR236" s="2"/>
      <c r="FS236" s="1"/>
    </row>
    <row r="237" spans="1:175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R237" s="1"/>
      <c r="S237" s="1"/>
      <c r="T237" s="1"/>
      <c r="U237" s="1"/>
      <c r="V237" s="1"/>
      <c r="Y237" s="1"/>
      <c r="Z237" s="2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U237" s="1"/>
      <c r="AW237" s="1"/>
      <c r="AX237" s="1"/>
      <c r="AY237" s="1"/>
      <c r="AZ237" s="1"/>
      <c r="BA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1"/>
      <c r="EY237" s="1"/>
      <c r="EZ237" s="1"/>
      <c r="FA237" s="1"/>
      <c r="FB237" s="1"/>
      <c r="FC237" s="1"/>
      <c r="FD237" s="1"/>
      <c r="FE237" s="1"/>
      <c r="FF237" s="1"/>
      <c r="FG237" s="1"/>
      <c r="FH237" s="1"/>
      <c r="FI237" s="1"/>
      <c r="FJ237" s="1"/>
      <c r="FK237" s="1"/>
      <c r="FL237" s="1"/>
      <c r="FM237" s="1"/>
      <c r="FN237" s="1"/>
      <c r="FO237" s="1"/>
      <c r="FP237" s="1"/>
      <c r="FQ237" s="1"/>
      <c r="FR237" s="2"/>
      <c r="FS237" s="1"/>
    </row>
    <row r="238" spans="1:175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R238" s="1"/>
      <c r="S238" s="1"/>
      <c r="T238" s="1"/>
      <c r="U238" s="1"/>
      <c r="V238" s="1"/>
      <c r="Y238" s="1"/>
      <c r="Z238" s="2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U238" s="1"/>
      <c r="AW238" s="1"/>
      <c r="AX238" s="1"/>
      <c r="AY238" s="1"/>
      <c r="AZ238" s="1"/>
      <c r="BA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/>
      <c r="EW238" s="1"/>
      <c r="EX238" s="1"/>
      <c r="EY238" s="1"/>
      <c r="EZ238" s="1"/>
      <c r="FA238" s="1"/>
      <c r="FB238" s="1"/>
      <c r="FC238" s="1"/>
      <c r="FD238" s="1"/>
      <c r="FE238" s="1"/>
      <c r="FF238" s="1"/>
      <c r="FG238" s="1"/>
      <c r="FH238" s="1"/>
      <c r="FI238" s="1"/>
      <c r="FJ238" s="1"/>
      <c r="FK238" s="1"/>
      <c r="FL238" s="1"/>
      <c r="FM238" s="1"/>
      <c r="FN238" s="1"/>
      <c r="FO238" s="1"/>
      <c r="FP238" s="1"/>
      <c r="FQ238" s="1"/>
      <c r="FR238" s="2"/>
      <c r="FS238" s="1"/>
    </row>
    <row r="239" spans="1:175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R239" s="1"/>
      <c r="S239" s="1"/>
      <c r="T239" s="1"/>
      <c r="U239" s="1"/>
      <c r="V239" s="1"/>
      <c r="Y239" s="1"/>
      <c r="Z239" s="2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U239" s="1"/>
      <c r="AW239" s="1"/>
      <c r="AX239" s="1"/>
      <c r="AY239" s="1"/>
      <c r="AZ239" s="1"/>
      <c r="BA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/>
      <c r="EW239" s="1"/>
      <c r="EX239" s="1"/>
      <c r="EY239" s="1"/>
      <c r="EZ239" s="1"/>
      <c r="FA239" s="1"/>
      <c r="FB239" s="1"/>
      <c r="FC239" s="1"/>
      <c r="FD239" s="1"/>
      <c r="FE239" s="1"/>
      <c r="FF239" s="1"/>
      <c r="FG239" s="1"/>
      <c r="FH239" s="1"/>
      <c r="FI239" s="1"/>
      <c r="FJ239" s="1"/>
      <c r="FK239" s="1"/>
      <c r="FL239" s="1"/>
      <c r="FM239" s="1"/>
      <c r="FN239" s="1"/>
      <c r="FO239" s="1"/>
      <c r="FP239" s="1"/>
      <c r="FQ239" s="1"/>
      <c r="FR239" s="2"/>
      <c r="FS239" s="1"/>
    </row>
    <row r="240" spans="1:175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R240" s="1"/>
      <c r="S240" s="1"/>
      <c r="T240" s="1"/>
      <c r="U240" s="1"/>
      <c r="V240" s="1"/>
      <c r="Y240" s="1"/>
      <c r="Z240" s="2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U240" s="1"/>
      <c r="AW240" s="1"/>
      <c r="AX240" s="1"/>
      <c r="AY240" s="1"/>
      <c r="AZ240" s="1"/>
      <c r="BA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/>
      <c r="EW240" s="1"/>
      <c r="EX240" s="1"/>
      <c r="EY240" s="1"/>
      <c r="EZ240" s="1"/>
      <c r="FA240" s="1"/>
      <c r="FB240" s="1"/>
      <c r="FC240" s="1"/>
      <c r="FD240" s="1"/>
      <c r="FE240" s="1"/>
      <c r="FF240" s="1"/>
      <c r="FG240" s="1"/>
      <c r="FH240" s="1"/>
      <c r="FI240" s="1"/>
      <c r="FJ240" s="1"/>
      <c r="FK240" s="1"/>
      <c r="FL240" s="1"/>
      <c r="FM240" s="1"/>
      <c r="FN240" s="1"/>
      <c r="FO240" s="1"/>
      <c r="FP240" s="1"/>
      <c r="FQ240" s="1"/>
      <c r="FR240" s="2"/>
      <c r="FS240" s="1"/>
    </row>
    <row r="241" spans="1:175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R241" s="1"/>
      <c r="S241" s="1"/>
      <c r="T241" s="1"/>
      <c r="U241" s="1"/>
      <c r="V241" s="1"/>
      <c r="Y241" s="1"/>
      <c r="Z241" s="2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U241" s="1"/>
      <c r="AW241" s="1"/>
      <c r="AX241" s="1"/>
      <c r="AY241" s="1"/>
      <c r="AZ241" s="1"/>
      <c r="BA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1"/>
      <c r="EY241" s="1"/>
      <c r="EZ241" s="1"/>
      <c r="FA241" s="1"/>
      <c r="FB241" s="1"/>
      <c r="FC241" s="1"/>
      <c r="FD241" s="1"/>
      <c r="FE241" s="1"/>
      <c r="FF241" s="1"/>
      <c r="FG241" s="1"/>
      <c r="FH241" s="1"/>
      <c r="FI241" s="1"/>
      <c r="FJ241" s="1"/>
      <c r="FK241" s="1"/>
      <c r="FL241" s="1"/>
      <c r="FM241" s="1"/>
      <c r="FN241" s="1"/>
      <c r="FO241" s="1"/>
      <c r="FP241" s="1"/>
      <c r="FQ241" s="1"/>
      <c r="FR241" s="2"/>
      <c r="FS241" s="1"/>
    </row>
    <row r="242" spans="1:175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R242" s="1"/>
      <c r="S242" s="1"/>
      <c r="T242" s="1"/>
      <c r="U242" s="1"/>
      <c r="V242" s="1"/>
      <c r="Y242" s="1"/>
      <c r="Z242" s="2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U242" s="1"/>
      <c r="AW242" s="1"/>
      <c r="AX242" s="1"/>
      <c r="AY242" s="1"/>
      <c r="AZ242" s="1"/>
      <c r="BA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/>
      <c r="EW242" s="1"/>
      <c r="EX242" s="1"/>
      <c r="EY242" s="1"/>
      <c r="EZ242" s="1"/>
      <c r="FA242" s="1"/>
      <c r="FB242" s="1"/>
      <c r="FC242" s="1"/>
      <c r="FD242" s="1"/>
      <c r="FE242" s="1"/>
      <c r="FF242" s="1"/>
      <c r="FG242" s="1"/>
      <c r="FH242" s="1"/>
      <c r="FI242" s="1"/>
      <c r="FJ242" s="1"/>
      <c r="FK242" s="1"/>
      <c r="FL242" s="1"/>
      <c r="FM242" s="1"/>
      <c r="FN242" s="1"/>
      <c r="FO242" s="1"/>
      <c r="FP242" s="1"/>
      <c r="FQ242" s="1"/>
      <c r="FR242" s="2"/>
      <c r="FS242" s="1"/>
    </row>
    <row r="243" spans="1:175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R243" s="1"/>
      <c r="S243" s="1"/>
      <c r="T243" s="1"/>
      <c r="U243" s="1"/>
      <c r="V243" s="1"/>
      <c r="Y243" s="1"/>
      <c r="Z243" s="2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U243" s="1"/>
      <c r="AW243" s="1"/>
      <c r="AX243" s="1"/>
      <c r="AY243" s="1"/>
      <c r="AZ243" s="1"/>
      <c r="BA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/>
      <c r="EW243" s="1"/>
      <c r="EX243" s="1"/>
      <c r="EY243" s="1"/>
      <c r="EZ243" s="1"/>
      <c r="FA243" s="1"/>
      <c r="FB243" s="1"/>
      <c r="FC243" s="1"/>
      <c r="FD243" s="1"/>
      <c r="FE243" s="1"/>
      <c r="FF243" s="1"/>
      <c r="FG243" s="1"/>
      <c r="FH243" s="1"/>
      <c r="FI243" s="1"/>
      <c r="FJ243" s="1"/>
      <c r="FK243" s="1"/>
      <c r="FL243" s="1"/>
      <c r="FM243" s="1"/>
      <c r="FN243" s="1"/>
      <c r="FO243" s="1"/>
      <c r="FP243" s="1"/>
      <c r="FQ243" s="1"/>
      <c r="FR243" s="2"/>
      <c r="FS243" s="1"/>
    </row>
    <row r="244" spans="1:175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R244" s="1"/>
      <c r="S244" s="1"/>
      <c r="T244" s="1"/>
      <c r="U244" s="1"/>
      <c r="V244" s="1"/>
      <c r="Y244" s="1"/>
      <c r="Z244" s="2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U244" s="1"/>
      <c r="AW244" s="1"/>
      <c r="AX244" s="1"/>
      <c r="AY244" s="1"/>
      <c r="AZ244" s="1"/>
      <c r="BA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/>
      <c r="EW244" s="1"/>
      <c r="EX244" s="1"/>
      <c r="EY244" s="1"/>
      <c r="EZ244" s="1"/>
      <c r="FA244" s="1"/>
      <c r="FB244" s="1"/>
      <c r="FC244" s="1"/>
      <c r="FD244" s="1"/>
      <c r="FE244" s="1"/>
      <c r="FF244" s="1"/>
      <c r="FG244" s="1"/>
      <c r="FH244" s="1"/>
      <c r="FI244" s="1"/>
      <c r="FJ244" s="1"/>
      <c r="FK244" s="1"/>
      <c r="FL244" s="1"/>
      <c r="FM244" s="1"/>
      <c r="FN244" s="1"/>
      <c r="FO244" s="1"/>
      <c r="FP244" s="1"/>
      <c r="FQ244" s="1"/>
      <c r="FR244" s="2"/>
      <c r="FS244" s="1"/>
    </row>
    <row r="245" spans="1:175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R245" s="1"/>
      <c r="S245" s="1"/>
      <c r="T245" s="1"/>
      <c r="U245" s="1"/>
      <c r="V245" s="1"/>
      <c r="Y245" s="1"/>
      <c r="Z245" s="2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U245" s="1"/>
      <c r="AW245" s="1"/>
      <c r="AX245" s="1"/>
      <c r="AY245" s="1"/>
      <c r="AZ245" s="1"/>
      <c r="BA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/>
      <c r="EW245" s="1"/>
      <c r="EX245" s="1"/>
      <c r="EY245" s="1"/>
      <c r="EZ245" s="1"/>
      <c r="FA245" s="1"/>
      <c r="FB245" s="1"/>
      <c r="FC245" s="1"/>
      <c r="FD245" s="1"/>
      <c r="FE245" s="1"/>
      <c r="FF245" s="1"/>
      <c r="FG245" s="1"/>
      <c r="FH245" s="1"/>
      <c r="FI245" s="1"/>
      <c r="FJ245" s="1"/>
      <c r="FK245" s="1"/>
      <c r="FL245" s="1"/>
      <c r="FM245" s="1"/>
      <c r="FN245" s="1"/>
      <c r="FO245" s="1"/>
      <c r="FP245" s="1"/>
      <c r="FQ245" s="1"/>
      <c r="FR245" s="2"/>
      <c r="FS245" s="1"/>
    </row>
    <row r="246" spans="1:175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R246" s="1"/>
      <c r="S246" s="1"/>
      <c r="T246" s="1"/>
      <c r="U246" s="1"/>
      <c r="V246" s="1"/>
      <c r="Y246" s="1"/>
      <c r="Z246" s="2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U246" s="1"/>
      <c r="AW246" s="1"/>
      <c r="AX246" s="1"/>
      <c r="AY246" s="1"/>
      <c r="AZ246" s="1"/>
      <c r="BA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/>
      <c r="EW246" s="1"/>
      <c r="EX246" s="1"/>
      <c r="EY246" s="1"/>
      <c r="EZ246" s="1"/>
      <c r="FA246" s="1"/>
      <c r="FB246" s="1"/>
      <c r="FC246" s="1"/>
      <c r="FD246" s="1"/>
      <c r="FE246" s="1"/>
      <c r="FF246" s="1"/>
      <c r="FG246" s="1"/>
      <c r="FH246" s="1"/>
      <c r="FI246" s="1"/>
      <c r="FJ246" s="1"/>
      <c r="FK246" s="1"/>
      <c r="FL246" s="1"/>
      <c r="FM246" s="1"/>
      <c r="FN246" s="1"/>
      <c r="FO246" s="1"/>
      <c r="FP246" s="1"/>
      <c r="FQ246" s="1"/>
      <c r="FR246" s="2"/>
      <c r="FS246" s="1"/>
    </row>
    <row r="247" spans="1:175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R247" s="1"/>
      <c r="S247" s="1"/>
      <c r="T247" s="1"/>
      <c r="U247" s="1"/>
      <c r="V247" s="1"/>
      <c r="Y247" s="1"/>
      <c r="Z247" s="2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U247" s="1"/>
      <c r="AW247" s="1"/>
      <c r="AX247" s="1"/>
      <c r="AY247" s="1"/>
      <c r="AZ247" s="1"/>
      <c r="BA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  <c r="EN247" s="1"/>
      <c r="EO247" s="1"/>
      <c r="EP247" s="1"/>
      <c r="EQ247" s="1"/>
      <c r="ER247" s="1"/>
      <c r="ES247" s="1"/>
      <c r="ET247" s="1"/>
      <c r="EU247" s="1"/>
      <c r="EV247" s="1"/>
      <c r="EW247" s="1"/>
      <c r="EX247" s="1"/>
      <c r="EY247" s="1"/>
      <c r="EZ247" s="1"/>
      <c r="FA247" s="1"/>
      <c r="FB247" s="1"/>
      <c r="FC247" s="1"/>
      <c r="FD247" s="1"/>
      <c r="FE247" s="1"/>
      <c r="FF247" s="1"/>
      <c r="FG247" s="1"/>
      <c r="FH247" s="1"/>
      <c r="FI247" s="1"/>
      <c r="FJ247" s="1"/>
      <c r="FK247" s="1"/>
      <c r="FL247" s="1"/>
      <c r="FM247" s="1"/>
      <c r="FN247" s="1"/>
      <c r="FO247" s="1"/>
      <c r="FP247" s="1"/>
      <c r="FQ247" s="1"/>
      <c r="FR247" s="2"/>
      <c r="FS247" s="1"/>
    </row>
    <row r="248" spans="1:175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R248" s="1"/>
      <c r="S248" s="1"/>
      <c r="T248" s="1"/>
      <c r="U248" s="1"/>
      <c r="V248" s="1"/>
      <c r="Y248" s="1"/>
      <c r="Z248" s="2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U248" s="1"/>
      <c r="AW248" s="1"/>
      <c r="AX248" s="1"/>
      <c r="AY248" s="1"/>
      <c r="AZ248" s="1"/>
      <c r="BA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/>
      <c r="EW248" s="1"/>
      <c r="EX248" s="1"/>
      <c r="EY248" s="1"/>
      <c r="EZ248" s="1"/>
      <c r="FA248" s="1"/>
      <c r="FB248" s="1"/>
      <c r="FC248" s="1"/>
      <c r="FD248" s="1"/>
      <c r="FE248" s="1"/>
      <c r="FF248" s="1"/>
      <c r="FG248" s="1"/>
      <c r="FH248" s="1"/>
      <c r="FI248" s="1"/>
      <c r="FJ248" s="1"/>
      <c r="FK248" s="1"/>
      <c r="FL248" s="1"/>
      <c r="FM248" s="1"/>
      <c r="FN248" s="1"/>
      <c r="FO248" s="1"/>
      <c r="FP248" s="1"/>
      <c r="FQ248" s="1"/>
      <c r="FR248" s="2"/>
      <c r="FS248" s="1"/>
    </row>
    <row r="249" spans="1:175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R249" s="1"/>
      <c r="S249" s="1"/>
      <c r="T249" s="1"/>
      <c r="U249" s="1"/>
      <c r="V249" s="1"/>
      <c r="Y249" s="1"/>
      <c r="Z249" s="2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U249" s="1"/>
      <c r="AW249" s="1"/>
      <c r="AX249" s="1"/>
      <c r="AY249" s="1"/>
      <c r="AZ249" s="1"/>
      <c r="BA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/>
      <c r="EQ249" s="1"/>
      <c r="ER249" s="1"/>
      <c r="ES249" s="1"/>
      <c r="ET249" s="1"/>
      <c r="EU249" s="1"/>
      <c r="EV249" s="1"/>
      <c r="EW249" s="1"/>
      <c r="EX249" s="1"/>
      <c r="EY249" s="1"/>
      <c r="EZ249" s="1"/>
      <c r="FA249" s="1"/>
      <c r="FB249" s="1"/>
      <c r="FC249" s="1"/>
      <c r="FD249" s="1"/>
      <c r="FE249" s="1"/>
      <c r="FF249" s="1"/>
      <c r="FG249" s="1"/>
      <c r="FH249" s="1"/>
      <c r="FI249" s="1"/>
      <c r="FJ249" s="1"/>
      <c r="FK249" s="1"/>
      <c r="FL249" s="1"/>
      <c r="FM249" s="1"/>
      <c r="FN249" s="1"/>
      <c r="FO249" s="1"/>
      <c r="FP249" s="1"/>
      <c r="FQ249" s="1"/>
      <c r="FR249" s="2"/>
      <c r="FS249" s="1"/>
    </row>
    <row r="250" spans="1:175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R250" s="1"/>
      <c r="S250" s="1"/>
      <c r="T250" s="1"/>
      <c r="U250" s="1"/>
      <c r="V250" s="1"/>
      <c r="Y250" s="1"/>
      <c r="Z250" s="2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U250" s="1"/>
      <c r="AW250" s="1"/>
      <c r="AX250" s="1"/>
      <c r="AY250" s="1"/>
      <c r="AZ250" s="1"/>
      <c r="BA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EV250" s="1"/>
      <c r="EW250" s="1"/>
      <c r="EX250" s="1"/>
      <c r="EY250" s="1"/>
      <c r="EZ250" s="1"/>
      <c r="FA250" s="1"/>
      <c r="FB250" s="1"/>
      <c r="FC250" s="1"/>
      <c r="FD250" s="1"/>
      <c r="FE250" s="1"/>
      <c r="FF250" s="1"/>
      <c r="FG250" s="1"/>
      <c r="FH250" s="1"/>
      <c r="FI250" s="1"/>
      <c r="FJ250" s="1"/>
      <c r="FK250" s="1"/>
      <c r="FL250" s="1"/>
      <c r="FM250" s="1"/>
      <c r="FN250" s="1"/>
      <c r="FO250" s="1"/>
      <c r="FP250" s="1"/>
      <c r="FQ250" s="1"/>
      <c r="FR250" s="2"/>
      <c r="FS250" s="1"/>
    </row>
    <row r="251" spans="1:175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R251" s="1"/>
      <c r="S251" s="1"/>
      <c r="T251" s="1"/>
      <c r="U251" s="1"/>
      <c r="V251" s="1"/>
      <c r="Y251" s="1"/>
      <c r="Z251" s="2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U251" s="1"/>
      <c r="AW251" s="1"/>
      <c r="AX251" s="1"/>
      <c r="AY251" s="1"/>
      <c r="AZ251" s="1"/>
      <c r="BA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1"/>
      <c r="EN251" s="1"/>
      <c r="EO251" s="1"/>
      <c r="EP251" s="1"/>
      <c r="EQ251" s="1"/>
      <c r="ER251" s="1"/>
      <c r="ES251" s="1"/>
      <c r="ET251" s="1"/>
      <c r="EU251" s="1"/>
      <c r="EV251" s="1"/>
      <c r="EW251" s="1"/>
      <c r="EX251" s="1"/>
      <c r="EY251" s="1"/>
      <c r="EZ251" s="1"/>
      <c r="FA251" s="1"/>
      <c r="FB251" s="1"/>
      <c r="FC251" s="1"/>
      <c r="FD251" s="1"/>
      <c r="FE251" s="1"/>
      <c r="FF251" s="1"/>
      <c r="FG251" s="1"/>
      <c r="FH251" s="1"/>
      <c r="FI251" s="1"/>
      <c r="FJ251" s="1"/>
      <c r="FK251" s="1"/>
      <c r="FL251" s="1"/>
      <c r="FM251" s="1"/>
      <c r="FN251" s="1"/>
      <c r="FO251" s="1"/>
      <c r="FP251" s="1"/>
      <c r="FQ251" s="1"/>
      <c r="FR251" s="2"/>
      <c r="FS251" s="1"/>
    </row>
    <row r="252" spans="1:175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R252" s="1"/>
      <c r="S252" s="1"/>
      <c r="T252" s="1"/>
      <c r="U252" s="1"/>
      <c r="V252" s="1"/>
      <c r="Y252" s="1"/>
      <c r="Z252" s="2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U252" s="1"/>
      <c r="AW252" s="1"/>
      <c r="AX252" s="1"/>
      <c r="AY252" s="1"/>
      <c r="AZ252" s="1"/>
      <c r="BA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/>
      <c r="ER252" s="1"/>
      <c r="ES252" s="1"/>
      <c r="ET252" s="1"/>
      <c r="EU252" s="1"/>
      <c r="EV252" s="1"/>
      <c r="EW252" s="1"/>
      <c r="EX252" s="1"/>
      <c r="EY252" s="1"/>
      <c r="EZ252" s="1"/>
      <c r="FA252" s="1"/>
      <c r="FB252" s="1"/>
      <c r="FC252" s="1"/>
      <c r="FD252" s="1"/>
      <c r="FE252" s="1"/>
      <c r="FF252" s="1"/>
      <c r="FG252" s="1"/>
      <c r="FH252" s="1"/>
      <c r="FI252" s="1"/>
      <c r="FJ252" s="1"/>
      <c r="FK252" s="1"/>
      <c r="FL252" s="1"/>
      <c r="FM252" s="1"/>
      <c r="FN252" s="1"/>
      <c r="FO252" s="1"/>
      <c r="FP252" s="1"/>
      <c r="FQ252" s="1"/>
      <c r="FR252" s="2"/>
      <c r="FS252" s="1"/>
    </row>
    <row r="253" spans="1:175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R253" s="1"/>
      <c r="S253" s="1"/>
      <c r="T253" s="1"/>
      <c r="U253" s="1"/>
      <c r="V253" s="1"/>
      <c r="Y253" s="1"/>
      <c r="Z253" s="2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U253" s="1"/>
      <c r="AW253" s="1"/>
      <c r="AX253" s="1"/>
      <c r="AY253" s="1"/>
      <c r="AZ253" s="1"/>
      <c r="BA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H253" s="1"/>
      <c r="EI253" s="1"/>
      <c r="EJ253" s="1"/>
      <c r="EK253" s="1"/>
      <c r="EL253" s="1"/>
      <c r="EM253" s="1"/>
      <c r="EN253" s="1"/>
      <c r="EO253" s="1"/>
      <c r="EP253" s="1"/>
      <c r="EQ253" s="1"/>
      <c r="ER253" s="1"/>
      <c r="ES253" s="1"/>
      <c r="ET253" s="1"/>
      <c r="EU253" s="1"/>
      <c r="EV253" s="1"/>
      <c r="EW253" s="1"/>
      <c r="EX253" s="1"/>
      <c r="EY253" s="1"/>
      <c r="EZ253" s="1"/>
      <c r="FA253" s="1"/>
      <c r="FB253" s="1"/>
      <c r="FC253" s="1"/>
      <c r="FD253" s="1"/>
      <c r="FE253" s="1"/>
      <c r="FF253" s="1"/>
      <c r="FG253" s="1"/>
      <c r="FH253" s="1"/>
      <c r="FI253" s="1"/>
      <c r="FJ253" s="1"/>
      <c r="FK253" s="1"/>
      <c r="FL253" s="1"/>
      <c r="FM253" s="1"/>
      <c r="FN253" s="1"/>
      <c r="FO253" s="1"/>
      <c r="FP253" s="1"/>
      <c r="FQ253" s="1"/>
      <c r="FR253" s="2"/>
      <c r="FS253" s="1"/>
    </row>
    <row r="254" spans="1:175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R254" s="1"/>
      <c r="S254" s="1"/>
      <c r="T254" s="1"/>
      <c r="U254" s="1"/>
      <c r="V254" s="1"/>
      <c r="Y254" s="1"/>
      <c r="Z254" s="2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U254" s="1"/>
      <c r="AW254" s="1"/>
      <c r="AX254" s="1"/>
      <c r="AY254" s="1"/>
      <c r="AZ254" s="1"/>
      <c r="BA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/>
      <c r="ER254" s="1"/>
      <c r="ES254" s="1"/>
      <c r="ET254" s="1"/>
      <c r="EU254" s="1"/>
      <c r="EV254" s="1"/>
      <c r="EW254" s="1"/>
      <c r="EX254" s="1"/>
      <c r="EY254" s="1"/>
      <c r="EZ254" s="1"/>
      <c r="FA254" s="1"/>
      <c r="FB254" s="1"/>
      <c r="FC254" s="1"/>
      <c r="FD254" s="1"/>
      <c r="FE254" s="1"/>
      <c r="FF254" s="1"/>
      <c r="FG254" s="1"/>
      <c r="FH254" s="1"/>
      <c r="FI254" s="1"/>
      <c r="FJ254" s="1"/>
      <c r="FK254" s="1"/>
      <c r="FL254" s="1"/>
      <c r="FM254" s="1"/>
      <c r="FN254" s="1"/>
      <c r="FO254" s="1"/>
      <c r="FP254" s="1"/>
      <c r="FQ254" s="1"/>
      <c r="FR254" s="2"/>
      <c r="FS254" s="1"/>
    </row>
    <row r="255" spans="1:175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R255" s="1"/>
      <c r="S255" s="1"/>
      <c r="T255" s="1"/>
      <c r="U255" s="1"/>
      <c r="V255" s="1"/>
      <c r="Y255" s="1"/>
      <c r="Z255" s="2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U255" s="1"/>
      <c r="AW255" s="1"/>
      <c r="AX255" s="1"/>
      <c r="AY255" s="1"/>
      <c r="AZ255" s="1"/>
      <c r="BA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s="1"/>
      <c r="EQ255" s="1"/>
      <c r="ER255" s="1"/>
      <c r="ES255" s="1"/>
      <c r="ET255" s="1"/>
      <c r="EU255" s="1"/>
      <c r="EV255" s="1"/>
      <c r="EW255" s="1"/>
      <c r="EX255" s="1"/>
      <c r="EY255" s="1"/>
      <c r="EZ255" s="1"/>
      <c r="FA255" s="1"/>
      <c r="FB255" s="1"/>
      <c r="FC255" s="1"/>
      <c r="FD255" s="1"/>
      <c r="FE255" s="1"/>
      <c r="FF255" s="1"/>
      <c r="FG255" s="1"/>
      <c r="FH255" s="1"/>
      <c r="FI255" s="1"/>
      <c r="FJ255" s="1"/>
      <c r="FK255" s="1"/>
      <c r="FL255" s="1"/>
      <c r="FM255" s="1"/>
      <c r="FN255" s="1"/>
      <c r="FO255" s="1"/>
      <c r="FP255" s="1"/>
      <c r="FQ255" s="1"/>
      <c r="FR255" s="2"/>
      <c r="FS255" s="1"/>
    </row>
    <row r="256" spans="1:175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R256" s="1"/>
      <c r="S256" s="1"/>
      <c r="T256" s="1"/>
      <c r="U256" s="1"/>
      <c r="V256" s="1"/>
      <c r="Y256" s="1"/>
      <c r="Z256" s="2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U256" s="1"/>
      <c r="AW256" s="1"/>
      <c r="AX256" s="1"/>
      <c r="AY256" s="1"/>
      <c r="AZ256" s="1"/>
      <c r="BA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/>
      <c r="EW256" s="1"/>
      <c r="EX256" s="1"/>
      <c r="EY256" s="1"/>
      <c r="EZ256" s="1"/>
      <c r="FA256" s="1"/>
      <c r="FB256" s="1"/>
      <c r="FC256" s="1"/>
      <c r="FD256" s="1"/>
      <c r="FE256" s="1"/>
      <c r="FF256" s="1"/>
      <c r="FG256" s="1"/>
      <c r="FH256" s="1"/>
      <c r="FI256" s="1"/>
      <c r="FJ256" s="1"/>
      <c r="FK256" s="1"/>
      <c r="FL256" s="1"/>
      <c r="FM256" s="1"/>
      <c r="FN256" s="1"/>
      <c r="FO256" s="1"/>
      <c r="FP256" s="1"/>
      <c r="FQ256" s="1"/>
      <c r="FR256" s="2"/>
      <c r="FS256" s="1"/>
    </row>
    <row r="257" spans="1:175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R257" s="1"/>
      <c r="S257" s="1"/>
      <c r="T257" s="1"/>
      <c r="U257" s="1"/>
      <c r="V257" s="1"/>
      <c r="Y257" s="1"/>
      <c r="Z257" s="2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U257" s="1"/>
      <c r="AW257" s="1"/>
      <c r="AX257" s="1"/>
      <c r="AY257" s="1"/>
      <c r="AZ257" s="1"/>
      <c r="BA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/>
      <c r="EQ257" s="1"/>
      <c r="ER257" s="1"/>
      <c r="ES257" s="1"/>
      <c r="ET257" s="1"/>
      <c r="EU257" s="1"/>
      <c r="EV257" s="1"/>
      <c r="EW257" s="1"/>
      <c r="EX257" s="1"/>
      <c r="EY257" s="1"/>
      <c r="EZ257" s="1"/>
      <c r="FA257" s="1"/>
      <c r="FB257" s="1"/>
      <c r="FC257" s="1"/>
      <c r="FD257" s="1"/>
      <c r="FE257" s="1"/>
      <c r="FF257" s="1"/>
      <c r="FG257" s="1"/>
      <c r="FH257" s="1"/>
      <c r="FI257" s="1"/>
      <c r="FJ257" s="1"/>
      <c r="FK257" s="1"/>
      <c r="FL257" s="1"/>
      <c r="FM257" s="1"/>
      <c r="FN257" s="1"/>
      <c r="FO257" s="1"/>
      <c r="FP257" s="1"/>
      <c r="FQ257" s="1"/>
      <c r="FR257" s="2"/>
      <c r="FS257" s="1"/>
    </row>
    <row r="258" spans="1:175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R258" s="1"/>
      <c r="S258" s="1"/>
      <c r="T258" s="1"/>
      <c r="U258" s="1"/>
      <c r="V258" s="1"/>
      <c r="Y258" s="1"/>
      <c r="Z258" s="2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U258" s="1"/>
      <c r="AW258" s="1"/>
      <c r="AX258" s="1"/>
      <c r="AY258" s="1"/>
      <c r="AZ258" s="1"/>
      <c r="BA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/>
      <c r="EW258" s="1"/>
      <c r="EX258" s="1"/>
      <c r="EY258" s="1"/>
      <c r="EZ258" s="1"/>
      <c r="FA258" s="1"/>
      <c r="FB258" s="1"/>
      <c r="FC258" s="1"/>
      <c r="FD258" s="1"/>
      <c r="FE258" s="1"/>
      <c r="FF258" s="1"/>
      <c r="FG258" s="1"/>
      <c r="FH258" s="1"/>
      <c r="FI258" s="1"/>
      <c r="FJ258" s="1"/>
      <c r="FK258" s="1"/>
      <c r="FL258" s="1"/>
      <c r="FM258" s="1"/>
      <c r="FN258" s="1"/>
      <c r="FO258" s="1"/>
      <c r="FP258" s="1"/>
      <c r="FQ258" s="1"/>
      <c r="FR258" s="2"/>
      <c r="FS258" s="1"/>
    </row>
    <row r="259" spans="1:175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R259" s="1"/>
      <c r="S259" s="1"/>
      <c r="T259" s="1"/>
      <c r="U259" s="1"/>
      <c r="V259" s="1"/>
      <c r="Y259" s="1"/>
      <c r="Z259" s="2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U259" s="1"/>
      <c r="AW259" s="1"/>
      <c r="AX259" s="1"/>
      <c r="AY259" s="1"/>
      <c r="AZ259" s="1"/>
      <c r="BA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/>
      <c r="EW259" s="1"/>
      <c r="EX259" s="1"/>
      <c r="EY259" s="1"/>
      <c r="EZ259" s="1"/>
      <c r="FA259" s="1"/>
      <c r="FB259" s="1"/>
      <c r="FC259" s="1"/>
      <c r="FD259" s="1"/>
      <c r="FE259" s="1"/>
      <c r="FF259" s="1"/>
      <c r="FG259" s="1"/>
      <c r="FH259" s="1"/>
      <c r="FI259" s="1"/>
      <c r="FJ259" s="1"/>
      <c r="FK259" s="1"/>
      <c r="FL259" s="1"/>
      <c r="FM259" s="1"/>
      <c r="FN259" s="1"/>
      <c r="FO259" s="1"/>
      <c r="FP259" s="1"/>
      <c r="FQ259" s="1"/>
      <c r="FR259" s="2"/>
      <c r="FS259" s="1"/>
    </row>
    <row r="260" spans="1:175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R260" s="1"/>
      <c r="S260" s="1"/>
      <c r="T260" s="1"/>
      <c r="U260" s="1"/>
      <c r="V260" s="1"/>
      <c r="Y260" s="1"/>
      <c r="Z260" s="2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U260" s="1"/>
      <c r="AW260" s="1"/>
      <c r="AX260" s="1"/>
      <c r="AY260" s="1"/>
      <c r="AZ260" s="1"/>
      <c r="BA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/>
      <c r="EW260" s="1"/>
      <c r="EX260" s="1"/>
      <c r="EY260" s="1"/>
      <c r="EZ260" s="1"/>
      <c r="FA260" s="1"/>
      <c r="FB260" s="1"/>
      <c r="FC260" s="1"/>
      <c r="FD260" s="1"/>
      <c r="FE260" s="1"/>
      <c r="FF260" s="1"/>
      <c r="FG260" s="1"/>
      <c r="FH260" s="1"/>
      <c r="FI260" s="1"/>
      <c r="FJ260" s="1"/>
      <c r="FK260" s="1"/>
      <c r="FL260" s="1"/>
      <c r="FM260" s="1"/>
      <c r="FN260" s="1"/>
      <c r="FO260" s="1"/>
      <c r="FP260" s="1"/>
      <c r="FQ260" s="1"/>
      <c r="FR260" s="2"/>
      <c r="FS260" s="1"/>
    </row>
    <row r="261" spans="1:175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R261" s="1"/>
      <c r="S261" s="1"/>
      <c r="T261" s="1"/>
      <c r="U261" s="1"/>
      <c r="V261" s="1"/>
      <c r="Y261" s="1"/>
      <c r="Z261" s="2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U261" s="1"/>
      <c r="AW261" s="1"/>
      <c r="AX261" s="1"/>
      <c r="AY261" s="1"/>
      <c r="AZ261" s="1"/>
      <c r="BA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/>
      <c r="EW261" s="1"/>
      <c r="EX261" s="1"/>
      <c r="EY261" s="1"/>
      <c r="EZ261" s="1"/>
      <c r="FA261" s="1"/>
      <c r="FB261" s="1"/>
      <c r="FC261" s="1"/>
      <c r="FD261" s="1"/>
      <c r="FE261" s="1"/>
      <c r="FF261" s="1"/>
      <c r="FG261" s="1"/>
      <c r="FH261" s="1"/>
      <c r="FI261" s="1"/>
      <c r="FJ261" s="1"/>
      <c r="FK261" s="1"/>
      <c r="FL261" s="1"/>
      <c r="FM261" s="1"/>
      <c r="FN261" s="1"/>
      <c r="FO261" s="1"/>
      <c r="FP261" s="1"/>
      <c r="FQ261" s="1"/>
      <c r="FR261" s="2"/>
      <c r="FS261" s="1"/>
    </row>
    <row r="262" spans="1:175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R262" s="1"/>
      <c r="S262" s="1"/>
      <c r="T262" s="1"/>
      <c r="U262" s="1"/>
      <c r="V262" s="1"/>
      <c r="Y262" s="1"/>
      <c r="Z262" s="2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U262" s="1"/>
      <c r="AW262" s="1"/>
      <c r="AX262" s="1"/>
      <c r="AY262" s="1"/>
      <c r="AZ262" s="1"/>
      <c r="BA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/>
      <c r="ER262" s="1"/>
      <c r="ES262" s="1"/>
      <c r="ET262" s="1"/>
      <c r="EU262" s="1"/>
      <c r="EV262" s="1"/>
      <c r="EW262" s="1"/>
      <c r="EX262" s="1"/>
      <c r="EY262" s="1"/>
      <c r="EZ262" s="1"/>
      <c r="FA262" s="1"/>
      <c r="FB262" s="1"/>
      <c r="FC262" s="1"/>
      <c r="FD262" s="1"/>
      <c r="FE262" s="1"/>
      <c r="FF262" s="1"/>
      <c r="FG262" s="1"/>
      <c r="FH262" s="1"/>
      <c r="FI262" s="1"/>
      <c r="FJ262" s="1"/>
      <c r="FK262" s="1"/>
      <c r="FL262" s="1"/>
      <c r="FM262" s="1"/>
      <c r="FN262" s="1"/>
      <c r="FO262" s="1"/>
      <c r="FP262" s="1"/>
      <c r="FQ262" s="1"/>
      <c r="FR262" s="2"/>
      <c r="FS262" s="1"/>
    </row>
    <row r="263" spans="1:175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R263" s="1"/>
      <c r="S263" s="1"/>
      <c r="T263" s="1"/>
      <c r="U263" s="1"/>
      <c r="V263" s="1"/>
      <c r="Y263" s="1"/>
      <c r="Z263" s="2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U263" s="1"/>
      <c r="AW263" s="1"/>
      <c r="AX263" s="1"/>
      <c r="AY263" s="1"/>
      <c r="AZ263" s="1"/>
      <c r="BA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EV263" s="1"/>
      <c r="EW263" s="1"/>
      <c r="EX263" s="1"/>
      <c r="EY263" s="1"/>
      <c r="EZ263" s="1"/>
      <c r="FA263" s="1"/>
      <c r="FB263" s="1"/>
      <c r="FC263" s="1"/>
      <c r="FD263" s="1"/>
      <c r="FE263" s="1"/>
      <c r="FF263" s="1"/>
      <c r="FG263" s="1"/>
      <c r="FH263" s="1"/>
      <c r="FI263" s="1"/>
      <c r="FJ263" s="1"/>
      <c r="FK263" s="1"/>
      <c r="FL263" s="1"/>
      <c r="FM263" s="1"/>
      <c r="FN263" s="1"/>
      <c r="FO263" s="1"/>
      <c r="FP263" s="1"/>
      <c r="FQ263" s="1"/>
      <c r="FR263" s="2"/>
      <c r="FS263" s="1"/>
    </row>
    <row r="264" spans="1:175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R264" s="1"/>
      <c r="S264" s="1"/>
      <c r="T264" s="1"/>
      <c r="U264" s="1"/>
      <c r="V264" s="1"/>
      <c r="Y264" s="1"/>
      <c r="Z264" s="2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U264" s="1"/>
      <c r="AW264" s="1"/>
      <c r="AX264" s="1"/>
      <c r="AY264" s="1"/>
      <c r="AZ264" s="1"/>
      <c r="BA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1"/>
      <c r="EW264" s="1"/>
      <c r="EX264" s="1"/>
      <c r="EY264" s="1"/>
      <c r="EZ264" s="1"/>
      <c r="FA264" s="1"/>
      <c r="FB264" s="1"/>
      <c r="FC264" s="1"/>
      <c r="FD264" s="1"/>
      <c r="FE264" s="1"/>
      <c r="FF264" s="1"/>
      <c r="FG264" s="1"/>
      <c r="FH264" s="1"/>
      <c r="FI264" s="1"/>
      <c r="FJ264" s="1"/>
      <c r="FK264" s="1"/>
      <c r="FL264" s="1"/>
      <c r="FM264" s="1"/>
      <c r="FN264" s="1"/>
      <c r="FO264" s="1"/>
      <c r="FP264" s="1"/>
      <c r="FQ264" s="1"/>
      <c r="FR264" s="2"/>
      <c r="FS264" s="1"/>
    </row>
    <row r="265" spans="1:175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R265" s="1"/>
      <c r="S265" s="1"/>
      <c r="T265" s="1"/>
      <c r="U265" s="1"/>
      <c r="V265" s="1"/>
      <c r="Y265" s="1"/>
      <c r="Z265" s="2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U265" s="1"/>
      <c r="AW265" s="1"/>
      <c r="AX265" s="1"/>
      <c r="AY265" s="1"/>
      <c r="AZ265" s="1"/>
      <c r="BA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/>
      <c r="EW265" s="1"/>
      <c r="EX265" s="1"/>
      <c r="EY265" s="1"/>
      <c r="EZ265" s="1"/>
      <c r="FA265" s="1"/>
      <c r="FB265" s="1"/>
      <c r="FC265" s="1"/>
      <c r="FD265" s="1"/>
      <c r="FE265" s="1"/>
      <c r="FF265" s="1"/>
      <c r="FG265" s="1"/>
      <c r="FH265" s="1"/>
      <c r="FI265" s="1"/>
      <c r="FJ265" s="1"/>
      <c r="FK265" s="1"/>
      <c r="FL265" s="1"/>
      <c r="FM265" s="1"/>
      <c r="FN265" s="1"/>
      <c r="FO265" s="1"/>
      <c r="FP265" s="1"/>
      <c r="FQ265" s="1"/>
      <c r="FR265" s="2"/>
      <c r="FS265" s="1"/>
    </row>
    <row r="266" spans="1:175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R266" s="1"/>
      <c r="S266" s="1"/>
      <c r="T266" s="1"/>
      <c r="U266" s="1"/>
      <c r="V266" s="1"/>
      <c r="Y266" s="1"/>
      <c r="Z266" s="2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U266" s="1"/>
      <c r="AW266" s="1"/>
      <c r="AX266" s="1"/>
      <c r="AY266" s="1"/>
      <c r="AZ266" s="1"/>
      <c r="BA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/>
      <c r="ER266" s="1"/>
      <c r="ES266" s="1"/>
      <c r="ET266" s="1"/>
      <c r="EU266" s="1"/>
      <c r="EV266" s="1"/>
      <c r="EW266" s="1"/>
      <c r="EX266" s="1"/>
      <c r="EY266" s="1"/>
      <c r="EZ266" s="1"/>
      <c r="FA266" s="1"/>
      <c r="FB266" s="1"/>
      <c r="FC266" s="1"/>
      <c r="FD266" s="1"/>
      <c r="FE266" s="1"/>
      <c r="FF266" s="1"/>
      <c r="FG266" s="1"/>
      <c r="FH266" s="1"/>
      <c r="FI266" s="1"/>
      <c r="FJ266" s="1"/>
      <c r="FK266" s="1"/>
      <c r="FL266" s="1"/>
      <c r="FM266" s="1"/>
      <c r="FN266" s="1"/>
      <c r="FO266" s="1"/>
      <c r="FP266" s="1"/>
      <c r="FQ266" s="1"/>
      <c r="FR266" s="2"/>
      <c r="FS266" s="1"/>
    </row>
    <row r="267" spans="1:175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R267" s="1"/>
      <c r="S267" s="1"/>
      <c r="T267" s="1"/>
      <c r="U267" s="1"/>
      <c r="V267" s="1"/>
      <c r="Y267" s="1"/>
      <c r="Z267" s="2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U267" s="1"/>
      <c r="AW267" s="1"/>
      <c r="AX267" s="1"/>
      <c r="AY267" s="1"/>
      <c r="AZ267" s="1"/>
      <c r="BA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/>
      <c r="EW267" s="1"/>
      <c r="EX267" s="1"/>
      <c r="EY267" s="1"/>
      <c r="EZ267" s="1"/>
      <c r="FA267" s="1"/>
      <c r="FB267" s="1"/>
      <c r="FC267" s="1"/>
      <c r="FD267" s="1"/>
      <c r="FE267" s="1"/>
      <c r="FF267" s="1"/>
      <c r="FG267" s="1"/>
      <c r="FH267" s="1"/>
      <c r="FI267" s="1"/>
      <c r="FJ267" s="1"/>
      <c r="FK267" s="1"/>
      <c r="FL267" s="1"/>
      <c r="FM267" s="1"/>
      <c r="FN267" s="1"/>
      <c r="FO267" s="1"/>
      <c r="FP267" s="1"/>
      <c r="FQ267" s="1"/>
      <c r="FR267" s="2"/>
      <c r="FS267" s="1"/>
    </row>
    <row r="268" spans="1:175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R268" s="1"/>
      <c r="S268" s="1"/>
      <c r="T268" s="1"/>
      <c r="U268" s="1"/>
      <c r="V268" s="1"/>
      <c r="Y268" s="1"/>
      <c r="Z268" s="2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U268" s="1"/>
      <c r="AW268" s="1"/>
      <c r="AX268" s="1"/>
      <c r="AY268" s="1"/>
      <c r="AZ268" s="1"/>
      <c r="BA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/>
      <c r="EW268" s="1"/>
      <c r="EX268" s="1"/>
      <c r="EY268" s="1"/>
      <c r="EZ268" s="1"/>
      <c r="FA268" s="1"/>
      <c r="FB268" s="1"/>
      <c r="FC268" s="1"/>
      <c r="FD268" s="1"/>
      <c r="FE268" s="1"/>
      <c r="FF268" s="1"/>
      <c r="FG268" s="1"/>
      <c r="FH268" s="1"/>
      <c r="FI268" s="1"/>
      <c r="FJ268" s="1"/>
      <c r="FK268" s="1"/>
      <c r="FL268" s="1"/>
      <c r="FM268" s="1"/>
      <c r="FN268" s="1"/>
      <c r="FO268" s="1"/>
      <c r="FP268" s="1"/>
      <c r="FQ268" s="1"/>
      <c r="FR268" s="2"/>
      <c r="FS268" s="1"/>
    </row>
    <row r="269" spans="1:175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R269" s="1"/>
      <c r="S269" s="1"/>
      <c r="T269" s="1"/>
      <c r="U269" s="1"/>
      <c r="V269" s="1"/>
      <c r="Y269" s="1"/>
      <c r="Z269" s="2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U269" s="1"/>
      <c r="AW269" s="1"/>
      <c r="AX269" s="1"/>
      <c r="AY269" s="1"/>
      <c r="AZ269" s="1"/>
      <c r="BA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EV269" s="1"/>
      <c r="EW269" s="1"/>
      <c r="EX269" s="1"/>
      <c r="EY269" s="1"/>
      <c r="EZ269" s="1"/>
      <c r="FA269" s="1"/>
      <c r="FB269" s="1"/>
      <c r="FC269" s="1"/>
      <c r="FD269" s="1"/>
      <c r="FE269" s="1"/>
      <c r="FF269" s="1"/>
      <c r="FG269" s="1"/>
      <c r="FH269" s="1"/>
      <c r="FI269" s="1"/>
      <c r="FJ269" s="1"/>
      <c r="FK269" s="1"/>
      <c r="FL269" s="1"/>
      <c r="FM269" s="1"/>
      <c r="FN269" s="1"/>
      <c r="FO269" s="1"/>
      <c r="FP269" s="1"/>
      <c r="FQ269" s="1"/>
      <c r="FR269" s="2"/>
      <c r="FS269" s="1"/>
    </row>
    <row r="270" spans="1:175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R270" s="1"/>
      <c r="S270" s="1"/>
      <c r="T270" s="1"/>
      <c r="U270" s="1"/>
      <c r="V270" s="1"/>
      <c r="Y270" s="1"/>
      <c r="Z270" s="2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U270" s="1"/>
      <c r="AW270" s="1"/>
      <c r="AX270" s="1"/>
      <c r="AY270" s="1"/>
      <c r="AZ270" s="1"/>
      <c r="BA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/>
      <c r="EW270" s="1"/>
      <c r="EX270" s="1"/>
      <c r="EY270" s="1"/>
      <c r="EZ270" s="1"/>
      <c r="FA270" s="1"/>
      <c r="FB270" s="1"/>
      <c r="FC270" s="1"/>
      <c r="FD270" s="1"/>
      <c r="FE270" s="1"/>
      <c r="FF270" s="1"/>
      <c r="FG270" s="1"/>
      <c r="FH270" s="1"/>
      <c r="FI270" s="1"/>
      <c r="FJ270" s="1"/>
      <c r="FK270" s="1"/>
      <c r="FL270" s="1"/>
      <c r="FM270" s="1"/>
      <c r="FN270" s="1"/>
      <c r="FO270" s="1"/>
      <c r="FP270" s="1"/>
      <c r="FQ270" s="1"/>
      <c r="FR270" s="2"/>
      <c r="FS270" s="1"/>
    </row>
    <row r="271" spans="1:175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R271" s="1"/>
      <c r="S271" s="1"/>
      <c r="T271" s="1"/>
      <c r="U271" s="1"/>
      <c r="V271" s="1"/>
      <c r="Y271" s="1"/>
      <c r="Z271" s="2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U271" s="1"/>
      <c r="AW271" s="1"/>
      <c r="AX271" s="1"/>
      <c r="AY271" s="1"/>
      <c r="AZ271" s="1"/>
      <c r="BA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1"/>
      <c r="EW271" s="1"/>
      <c r="EX271" s="1"/>
      <c r="EY271" s="1"/>
      <c r="EZ271" s="1"/>
      <c r="FA271" s="1"/>
      <c r="FB271" s="1"/>
      <c r="FC271" s="1"/>
      <c r="FD271" s="1"/>
      <c r="FE271" s="1"/>
      <c r="FF271" s="1"/>
      <c r="FG271" s="1"/>
      <c r="FH271" s="1"/>
      <c r="FI271" s="1"/>
      <c r="FJ271" s="1"/>
      <c r="FK271" s="1"/>
      <c r="FL271" s="1"/>
      <c r="FM271" s="1"/>
      <c r="FN271" s="1"/>
      <c r="FO271" s="1"/>
      <c r="FP271" s="1"/>
      <c r="FQ271" s="1"/>
      <c r="FR271" s="2"/>
      <c r="FS271" s="1"/>
    </row>
    <row r="272" spans="1:175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R272" s="1"/>
      <c r="S272" s="1"/>
      <c r="T272" s="1"/>
      <c r="U272" s="1"/>
      <c r="V272" s="1"/>
      <c r="Y272" s="1"/>
      <c r="Z272" s="2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U272" s="1"/>
      <c r="AW272" s="1"/>
      <c r="AX272" s="1"/>
      <c r="AY272" s="1"/>
      <c r="AZ272" s="1"/>
      <c r="BA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  <c r="ER272" s="1"/>
      <c r="ES272" s="1"/>
      <c r="ET272" s="1"/>
      <c r="EU272" s="1"/>
      <c r="EV272" s="1"/>
      <c r="EW272" s="1"/>
      <c r="EX272" s="1"/>
      <c r="EY272" s="1"/>
      <c r="EZ272" s="1"/>
      <c r="FA272" s="1"/>
      <c r="FB272" s="1"/>
      <c r="FC272" s="1"/>
      <c r="FD272" s="1"/>
      <c r="FE272" s="1"/>
      <c r="FF272" s="1"/>
      <c r="FG272" s="1"/>
      <c r="FH272" s="1"/>
      <c r="FI272" s="1"/>
      <c r="FJ272" s="1"/>
      <c r="FK272" s="1"/>
      <c r="FL272" s="1"/>
      <c r="FM272" s="1"/>
      <c r="FN272" s="1"/>
      <c r="FO272" s="1"/>
      <c r="FP272" s="1"/>
      <c r="FQ272" s="1"/>
      <c r="FR272" s="2"/>
      <c r="FS272" s="1"/>
    </row>
    <row r="273" spans="1:175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R273" s="1"/>
      <c r="S273" s="1"/>
      <c r="T273" s="1"/>
      <c r="U273" s="1"/>
      <c r="V273" s="1"/>
      <c r="Y273" s="1"/>
      <c r="Z273" s="2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U273" s="1"/>
      <c r="AW273" s="1"/>
      <c r="AX273" s="1"/>
      <c r="AY273" s="1"/>
      <c r="AZ273" s="1"/>
      <c r="BA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/>
      <c r="EW273" s="1"/>
      <c r="EX273" s="1"/>
      <c r="EY273" s="1"/>
      <c r="EZ273" s="1"/>
      <c r="FA273" s="1"/>
      <c r="FB273" s="1"/>
      <c r="FC273" s="1"/>
      <c r="FD273" s="1"/>
      <c r="FE273" s="1"/>
      <c r="FF273" s="1"/>
      <c r="FG273" s="1"/>
      <c r="FH273" s="1"/>
      <c r="FI273" s="1"/>
      <c r="FJ273" s="1"/>
      <c r="FK273" s="1"/>
      <c r="FL273" s="1"/>
      <c r="FM273" s="1"/>
      <c r="FN273" s="1"/>
      <c r="FO273" s="1"/>
      <c r="FP273" s="1"/>
      <c r="FQ273" s="1"/>
      <c r="FR273" s="2"/>
      <c r="FS273" s="1"/>
    </row>
    <row r="274" spans="1:175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R274" s="1"/>
      <c r="S274" s="1"/>
      <c r="T274" s="1"/>
      <c r="U274" s="1"/>
      <c r="V274" s="1"/>
      <c r="Y274" s="1"/>
      <c r="Z274" s="2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U274" s="1"/>
      <c r="AW274" s="1"/>
      <c r="AX274" s="1"/>
      <c r="AY274" s="1"/>
      <c r="AZ274" s="1"/>
      <c r="BA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s="1"/>
      <c r="EW274" s="1"/>
      <c r="EX274" s="1"/>
      <c r="EY274" s="1"/>
      <c r="EZ274" s="1"/>
      <c r="FA274" s="1"/>
      <c r="FB274" s="1"/>
      <c r="FC274" s="1"/>
      <c r="FD274" s="1"/>
      <c r="FE274" s="1"/>
      <c r="FF274" s="1"/>
      <c r="FG274" s="1"/>
      <c r="FH274" s="1"/>
      <c r="FI274" s="1"/>
      <c r="FJ274" s="1"/>
      <c r="FK274" s="1"/>
      <c r="FL274" s="1"/>
      <c r="FM274" s="1"/>
      <c r="FN274" s="1"/>
      <c r="FO274" s="1"/>
      <c r="FP274" s="1"/>
      <c r="FQ274" s="1"/>
      <c r="FR274" s="2"/>
      <c r="FS274" s="1"/>
    </row>
    <row r="275" spans="1:175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R275" s="1"/>
      <c r="S275" s="1"/>
      <c r="T275" s="1"/>
      <c r="U275" s="1"/>
      <c r="V275" s="1"/>
      <c r="Y275" s="1"/>
      <c r="Z275" s="2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U275" s="1"/>
      <c r="AW275" s="1"/>
      <c r="AX275" s="1"/>
      <c r="AY275" s="1"/>
      <c r="AZ275" s="1"/>
      <c r="BA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EV275" s="1"/>
      <c r="EW275" s="1"/>
      <c r="EX275" s="1"/>
      <c r="EY275" s="1"/>
      <c r="EZ275" s="1"/>
      <c r="FA275" s="1"/>
      <c r="FB275" s="1"/>
      <c r="FC275" s="1"/>
      <c r="FD275" s="1"/>
      <c r="FE275" s="1"/>
      <c r="FF275" s="1"/>
      <c r="FG275" s="1"/>
      <c r="FH275" s="1"/>
      <c r="FI275" s="1"/>
      <c r="FJ275" s="1"/>
      <c r="FK275" s="1"/>
      <c r="FL275" s="1"/>
      <c r="FM275" s="1"/>
      <c r="FN275" s="1"/>
      <c r="FO275" s="1"/>
      <c r="FP275" s="1"/>
      <c r="FQ275" s="1"/>
      <c r="FR275" s="2"/>
      <c r="FS275" s="1"/>
    </row>
    <row r="276" spans="1:175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R276" s="1"/>
      <c r="S276" s="1"/>
      <c r="T276" s="1"/>
      <c r="U276" s="1"/>
      <c r="V276" s="1"/>
      <c r="Y276" s="1"/>
      <c r="Z276" s="2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U276" s="1"/>
      <c r="AW276" s="1"/>
      <c r="AX276" s="1"/>
      <c r="AY276" s="1"/>
      <c r="AZ276" s="1"/>
      <c r="BA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/>
      <c r="EW276" s="1"/>
      <c r="EX276" s="1"/>
      <c r="EY276" s="1"/>
      <c r="EZ276" s="1"/>
      <c r="FA276" s="1"/>
      <c r="FB276" s="1"/>
      <c r="FC276" s="1"/>
      <c r="FD276" s="1"/>
      <c r="FE276" s="1"/>
      <c r="FF276" s="1"/>
      <c r="FG276" s="1"/>
      <c r="FH276" s="1"/>
      <c r="FI276" s="1"/>
      <c r="FJ276" s="1"/>
      <c r="FK276" s="1"/>
      <c r="FL276" s="1"/>
      <c r="FM276" s="1"/>
      <c r="FN276" s="1"/>
      <c r="FO276" s="1"/>
      <c r="FP276" s="1"/>
      <c r="FQ276" s="1"/>
      <c r="FR276" s="2"/>
      <c r="FS276" s="1"/>
    </row>
    <row r="277" spans="1:175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R277" s="1"/>
      <c r="S277" s="1"/>
      <c r="T277" s="1"/>
      <c r="U277" s="1"/>
      <c r="V277" s="1"/>
      <c r="Y277" s="1"/>
      <c r="Z277" s="2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U277" s="1"/>
      <c r="AW277" s="1"/>
      <c r="AX277" s="1"/>
      <c r="AY277" s="1"/>
      <c r="AZ277" s="1"/>
      <c r="BA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/>
      <c r="EW277" s="1"/>
      <c r="EX277" s="1"/>
      <c r="EY277" s="1"/>
      <c r="EZ277" s="1"/>
      <c r="FA277" s="1"/>
      <c r="FB277" s="1"/>
      <c r="FC277" s="1"/>
      <c r="FD277" s="1"/>
      <c r="FE277" s="1"/>
      <c r="FF277" s="1"/>
      <c r="FG277" s="1"/>
      <c r="FH277" s="1"/>
      <c r="FI277" s="1"/>
      <c r="FJ277" s="1"/>
      <c r="FK277" s="1"/>
      <c r="FL277" s="1"/>
      <c r="FM277" s="1"/>
      <c r="FN277" s="1"/>
      <c r="FO277" s="1"/>
      <c r="FP277" s="1"/>
      <c r="FQ277" s="1"/>
      <c r="FR277" s="2"/>
      <c r="FS277" s="1"/>
    </row>
    <row r="278" spans="1:175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R278" s="1"/>
      <c r="S278" s="1"/>
      <c r="T278" s="1"/>
      <c r="U278" s="1"/>
      <c r="V278" s="1"/>
      <c r="Y278" s="1"/>
      <c r="Z278" s="2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U278" s="1"/>
      <c r="AW278" s="1"/>
      <c r="AX278" s="1"/>
      <c r="AY278" s="1"/>
      <c r="AZ278" s="1"/>
      <c r="BA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/>
      <c r="EW278" s="1"/>
      <c r="EX278" s="1"/>
      <c r="EY278" s="1"/>
      <c r="EZ278" s="1"/>
      <c r="FA278" s="1"/>
      <c r="FB278" s="1"/>
      <c r="FC278" s="1"/>
      <c r="FD278" s="1"/>
      <c r="FE278" s="1"/>
      <c r="FF278" s="1"/>
      <c r="FG278" s="1"/>
      <c r="FH278" s="1"/>
      <c r="FI278" s="1"/>
      <c r="FJ278" s="1"/>
      <c r="FK278" s="1"/>
      <c r="FL278" s="1"/>
      <c r="FM278" s="1"/>
      <c r="FN278" s="1"/>
      <c r="FO278" s="1"/>
      <c r="FP278" s="1"/>
      <c r="FQ278" s="1"/>
      <c r="FR278" s="2"/>
      <c r="FS278" s="1"/>
    </row>
    <row r="279" spans="1:175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R279" s="1"/>
      <c r="S279" s="1"/>
      <c r="T279" s="1"/>
      <c r="U279" s="1"/>
      <c r="V279" s="1"/>
      <c r="Y279" s="1"/>
      <c r="Z279" s="2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U279" s="1"/>
      <c r="AW279" s="1"/>
      <c r="AX279" s="1"/>
      <c r="AY279" s="1"/>
      <c r="AZ279" s="1"/>
      <c r="BA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/>
      <c r="EW279" s="1"/>
      <c r="EX279" s="1"/>
      <c r="EY279" s="1"/>
      <c r="EZ279" s="1"/>
      <c r="FA279" s="1"/>
      <c r="FB279" s="1"/>
      <c r="FC279" s="1"/>
      <c r="FD279" s="1"/>
      <c r="FE279" s="1"/>
      <c r="FF279" s="1"/>
      <c r="FG279" s="1"/>
      <c r="FH279" s="1"/>
      <c r="FI279" s="1"/>
      <c r="FJ279" s="1"/>
      <c r="FK279" s="1"/>
      <c r="FL279" s="1"/>
      <c r="FM279" s="1"/>
      <c r="FN279" s="1"/>
      <c r="FO279" s="1"/>
      <c r="FP279" s="1"/>
      <c r="FQ279" s="1"/>
      <c r="FR279" s="2"/>
      <c r="FS279" s="1"/>
    </row>
    <row r="280" spans="1:175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R280" s="1"/>
      <c r="S280" s="1"/>
      <c r="T280" s="1"/>
      <c r="U280" s="1"/>
      <c r="V280" s="1"/>
      <c r="Y280" s="1"/>
      <c r="Z280" s="2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U280" s="1"/>
      <c r="AW280" s="1"/>
      <c r="AX280" s="1"/>
      <c r="AY280" s="1"/>
      <c r="AZ280" s="1"/>
      <c r="BA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/>
      <c r="EW280" s="1"/>
      <c r="EX280" s="1"/>
      <c r="EY280" s="1"/>
      <c r="EZ280" s="1"/>
      <c r="FA280" s="1"/>
      <c r="FB280" s="1"/>
      <c r="FC280" s="1"/>
      <c r="FD280" s="1"/>
      <c r="FE280" s="1"/>
      <c r="FF280" s="1"/>
      <c r="FG280" s="1"/>
      <c r="FH280" s="1"/>
      <c r="FI280" s="1"/>
      <c r="FJ280" s="1"/>
      <c r="FK280" s="1"/>
      <c r="FL280" s="1"/>
      <c r="FM280" s="1"/>
      <c r="FN280" s="1"/>
      <c r="FO280" s="1"/>
      <c r="FP280" s="1"/>
      <c r="FQ280" s="1"/>
      <c r="FR280" s="2"/>
      <c r="FS280" s="1"/>
    </row>
    <row r="281" spans="1:175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R281" s="1"/>
      <c r="S281" s="1"/>
      <c r="T281" s="1"/>
      <c r="U281" s="1"/>
      <c r="V281" s="1"/>
      <c r="Y281" s="1"/>
      <c r="Z281" s="2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U281" s="1"/>
      <c r="AW281" s="1"/>
      <c r="AX281" s="1"/>
      <c r="AY281" s="1"/>
      <c r="AZ281" s="1"/>
      <c r="BA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/>
      <c r="EW281" s="1"/>
      <c r="EX281" s="1"/>
      <c r="EY281" s="1"/>
      <c r="EZ281" s="1"/>
      <c r="FA281" s="1"/>
      <c r="FB281" s="1"/>
      <c r="FC281" s="1"/>
      <c r="FD281" s="1"/>
      <c r="FE281" s="1"/>
      <c r="FF281" s="1"/>
      <c r="FG281" s="1"/>
      <c r="FH281" s="1"/>
      <c r="FI281" s="1"/>
      <c r="FJ281" s="1"/>
      <c r="FK281" s="1"/>
      <c r="FL281" s="1"/>
      <c r="FM281" s="1"/>
      <c r="FN281" s="1"/>
      <c r="FO281" s="1"/>
      <c r="FP281" s="1"/>
      <c r="FQ281" s="1"/>
      <c r="FR281" s="2"/>
      <c r="FS281" s="1"/>
    </row>
    <row r="282" spans="1:175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R282" s="1"/>
      <c r="S282" s="1"/>
      <c r="T282" s="1"/>
      <c r="U282" s="1"/>
      <c r="V282" s="1"/>
      <c r="Y282" s="1"/>
      <c r="Z282" s="2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U282" s="1"/>
      <c r="AW282" s="1"/>
      <c r="AX282" s="1"/>
      <c r="AY282" s="1"/>
      <c r="AZ282" s="1"/>
      <c r="BA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/>
      <c r="EW282" s="1"/>
      <c r="EX282" s="1"/>
      <c r="EY282" s="1"/>
      <c r="EZ282" s="1"/>
      <c r="FA282" s="1"/>
      <c r="FB282" s="1"/>
      <c r="FC282" s="1"/>
      <c r="FD282" s="1"/>
      <c r="FE282" s="1"/>
      <c r="FF282" s="1"/>
      <c r="FG282" s="1"/>
      <c r="FH282" s="1"/>
      <c r="FI282" s="1"/>
      <c r="FJ282" s="1"/>
      <c r="FK282" s="1"/>
      <c r="FL282" s="1"/>
      <c r="FM282" s="1"/>
      <c r="FN282" s="1"/>
      <c r="FO282" s="1"/>
      <c r="FP282" s="1"/>
      <c r="FQ282" s="1"/>
      <c r="FR282" s="2"/>
      <c r="FS282" s="1"/>
    </row>
    <row r="283" spans="1:175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R283" s="1"/>
      <c r="S283" s="1"/>
      <c r="T283" s="1"/>
      <c r="U283" s="1"/>
      <c r="V283" s="1"/>
      <c r="Y283" s="1"/>
      <c r="Z283" s="2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U283" s="1"/>
      <c r="AW283" s="1"/>
      <c r="AX283" s="1"/>
      <c r="AY283" s="1"/>
      <c r="AZ283" s="1"/>
      <c r="BA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/>
      <c r="EW283" s="1"/>
      <c r="EX283" s="1"/>
      <c r="EY283" s="1"/>
      <c r="EZ283" s="1"/>
      <c r="FA283" s="1"/>
      <c r="FB283" s="1"/>
      <c r="FC283" s="1"/>
      <c r="FD283" s="1"/>
      <c r="FE283" s="1"/>
      <c r="FF283" s="1"/>
      <c r="FG283" s="1"/>
      <c r="FH283" s="1"/>
      <c r="FI283" s="1"/>
      <c r="FJ283" s="1"/>
      <c r="FK283" s="1"/>
      <c r="FL283" s="1"/>
      <c r="FM283" s="1"/>
      <c r="FN283" s="1"/>
      <c r="FO283" s="1"/>
      <c r="FP283" s="1"/>
      <c r="FQ283" s="1"/>
      <c r="FR283" s="2"/>
      <c r="FS283" s="1"/>
    </row>
    <row r="284" spans="1:175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R284" s="1"/>
      <c r="S284" s="1"/>
      <c r="T284" s="1"/>
      <c r="U284" s="1"/>
      <c r="V284" s="1"/>
      <c r="Y284" s="1"/>
      <c r="Z284" s="2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U284" s="1"/>
      <c r="AW284" s="1"/>
      <c r="AX284" s="1"/>
      <c r="AY284" s="1"/>
      <c r="AZ284" s="1"/>
      <c r="BA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/>
      <c r="EW284" s="1"/>
      <c r="EX284" s="1"/>
      <c r="EY284" s="1"/>
      <c r="EZ284" s="1"/>
      <c r="FA284" s="1"/>
      <c r="FB284" s="1"/>
      <c r="FC284" s="1"/>
      <c r="FD284" s="1"/>
      <c r="FE284" s="1"/>
      <c r="FF284" s="1"/>
      <c r="FG284" s="1"/>
      <c r="FH284" s="1"/>
      <c r="FI284" s="1"/>
      <c r="FJ284" s="1"/>
      <c r="FK284" s="1"/>
      <c r="FL284" s="1"/>
      <c r="FM284" s="1"/>
      <c r="FN284" s="1"/>
      <c r="FO284" s="1"/>
      <c r="FP284" s="1"/>
      <c r="FQ284" s="1"/>
      <c r="FR284" s="2"/>
      <c r="FS284" s="1"/>
    </row>
    <row r="285" spans="1:175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R285" s="1"/>
      <c r="S285" s="1"/>
      <c r="T285" s="1"/>
      <c r="U285" s="1"/>
      <c r="V285" s="1"/>
      <c r="Y285" s="1"/>
      <c r="Z285" s="2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U285" s="1"/>
      <c r="AW285" s="1"/>
      <c r="AX285" s="1"/>
      <c r="AY285" s="1"/>
      <c r="AZ285" s="1"/>
      <c r="BA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/>
      <c r="EW285" s="1"/>
      <c r="EX285" s="1"/>
      <c r="EY285" s="1"/>
      <c r="EZ285" s="1"/>
      <c r="FA285" s="1"/>
      <c r="FB285" s="1"/>
      <c r="FC285" s="1"/>
      <c r="FD285" s="1"/>
      <c r="FE285" s="1"/>
      <c r="FF285" s="1"/>
      <c r="FG285" s="1"/>
      <c r="FH285" s="1"/>
      <c r="FI285" s="1"/>
      <c r="FJ285" s="1"/>
      <c r="FK285" s="1"/>
      <c r="FL285" s="1"/>
      <c r="FM285" s="1"/>
      <c r="FN285" s="1"/>
      <c r="FO285" s="1"/>
      <c r="FP285" s="1"/>
      <c r="FQ285" s="1"/>
      <c r="FR285" s="2"/>
      <c r="FS285" s="1"/>
    </row>
    <row r="286" spans="1:175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R286" s="1"/>
      <c r="S286" s="1"/>
      <c r="T286" s="1"/>
      <c r="U286" s="1"/>
      <c r="V286" s="1"/>
      <c r="Y286" s="1"/>
      <c r="Z286" s="2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U286" s="1"/>
      <c r="AW286" s="1"/>
      <c r="AX286" s="1"/>
      <c r="AY286" s="1"/>
      <c r="AZ286" s="1"/>
      <c r="BA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/>
      <c r="EW286" s="1"/>
      <c r="EX286" s="1"/>
      <c r="EY286" s="1"/>
      <c r="EZ286" s="1"/>
      <c r="FA286" s="1"/>
      <c r="FB286" s="1"/>
      <c r="FC286" s="1"/>
      <c r="FD286" s="1"/>
      <c r="FE286" s="1"/>
      <c r="FF286" s="1"/>
      <c r="FG286" s="1"/>
      <c r="FH286" s="1"/>
      <c r="FI286" s="1"/>
      <c r="FJ286" s="1"/>
      <c r="FK286" s="1"/>
      <c r="FL286" s="1"/>
      <c r="FM286" s="1"/>
      <c r="FN286" s="1"/>
      <c r="FO286" s="1"/>
      <c r="FP286" s="1"/>
      <c r="FQ286" s="1"/>
      <c r="FR286" s="2"/>
      <c r="FS286" s="1"/>
    </row>
    <row r="287" spans="1:175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R287" s="1"/>
      <c r="S287" s="1"/>
      <c r="T287" s="1"/>
      <c r="U287" s="1"/>
      <c r="V287" s="1"/>
      <c r="Y287" s="1"/>
      <c r="Z287" s="2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U287" s="1"/>
      <c r="AW287" s="1"/>
      <c r="AX287" s="1"/>
      <c r="AY287" s="1"/>
      <c r="AZ287" s="1"/>
      <c r="BA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1"/>
      <c r="EW287" s="1"/>
      <c r="EX287" s="1"/>
      <c r="EY287" s="1"/>
      <c r="EZ287" s="1"/>
      <c r="FA287" s="1"/>
      <c r="FB287" s="1"/>
      <c r="FC287" s="1"/>
      <c r="FD287" s="1"/>
      <c r="FE287" s="1"/>
      <c r="FF287" s="1"/>
      <c r="FG287" s="1"/>
      <c r="FH287" s="1"/>
      <c r="FI287" s="1"/>
      <c r="FJ287" s="1"/>
      <c r="FK287" s="1"/>
      <c r="FL287" s="1"/>
      <c r="FM287" s="1"/>
      <c r="FN287" s="1"/>
      <c r="FO287" s="1"/>
      <c r="FP287" s="1"/>
      <c r="FQ287" s="1"/>
      <c r="FR287" s="2"/>
      <c r="FS287" s="1"/>
    </row>
    <row r="288" spans="1:175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R288" s="1"/>
      <c r="S288" s="1"/>
      <c r="T288" s="1"/>
      <c r="U288" s="1"/>
      <c r="V288" s="1"/>
      <c r="Y288" s="1"/>
      <c r="Z288" s="2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U288" s="1"/>
      <c r="AW288" s="1"/>
      <c r="AX288" s="1"/>
      <c r="AY288" s="1"/>
      <c r="AZ288" s="1"/>
      <c r="BA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/>
      <c r="EW288" s="1"/>
      <c r="EX288" s="1"/>
      <c r="EY288" s="1"/>
      <c r="EZ288" s="1"/>
      <c r="FA288" s="1"/>
      <c r="FB288" s="1"/>
      <c r="FC288" s="1"/>
      <c r="FD288" s="1"/>
      <c r="FE288" s="1"/>
      <c r="FF288" s="1"/>
      <c r="FG288" s="1"/>
      <c r="FH288" s="1"/>
      <c r="FI288" s="1"/>
      <c r="FJ288" s="1"/>
      <c r="FK288" s="1"/>
      <c r="FL288" s="1"/>
      <c r="FM288" s="1"/>
      <c r="FN288" s="1"/>
      <c r="FO288" s="1"/>
      <c r="FP288" s="1"/>
      <c r="FQ288" s="1"/>
      <c r="FR288" s="2"/>
      <c r="FS288" s="1"/>
    </row>
    <row r="289" spans="1:175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R289" s="1"/>
      <c r="S289" s="1"/>
      <c r="T289" s="1"/>
      <c r="U289" s="1"/>
      <c r="V289" s="1"/>
      <c r="Y289" s="1"/>
      <c r="Z289" s="2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U289" s="1"/>
      <c r="AW289" s="1"/>
      <c r="AX289" s="1"/>
      <c r="AY289" s="1"/>
      <c r="AZ289" s="1"/>
      <c r="BA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/>
      <c r="EW289" s="1"/>
      <c r="EX289" s="1"/>
      <c r="EY289" s="1"/>
      <c r="EZ289" s="1"/>
      <c r="FA289" s="1"/>
      <c r="FB289" s="1"/>
      <c r="FC289" s="1"/>
      <c r="FD289" s="1"/>
      <c r="FE289" s="1"/>
      <c r="FF289" s="1"/>
      <c r="FG289" s="1"/>
      <c r="FH289" s="1"/>
      <c r="FI289" s="1"/>
      <c r="FJ289" s="1"/>
      <c r="FK289" s="1"/>
      <c r="FL289" s="1"/>
      <c r="FM289" s="1"/>
      <c r="FN289" s="1"/>
      <c r="FO289" s="1"/>
      <c r="FP289" s="1"/>
      <c r="FQ289" s="1"/>
      <c r="FR289" s="2"/>
      <c r="FS289" s="1"/>
    </row>
    <row r="290" spans="1:175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R290" s="1"/>
      <c r="S290" s="1"/>
      <c r="T290" s="1"/>
      <c r="U290" s="1"/>
      <c r="V290" s="1"/>
      <c r="Y290" s="1"/>
      <c r="Z290" s="2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U290" s="1"/>
      <c r="AW290" s="1"/>
      <c r="AX290" s="1"/>
      <c r="AY290" s="1"/>
      <c r="AZ290" s="1"/>
      <c r="BA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/>
      <c r="EW290" s="1"/>
      <c r="EX290" s="1"/>
      <c r="EY290" s="1"/>
      <c r="EZ290" s="1"/>
      <c r="FA290" s="1"/>
      <c r="FB290" s="1"/>
      <c r="FC290" s="1"/>
      <c r="FD290" s="1"/>
      <c r="FE290" s="1"/>
      <c r="FF290" s="1"/>
      <c r="FG290" s="1"/>
      <c r="FH290" s="1"/>
      <c r="FI290" s="1"/>
      <c r="FJ290" s="1"/>
      <c r="FK290" s="1"/>
      <c r="FL290" s="1"/>
      <c r="FM290" s="1"/>
      <c r="FN290" s="1"/>
      <c r="FO290" s="1"/>
      <c r="FP290" s="1"/>
      <c r="FQ290" s="1"/>
      <c r="FR290" s="2"/>
      <c r="FS290" s="1"/>
    </row>
    <row r="291" spans="1:175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R291" s="1"/>
      <c r="S291" s="1"/>
      <c r="T291" s="1"/>
      <c r="U291" s="1"/>
      <c r="V291" s="1"/>
      <c r="Y291" s="1"/>
      <c r="Z291" s="2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U291" s="1"/>
      <c r="AW291" s="1"/>
      <c r="AX291" s="1"/>
      <c r="AY291" s="1"/>
      <c r="AZ291" s="1"/>
      <c r="BA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  <c r="EQ291" s="1"/>
      <c r="ER291" s="1"/>
      <c r="ES291" s="1"/>
      <c r="ET291" s="1"/>
      <c r="EU291" s="1"/>
      <c r="EV291" s="1"/>
      <c r="EW291" s="1"/>
      <c r="EX291" s="1"/>
      <c r="EY291" s="1"/>
      <c r="EZ291" s="1"/>
      <c r="FA291" s="1"/>
      <c r="FB291" s="1"/>
      <c r="FC291" s="1"/>
      <c r="FD291" s="1"/>
      <c r="FE291" s="1"/>
      <c r="FF291" s="1"/>
      <c r="FG291" s="1"/>
      <c r="FH291" s="1"/>
      <c r="FI291" s="1"/>
      <c r="FJ291" s="1"/>
      <c r="FK291" s="1"/>
      <c r="FL291" s="1"/>
      <c r="FM291" s="1"/>
      <c r="FN291" s="1"/>
      <c r="FO291" s="1"/>
      <c r="FP291" s="1"/>
      <c r="FQ291" s="1"/>
      <c r="FR291" s="2"/>
      <c r="FS291" s="1"/>
    </row>
    <row r="292" spans="1:175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R292" s="1"/>
      <c r="S292" s="1"/>
      <c r="T292" s="1"/>
      <c r="U292" s="1"/>
      <c r="V292" s="1"/>
      <c r="Y292" s="1"/>
      <c r="Z292" s="2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U292" s="1"/>
      <c r="AW292" s="1"/>
      <c r="AX292" s="1"/>
      <c r="AY292" s="1"/>
      <c r="AZ292" s="1"/>
      <c r="BA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  <c r="ER292" s="1"/>
      <c r="ES292" s="1"/>
      <c r="ET292" s="1"/>
      <c r="EU292" s="1"/>
      <c r="EV292" s="1"/>
      <c r="EW292" s="1"/>
      <c r="EX292" s="1"/>
      <c r="EY292" s="1"/>
      <c r="EZ292" s="1"/>
      <c r="FA292" s="1"/>
      <c r="FB292" s="1"/>
      <c r="FC292" s="1"/>
      <c r="FD292" s="1"/>
      <c r="FE292" s="1"/>
      <c r="FF292" s="1"/>
      <c r="FG292" s="1"/>
      <c r="FH292" s="1"/>
      <c r="FI292" s="1"/>
      <c r="FJ292" s="1"/>
      <c r="FK292" s="1"/>
      <c r="FL292" s="1"/>
      <c r="FM292" s="1"/>
      <c r="FN292" s="1"/>
      <c r="FO292" s="1"/>
      <c r="FP292" s="1"/>
      <c r="FQ292" s="1"/>
      <c r="FR292" s="2"/>
      <c r="FS292" s="1"/>
    </row>
    <row r="293" spans="1:175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R293" s="1"/>
      <c r="S293" s="1"/>
      <c r="T293" s="1"/>
      <c r="U293" s="1"/>
      <c r="V293" s="1"/>
      <c r="Y293" s="1"/>
      <c r="Z293" s="2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U293" s="1"/>
      <c r="AW293" s="1"/>
      <c r="AX293" s="1"/>
      <c r="AY293" s="1"/>
      <c r="AZ293" s="1"/>
      <c r="BA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1"/>
      <c r="EW293" s="1"/>
      <c r="EX293" s="1"/>
      <c r="EY293" s="1"/>
      <c r="EZ293" s="1"/>
      <c r="FA293" s="1"/>
      <c r="FB293" s="1"/>
      <c r="FC293" s="1"/>
      <c r="FD293" s="1"/>
      <c r="FE293" s="1"/>
      <c r="FF293" s="1"/>
      <c r="FG293" s="1"/>
      <c r="FH293" s="1"/>
      <c r="FI293" s="1"/>
      <c r="FJ293" s="1"/>
      <c r="FK293" s="1"/>
      <c r="FL293" s="1"/>
      <c r="FM293" s="1"/>
      <c r="FN293" s="1"/>
      <c r="FO293" s="1"/>
      <c r="FP293" s="1"/>
      <c r="FQ293" s="1"/>
      <c r="FR293" s="2"/>
      <c r="FS293" s="1"/>
    </row>
    <row r="294" spans="1:175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R294" s="1"/>
      <c r="S294" s="1"/>
      <c r="T294" s="1"/>
      <c r="U294" s="1"/>
      <c r="V294" s="1"/>
      <c r="Y294" s="1"/>
      <c r="Z294" s="2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U294" s="1"/>
      <c r="AW294" s="1"/>
      <c r="AX294" s="1"/>
      <c r="AY294" s="1"/>
      <c r="AZ294" s="1"/>
      <c r="BA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/>
      <c r="EW294" s="1"/>
      <c r="EX294" s="1"/>
      <c r="EY294" s="1"/>
      <c r="EZ294" s="1"/>
      <c r="FA294" s="1"/>
      <c r="FB294" s="1"/>
      <c r="FC294" s="1"/>
      <c r="FD294" s="1"/>
      <c r="FE294" s="1"/>
      <c r="FF294" s="1"/>
      <c r="FG294" s="1"/>
      <c r="FH294" s="1"/>
      <c r="FI294" s="1"/>
      <c r="FJ294" s="1"/>
      <c r="FK294" s="1"/>
      <c r="FL294" s="1"/>
      <c r="FM294" s="1"/>
      <c r="FN294" s="1"/>
      <c r="FO294" s="1"/>
      <c r="FP294" s="1"/>
      <c r="FQ294" s="1"/>
      <c r="FR294" s="2"/>
      <c r="FS294" s="1"/>
    </row>
    <row r="295" spans="1:175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R295" s="1"/>
      <c r="S295" s="1"/>
      <c r="T295" s="1"/>
      <c r="U295" s="1"/>
      <c r="V295" s="1"/>
      <c r="Y295" s="1"/>
      <c r="Z295" s="2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U295" s="1"/>
      <c r="AW295" s="1"/>
      <c r="AX295" s="1"/>
      <c r="AY295" s="1"/>
      <c r="AZ295" s="1"/>
      <c r="BA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/>
      <c r="EW295" s="1"/>
      <c r="EX295" s="1"/>
      <c r="EY295" s="1"/>
      <c r="EZ295" s="1"/>
      <c r="FA295" s="1"/>
      <c r="FB295" s="1"/>
      <c r="FC295" s="1"/>
      <c r="FD295" s="1"/>
      <c r="FE295" s="1"/>
      <c r="FF295" s="1"/>
      <c r="FG295" s="1"/>
      <c r="FH295" s="1"/>
      <c r="FI295" s="1"/>
      <c r="FJ295" s="1"/>
      <c r="FK295" s="1"/>
      <c r="FL295" s="1"/>
      <c r="FM295" s="1"/>
      <c r="FN295" s="1"/>
      <c r="FO295" s="1"/>
      <c r="FP295" s="1"/>
      <c r="FQ295" s="1"/>
      <c r="FR295" s="2"/>
      <c r="FS295" s="1"/>
    </row>
    <row r="296" spans="1:175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R296" s="1"/>
      <c r="S296" s="1"/>
      <c r="T296" s="1"/>
      <c r="U296" s="1"/>
      <c r="V296" s="1"/>
      <c r="Y296" s="1"/>
      <c r="Z296" s="2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U296" s="1"/>
      <c r="AW296" s="1"/>
      <c r="AX296" s="1"/>
      <c r="AY296" s="1"/>
      <c r="AZ296" s="1"/>
      <c r="BA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/>
      <c r="EW296" s="1"/>
      <c r="EX296" s="1"/>
      <c r="EY296" s="1"/>
      <c r="EZ296" s="1"/>
      <c r="FA296" s="1"/>
      <c r="FB296" s="1"/>
      <c r="FC296" s="1"/>
      <c r="FD296" s="1"/>
      <c r="FE296" s="1"/>
      <c r="FF296" s="1"/>
      <c r="FG296" s="1"/>
      <c r="FH296" s="1"/>
      <c r="FI296" s="1"/>
      <c r="FJ296" s="1"/>
      <c r="FK296" s="1"/>
      <c r="FL296" s="1"/>
      <c r="FM296" s="1"/>
      <c r="FN296" s="1"/>
      <c r="FO296" s="1"/>
      <c r="FP296" s="1"/>
      <c r="FQ296" s="1"/>
      <c r="FR296" s="2"/>
      <c r="FS296" s="1"/>
    </row>
    <row r="297" spans="1:175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R297" s="1"/>
      <c r="S297" s="1"/>
      <c r="T297" s="1"/>
      <c r="U297" s="1"/>
      <c r="V297" s="1"/>
      <c r="Y297" s="1"/>
      <c r="Z297" s="2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U297" s="1"/>
      <c r="AW297" s="1"/>
      <c r="AX297" s="1"/>
      <c r="AY297" s="1"/>
      <c r="AZ297" s="1"/>
      <c r="BA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/>
      <c r="EW297" s="1"/>
      <c r="EX297" s="1"/>
      <c r="EY297" s="1"/>
      <c r="EZ297" s="1"/>
      <c r="FA297" s="1"/>
      <c r="FB297" s="1"/>
      <c r="FC297" s="1"/>
      <c r="FD297" s="1"/>
      <c r="FE297" s="1"/>
      <c r="FF297" s="1"/>
      <c r="FG297" s="1"/>
      <c r="FH297" s="1"/>
      <c r="FI297" s="1"/>
      <c r="FJ297" s="1"/>
      <c r="FK297" s="1"/>
      <c r="FL297" s="1"/>
      <c r="FM297" s="1"/>
      <c r="FN297" s="1"/>
      <c r="FO297" s="1"/>
      <c r="FP297" s="1"/>
      <c r="FQ297" s="1"/>
      <c r="FR297" s="2"/>
      <c r="FS297" s="1"/>
    </row>
    <row r="298" spans="1:175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R298" s="1"/>
      <c r="S298" s="1"/>
      <c r="T298" s="1"/>
      <c r="U298" s="1"/>
      <c r="V298" s="1"/>
      <c r="Y298" s="1"/>
      <c r="Z298" s="2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U298" s="1"/>
      <c r="AW298" s="1"/>
      <c r="AX298" s="1"/>
      <c r="AY298" s="1"/>
      <c r="AZ298" s="1"/>
      <c r="BA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/>
      <c r="ER298" s="1"/>
      <c r="ES298" s="1"/>
      <c r="ET298" s="1"/>
      <c r="EU298" s="1"/>
      <c r="EV298" s="1"/>
      <c r="EW298" s="1"/>
      <c r="EX298" s="1"/>
      <c r="EY298" s="1"/>
      <c r="EZ298" s="1"/>
      <c r="FA298" s="1"/>
      <c r="FB298" s="1"/>
      <c r="FC298" s="1"/>
      <c r="FD298" s="1"/>
      <c r="FE298" s="1"/>
      <c r="FF298" s="1"/>
      <c r="FG298" s="1"/>
      <c r="FH298" s="1"/>
      <c r="FI298" s="1"/>
      <c r="FJ298" s="1"/>
      <c r="FK298" s="1"/>
      <c r="FL298" s="1"/>
      <c r="FM298" s="1"/>
      <c r="FN298" s="1"/>
      <c r="FO298" s="1"/>
      <c r="FP298" s="1"/>
      <c r="FQ298" s="1"/>
      <c r="FR298" s="2"/>
      <c r="FS298" s="1"/>
    </row>
    <row r="299" spans="1:175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R299" s="1"/>
      <c r="S299" s="1"/>
      <c r="T299" s="1"/>
      <c r="U299" s="1"/>
      <c r="V299" s="1"/>
      <c r="Y299" s="1"/>
      <c r="Z299" s="2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U299" s="1"/>
      <c r="AW299" s="1"/>
      <c r="AX299" s="1"/>
      <c r="AY299" s="1"/>
      <c r="AZ299" s="1"/>
      <c r="BA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  <c r="EQ299" s="1"/>
      <c r="ER299" s="1"/>
      <c r="ES299" s="1"/>
      <c r="ET299" s="1"/>
      <c r="EU299" s="1"/>
      <c r="EV299" s="1"/>
      <c r="EW299" s="1"/>
      <c r="EX299" s="1"/>
      <c r="EY299" s="1"/>
      <c r="EZ299" s="1"/>
      <c r="FA299" s="1"/>
      <c r="FB299" s="1"/>
      <c r="FC299" s="1"/>
      <c r="FD299" s="1"/>
      <c r="FE299" s="1"/>
      <c r="FF299" s="1"/>
      <c r="FG299" s="1"/>
      <c r="FH299" s="1"/>
      <c r="FI299" s="1"/>
      <c r="FJ299" s="1"/>
      <c r="FK299" s="1"/>
      <c r="FL299" s="1"/>
      <c r="FM299" s="1"/>
      <c r="FN299" s="1"/>
      <c r="FO299" s="1"/>
      <c r="FP299" s="1"/>
      <c r="FQ299" s="1"/>
      <c r="FR299" s="2"/>
      <c r="FS299" s="1"/>
    </row>
    <row r="300" spans="1:175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R300" s="1"/>
      <c r="S300" s="1"/>
      <c r="T300" s="1"/>
      <c r="U300" s="1"/>
      <c r="V300" s="1"/>
      <c r="Y300" s="1"/>
      <c r="Z300" s="2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U300" s="1"/>
      <c r="AW300" s="1"/>
      <c r="AX300" s="1"/>
      <c r="AY300" s="1"/>
      <c r="AZ300" s="1"/>
      <c r="BA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/>
      <c r="ER300" s="1"/>
      <c r="ES300" s="1"/>
      <c r="ET300" s="1"/>
      <c r="EU300" s="1"/>
      <c r="EV300" s="1"/>
      <c r="EW300" s="1"/>
      <c r="EX300" s="1"/>
      <c r="EY300" s="1"/>
      <c r="EZ300" s="1"/>
      <c r="FA300" s="1"/>
      <c r="FB300" s="1"/>
      <c r="FC300" s="1"/>
      <c r="FD300" s="1"/>
      <c r="FE300" s="1"/>
      <c r="FF300" s="1"/>
      <c r="FG300" s="1"/>
      <c r="FH300" s="1"/>
      <c r="FI300" s="1"/>
      <c r="FJ300" s="1"/>
      <c r="FK300" s="1"/>
      <c r="FL300" s="1"/>
      <c r="FM300" s="1"/>
      <c r="FN300" s="1"/>
      <c r="FO300" s="1"/>
      <c r="FP300" s="1"/>
      <c r="FQ300" s="1"/>
      <c r="FR300" s="2"/>
      <c r="FS300" s="1"/>
    </row>
    <row r="301" spans="1:175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R301" s="1"/>
      <c r="S301" s="1"/>
      <c r="T301" s="1"/>
      <c r="U301" s="1"/>
      <c r="V301" s="1"/>
      <c r="Y301" s="1"/>
      <c r="Z301" s="2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U301" s="1"/>
      <c r="AW301" s="1"/>
      <c r="AX301" s="1"/>
      <c r="AY301" s="1"/>
      <c r="AZ301" s="1"/>
      <c r="BA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  <c r="EP301" s="1"/>
      <c r="EQ301" s="1"/>
      <c r="ER301" s="1"/>
      <c r="ES301" s="1"/>
      <c r="ET301" s="1"/>
      <c r="EU301" s="1"/>
      <c r="EV301" s="1"/>
      <c r="EW301" s="1"/>
      <c r="EX301" s="1"/>
      <c r="EY301" s="1"/>
      <c r="EZ301" s="1"/>
      <c r="FA301" s="1"/>
      <c r="FB301" s="1"/>
      <c r="FC301" s="1"/>
      <c r="FD301" s="1"/>
      <c r="FE301" s="1"/>
      <c r="FF301" s="1"/>
      <c r="FG301" s="1"/>
      <c r="FH301" s="1"/>
      <c r="FI301" s="1"/>
      <c r="FJ301" s="1"/>
      <c r="FK301" s="1"/>
      <c r="FL301" s="1"/>
      <c r="FM301" s="1"/>
      <c r="FN301" s="1"/>
      <c r="FO301" s="1"/>
      <c r="FP301" s="1"/>
      <c r="FQ301" s="1"/>
      <c r="FR301" s="2"/>
      <c r="FS301" s="1"/>
    </row>
    <row r="302" spans="1:175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R302" s="1"/>
      <c r="S302" s="1"/>
      <c r="T302" s="1"/>
      <c r="U302" s="1"/>
      <c r="V302" s="1"/>
      <c r="Y302" s="1"/>
      <c r="Z302" s="2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U302" s="1"/>
      <c r="AW302" s="1"/>
      <c r="AX302" s="1"/>
      <c r="AY302" s="1"/>
      <c r="AZ302" s="1"/>
      <c r="BA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1"/>
      <c r="EW302" s="1"/>
      <c r="EX302" s="1"/>
      <c r="EY302" s="1"/>
      <c r="EZ302" s="1"/>
      <c r="FA302" s="1"/>
      <c r="FB302" s="1"/>
      <c r="FC302" s="1"/>
      <c r="FD302" s="1"/>
      <c r="FE302" s="1"/>
      <c r="FF302" s="1"/>
      <c r="FG302" s="1"/>
      <c r="FH302" s="1"/>
      <c r="FI302" s="1"/>
      <c r="FJ302" s="1"/>
      <c r="FK302" s="1"/>
      <c r="FL302" s="1"/>
      <c r="FM302" s="1"/>
      <c r="FN302" s="1"/>
      <c r="FO302" s="1"/>
      <c r="FP302" s="1"/>
      <c r="FQ302" s="1"/>
      <c r="FR302" s="2"/>
      <c r="FS302" s="1"/>
    </row>
    <row r="303" spans="1:175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R303" s="1"/>
      <c r="S303" s="1"/>
      <c r="T303" s="1"/>
      <c r="U303" s="1"/>
      <c r="V303" s="1"/>
      <c r="Y303" s="1"/>
      <c r="Z303" s="2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U303" s="1"/>
      <c r="AW303" s="1"/>
      <c r="AX303" s="1"/>
      <c r="AY303" s="1"/>
      <c r="AZ303" s="1"/>
      <c r="BA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  <c r="EP303" s="1"/>
      <c r="EQ303" s="1"/>
      <c r="ER303" s="1"/>
      <c r="ES303" s="1"/>
      <c r="ET303" s="1"/>
      <c r="EU303" s="1"/>
      <c r="EV303" s="1"/>
      <c r="EW303" s="1"/>
      <c r="EX303" s="1"/>
      <c r="EY303" s="1"/>
      <c r="EZ303" s="1"/>
      <c r="FA303" s="1"/>
      <c r="FB303" s="1"/>
      <c r="FC303" s="1"/>
      <c r="FD303" s="1"/>
      <c r="FE303" s="1"/>
      <c r="FF303" s="1"/>
      <c r="FG303" s="1"/>
      <c r="FH303" s="1"/>
      <c r="FI303" s="1"/>
      <c r="FJ303" s="1"/>
      <c r="FK303" s="1"/>
      <c r="FL303" s="1"/>
      <c r="FM303" s="1"/>
      <c r="FN303" s="1"/>
      <c r="FO303" s="1"/>
      <c r="FP303" s="1"/>
      <c r="FQ303" s="1"/>
      <c r="FR303" s="2"/>
      <c r="FS303" s="1"/>
    </row>
    <row r="304" spans="1:175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R304" s="1"/>
      <c r="S304" s="1"/>
      <c r="T304" s="1"/>
      <c r="U304" s="1"/>
      <c r="V304" s="1"/>
      <c r="Y304" s="1"/>
      <c r="Z304" s="2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U304" s="1"/>
      <c r="AW304" s="1"/>
      <c r="AX304" s="1"/>
      <c r="AY304" s="1"/>
      <c r="AZ304" s="1"/>
      <c r="BA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/>
      <c r="ER304" s="1"/>
      <c r="ES304" s="1"/>
      <c r="ET304" s="1"/>
      <c r="EU304" s="1"/>
      <c r="EV304" s="1"/>
      <c r="EW304" s="1"/>
      <c r="EX304" s="1"/>
      <c r="EY304" s="1"/>
      <c r="EZ304" s="1"/>
      <c r="FA304" s="1"/>
      <c r="FB304" s="1"/>
      <c r="FC304" s="1"/>
      <c r="FD304" s="1"/>
      <c r="FE304" s="1"/>
      <c r="FF304" s="1"/>
      <c r="FG304" s="1"/>
      <c r="FH304" s="1"/>
      <c r="FI304" s="1"/>
      <c r="FJ304" s="1"/>
      <c r="FK304" s="1"/>
      <c r="FL304" s="1"/>
      <c r="FM304" s="1"/>
      <c r="FN304" s="1"/>
      <c r="FO304" s="1"/>
      <c r="FP304" s="1"/>
      <c r="FQ304" s="1"/>
      <c r="FR304" s="2"/>
      <c r="FS304" s="1"/>
    </row>
    <row r="305" spans="1:175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R305" s="1"/>
      <c r="S305" s="1"/>
      <c r="T305" s="1"/>
      <c r="U305" s="1"/>
      <c r="V305" s="1"/>
      <c r="Y305" s="1"/>
      <c r="Z305" s="2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U305" s="1"/>
      <c r="AW305" s="1"/>
      <c r="AX305" s="1"/>
      <c r="AY305" s="1"/>
      <c r="AZ305" s="1"/>
      <c r="BA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1"/>
      <c r="EN305" s="1"/>
      <c r="EO305" s="1"/>
      <c r="EP305" s="1"/>
      <c r="EQ305" s="1"/>
      <c r="ER305" s="1"/>
      <c r="ES305" s="1"/>
      <c r="ET305" s="1"/>
      <c r="EU305" s="1"/>
      <c r="EV305" s="1"/>
      <c r="EW305" s="1"/>
      <c r="EX305" s="1"/>
      <c r="EY305" s="1"/>
      <c r="EZ305" s="1"/>
      <c r="FA305" s="1"/>
      <c r="FB305" s="1"/>
      <c r="FC305" s="1"/>
      <c r="FD305" s="1"/>
      <c r="FE305" s="1"/>
      <c r="FF305" s="1"/>
      <c r="FG305" s="1"/>
      <c r="FH305" s="1"/>
      <c r="FI305" s="1"/>
      <c r="FJ305" s="1"/>
      <c r="FK305" s="1"/>
      <c r="FL305" s="1"/>
      <c r="FM305" s="1"/>
      <c r="FN305" s="1"/>
      <c r="FO305" s="1"/>
      <c r="FP305" s="1"/>
      <c r="FQ305" s="1"/>
      <c r="FR305" s="2"/>
      <c r="FS305" s="1"/>
    </row>
    <row r="306" spans="1:175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R306" s="1"/>
      <c r="S306" s="1"/>
      <c r="T306" s="1"/>
      <c r="U306" s="1"/>
      <c r="V306" s="1"/>
      <c r="Y306" s="1"/>
      <c r="Z306" s="2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U306" s="1"/>
      <c r="AW306" s="1"/>
      <c r="AX306" s="1"/>
      <c r="AY306" s="1"/>
      <c r="AZ306" s="1"/>
      <c r="BA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/>
      <c r="ER306" s="1"/>
      <c r="ES306" s="1"/>
      <c r="ET306" s="1"/>
      <c r="EU306" s="1"/>
      <c r="EV306" s="1"/>
      <c r="EW306" s="1"/>
      <c r="EX306" s="1"/>
      <c r="EY306" s="1"/>
      <c r="EZ306" s="1"/>
      <c r="FA306" s="1"/>
      <c r="FB306" s="1"/>
      <c r="FC306" s="1"/>
      <c r="FD306" s="1"/>
      <c r="FE306" s="1"/>
      <c r="FF306" s="1"/>
      <c r="FG306" s="1"/>
      <c r="FH306" s="1"/>
      <c r="FI306" s="1"/>
      <c r="FJ306" s="1"/>
      <c r="FK306" s="1"/>
      <c r="FL306" s="1"/>
      <c r="FM306" s="1"/>
      <c r="FN306" s="1"/>
      <c r="FO306" s="1"/>
      <c r="FP306" s="1"/>
      <c r="FQ306" s="1"/>
      <c r="FR306" s="2"/>
      <c r="FS306" s="1"/>
    </row>
    <row r="307" spans="1:175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R307" s="1"/>
      <c r="S307" s="1"/>
      <c r="T307" s="1"/>
      <c r="U307" s="1"/>
      <c r="V307" s="1"/>
      <c r="Y307" s="1"/>
      <c r="Z307" s="2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U307" s="1"/>
      <c r="AW307" s="1"/>
      <c r="AX307" s="1"/>
      <c r="AY307" s="1"/>
      <c r="AZ307" s="1"/>
      <c r="BA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1"/>
      <c r="EN307" s="1"/>
      <c r="EO307" s="1"/>
      <c r="EP307" s="1"/>
      <c r="EQ307" s="1"/>
      <c r="ER307" s="1"/>
      <c r="ES307" s="1"/>
      <c r="ET307" s="1"/>
      <c r="EU307" s="1"/>
      <c r="EV307" s="1"/>
      <c r="EW307" s="1"/>
      <c r="EX307" s="1"/>
      <c r="EY307" s="1"/>
      <c r="EZ307" s="1"/>
      <c r="FA307" s="1"/>
      <c r="FB307" s="1"/>
      <c r="FC307" s="1"/>
      <c r="FD307" s="1"/>
      <c r="FE307" s="1"/>
      <c r="FF307" s="1"/>
      <c r="FG307" s="1"/>
      <c r="FH307" s="1"/>
      <c r="FI307" s="1"/>
      <c r="FJ307" s="1"/>
      <c r="FK307" s="1"/>
      <c r="FL307" s="1"/>
      <c r="FM307" s="1"/>
      <c r="FN307" s="1"/>
      <c r="FO307" s="1"/>
      <c r="FP307" s="1"/>
      <c r="FQ307" s="1"/>
      <c r="FR307" s="2"/>
      <c r="FS307" s="1"/>
    </row>
    <row r="308" spans="1:175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R308" s="1"/>
      <c r="S308" s="1"/>
      <c r="T308" s="1"/>
      <c r="U308" s="1"/>
      <c r="V308" s="1"/>
      <c r="Y308" s="1"/>
      <c r="Z308" s="2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U308" s="1"/>
      <c r="AW308" s="1"/>
      <c r="AX308" s="1"/>
      <c r="AY308" s="1"/>
      <c r="AZ308" s="1"/>
      <c r="BA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/>
      <c r="ER308" s="1"/>
      <c r="ES308" s="1"/>
      <c r="ET308" s="1"/>
      <c r="EU308" s="1"/>
      <c r="EV308" s="1"/>
      <c r="EW308" s="1"/>
      <c r="EX308" s="1"/>
      <c r="EY308" s="1"/>
      <c r="EZ308" s="1"/>
      <c r="FA308" s="1"/>
      <c r="FB308" s="1"/>
      <c r="FC308" s="1"/>
      <c r="FD308" s="1"/>
      <c r="FE308" s="1"/>
      <c r="FF308" s="1"/>
      <c r="FG308" s="1"/>
      <c r="FH308" s="1"/>
      <c r="FI308" s="1"/>
      <c r="FJ308" s="1"/>
      <c r="FK308" s="1"/>
      <c r="FL308" s="1"/>
      <c r="FM308" s="1"/>
      <c r="FN308" s="1"/>
      <c r="FO308" s="1"/>
      <c r="FP308" s="1"/>
      <c r="FQ308" s="1"/>
      <c r="FR308" s="2"/>
      <c r="FS308" s="1"/>
    </row>
    <row r="309" spans="1:175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R309" s="1"/>
      <c r="S309" s="1"/>
      <c r="T309" s="1"/>
      <c r="U309" s="1"/>
      <c r="V309" s="1"/>
      <c r="Y309" s="1"/>
      <c r="Z309" s="2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U309" s="1"/>
      <c r="AW309" s="1"/>
      <c r="AX309" s="1"/>
      <c r="AY309" s="1"/>
      <c r="AZ309" s="1"/>
      <c r="BA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1"/>
      <c r="EN309" s="1"/>
      <c r="EO309" s="1"/>
      <c r="EP309" s="1"/>
      <c r="EQ309" s="1"/>
      <c r="ER309" s="1"/>
      <c r="ES309" s="1"/>
      <c r="ET309" s="1"/>
      <c r="EU309" s="1"/>
      <c r="EV309" s="1"/>
      <c r="EW309" s="1"/>
      <c r="EX309" s="1"/>
      <c r="EY309" s="1"/>
      <c r="EZ309" s="1"/>
      <c r="FA309" s="1"/>
      <c r="FB309" s="1"/>
      <c r="FC309" s="1"/>
      <c r="FD309" s="1"/>
      <c r="FE309" s="1"/>
      <c r="FF309" s="1"/>
      <c r="FG309" s="1"/>
      <c r="FH309" s="1"/>
      <c r="FI309" s="1"/>
      <c r="FJ309" s="1"/>
      <c r="FK309" s="1"/>
      <c r="FL309" s="1"/>
      <c r="FM309" s="1"/>
      <c r="FN309" s="1"/>
      <c r="FO309" s="1"/>
      <c r="FP309" s="1"/>
      <c r="FQ309" s="1"/>
      <c r="FR309" s="2"/>
      <c r="FS309" s="1"/>
    </row>
    <row r="310" spans="1:175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R310" s="1"/>
      <c r="S310" s="1"/>
      <c r="T310" s="1"/>
      <c r="U310" s="1"/>
      <c r="V310" s="1"/>
      <c r="Y310" s="1"/>
      <c r="Z310" s="2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U310" s="1"/>
      <c r="AW310" s="1"/>
      <c r="AX310" s="1"/>
      <c r="AY310" s="1"/>
      <c r="AZ310" s="1"/>
      <c r="BA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/>
      <c r="EQ310" s="1"/>
      <c r="ER310" s="1"/>
      <c r="ES310" s="1"/>
      <c r="ET310" s="1"/>
      <c r="EU310" s="1"/>
      <c r="EV310" s="1"/>
      <c r="EW310" s="1"/>
      <c r="EX310" s="1"/>
      <c r="EY310" s="1"/>
      <c r="EZ310" s="1"/>
      <c r="FA310" s="1"/>
      <c r="FB310" s="1"/>
      <c r="FC310" s="1"/>
      <c r="FD310" s="1"/>
      <c r="FE310" s="1"/>
      <c r="FF310" s="1"/>
      <c r="FG310" s="1"/>
      <c r="FH310" s="1"/>
      <c r="FI310" s="1"/>
      <c r="FJ310" s="1"/>
      <c r="FK310" s="1"/>
      <c r="FL310" s="1"/>
      <c r="FM310" s="1"/>
      <c r="FN310" s="1"/>
      <c r="FO310" s="1"/>
      <c r="FP310" s="1"/>
      <c r="FQ310" s="1"/>
      <c r="FR310" s="2"/>
      <c r="FS310" s="1"/>
    </row>
    <row r="311" spans="1:175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R311" s="1"/>
      <c r="S311" s="1"/>
      <c r="T311" s="1"/>
      <c r="U311" s="1"/>
      <c r="V311" s="1"/>
      <c r="Y311" s="1"/>
      <c r="Z311" s="2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U311" s="1"/>
      <c r="AW311" s="1"/>
      <c r="AX311" s="1"/>
      <c r="AY311" s="1"/>
      <c r="AZ311" s="1"/>
      <c r="BA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H311" s="1"/>
      <c r="EI311" s="1"/>
      <c r="EJ311" s="1"/>
      <c r="EK311" s="1"/>
      <c r="EL311" s="1"/>
      <c r="EM311" s="1"/>
      <c r="EN311" s="1"/>
      <c r="EO311" s="1"/>
      <c r="EP311" s="1"/>
      <c r="EQ311" s="1"/>
      <c r="ER311" s="1"/>
      <c r="ES311" s="1"/>
      <c r="ET311" s="1"/>
      <c r="EU311" s="1"/>
      <c r="EV311" s="1"/>
      <c r="EW311" s="1"/>
      <c r="EX311" s="1"/>
      <c r="EY311" s="1"/>
      <c r="EZ311" s="1"/>
      <c r="FA311" s="1"/>
      <c r="FB311" s="1"/>
      <c r="FC311" s="1"/>
      <c r="FD311" s="1"/>
      <c r="FE311" s="1"/>
      <c r="FF311" s="1"/>
      <c r="FG311" s="1"/>
      <c r="FH311" s="1"/>
      <c r="FI311" s="1"/>
      <c r="FJ311" s="1"/>
      <c r="FK311" s="1"/>
      <c r="FL311" s="1"/>
      <c r="FM311" s="1"/>
      <c r="FN311" s="1"/>
      <c r="FO311" s="1"/>
      <c r="FP311" s="1"/>
      <c r="FQ311" s="1"/>
      <c r="FR311" s="2"/>
      <c r="FS311" s="1"/>
    </row>
    <row r="312" spans="1:175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R312" s="1"/>
      <c r="S312" s="1"/>
      <c r="T312" s="1"/>
      <c r="U312" s="1"/>
      <c r="V312" s="1"/>
      <c r="Y312" s="1"/>
      <c r="Z312" s="2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U312" s="1"/>
      <c r="AW312" s="1"/>
      <c r="AX312" s="1"/>
      <c r="AY312" s="1"/>
      <c r="AZ312" s="1"/>
      <c r="BA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/>
      <c r="EQ312" s="1"/>
      <c r="ER312" s="1"/>
      <c r="ES312" s="1"/>
      <c r="ET312" s="1"/>
      <c r="EU312" s="1"/>
      <c r="EV312" s="1"/>
      <c r="EW312" s="1"/>
      <c r="EX312" s="1"/>
      <c r="EY312" s="1"/>
      <c r="EZ312" s="1"/>
      <c r="FA312" s="1"/>
      <c r="FB312" s="1"/>
      <c r="FC312" s="1"/>
      <c r="FD312" s="1"/>
      <c r="FE312" s="1"/>
      <c r="FF312" s="1"/>
      <c r="FG312" s="1"/>
      <c r="FH312" s="1"/>
      <c r="FI312" s="1"/>
      <c r="FJ312" s="1"/>
      <c r="FK312" s="1"/>
      <c r="FL312" s="1"/>
      <c r="FM312" s="1"/>
      <c r="FN312" s="1"/>
      <c r="FO312" s="1"/>
      <c r="FP312" s="1"/>
      <c r="FQ312" s="1"/>
      <c r="FR312" s="2"/>
      <c r="FS312" s="1"/>
    </row>
    <row r="313" spans="1:175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R313" s="1"/>
      <c r="S313" s="1"/>
      <c r="T313" s="1"/>
      <c r="U313" s="1"/>
      <c r="V313" s="1"/>
      <c r="Y313" s="1"/>
      <c r="Z313" s="2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U313" s="1"/>
      <c r="AW313" s="1"/>
      <c r="AX313" s="1"/>
      <c r="AY313" s="1"/>
      <c r="AZ313" s="1"/>
      <c r="BA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H313" s="1"/>
      <c r="EI313" s="1"/>
      <c r="EJ313" s="1"/>
      <c r="EK313" s="1"/>
      <c r="EL313" s="1"/>
      <c r="EM313" s="1"/>
      <c r="EN313" s="1"/>
      <c r="EO313" s="1"/>
      <c r="EP313" s="1"/>
      <c r="EQ313" s="1"/>
      <c r="ER313" s="1"/>
      <c r="ES313" s="1"/>
      <c r="ET313" s="1"/>
      <c r="EU313" s="1"/>
      <c r="EV313" s="1"/>
      <c r="EW313" s="1"/>
      <c r="EX313" s="1"/>
      <c r="EY313" s="1"/>
      <c r="EZ313" s="1"/>
      <c r="FA313" s="1"/>
      <c r="FB313" s="1"/>
      <c r="FC313" s="1"/>
      <c r="FD313" s="1"/>
      <c r="FE313" s="1"/>
      <c r="FF313" s="1"/>
      <c r="FG313" s="1"/>
      <c r="FH313" s="1"/>
      <c r="FI313" s="1"/>
      <c r="FJ313" s="1"/>
      <c r="FK313" s="1"/>
      <c r="FL313" s="1"/>
      <c r="FM313" s="1"/>
      <c r="FN313" s="1"/>
      <c r="FO313" s="1"/>
      <c r="FP313" s="1"/>
      <c r="FQ313" s="1"/>
      <c r="FR313" s="2"/>
      <c r="FS313" s="1"/>
    </row>
    <row r="314" spans="1:175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R314" s="1"/>
      <c r="S314" s="1"/>
      <c r="T314" s="1"/>
      <c r="U314" s="1"/>
      <c r="V314" s="1"/>
      <c r="Y314" s="1"/>
      <c r="Z314" s="2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U314" s="1"/>
      <c r="AW314" s="1"/>
      <c r="AX314" s="1"/>
      <c r="AY314" s="1"/>
      <c r="AZ314" s="1"/>
      <c r="BA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/>
      <c r="ER314" s="1"/>
      <c r="ES314" s="1"/>
      <c r="ET314" s="1"/>
      <c r="EU314" s="1"/>
      <c r="EV314" s="1"/>
      <c r="EW314" s="1"/>
      <c r="EX314" s="1"/>
      <c r="EY314" s="1"/>
      <c r="EZ314" s="1"/>
      <c r="FA314" s="1"/>
      <c r="FB314" s="1"/>
      <c r="FC314" s="1"/>
      <c r="FD314" s="1"/>
      <c r="FE314" s="1"/>
      <c r="FF314" s="1"/>
      <c r="FG314" s="1"/>
      <c r="FH314" s="1"/>
      <c r="FI314" s="1"/>
      <c r="FJ314" s="1"/>
      <c r="FK314" s="1"/>
      <c r="FL314" s="1"/>
      <c r="FM314" s="1"/>
      <c r="FN314" s="1"/>
      <c r="FO314" s="1"/>
      <c r="FP314" s="1"/>
      <c r="FQ314" s="1"/>
      <c r="FR314" s="2"/>
      <c r="FS314" s="1"/>
    </row>
    <row r="315" spans="1:175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R315" s="1"/>
      <c r="S315" s="1"/>
      <c r="T315" s="1"/>
      <c r="U315" s="1"/>
      <c r="V315" s="1"/>
      <c r="Y315" s="1"/>
      <c r="Z315" s="2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U315" s="1"/>
      <c r="AW315" s="1"/>
      <c r="AX315" s="1"/>
      <c r="AY315" s="1"/>
      <c r="AZ315" s="1"/>
      <c r="BA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H315" s="1"/>
      <c r="EI315" s="1"/>
      <c r="EJ315" s="1"/>
      <c r="EK315" s="1"/>
      <c r="EL315" s="1"/>
      <c r="EM315" s="1"/>
      <c r="EN315" s="1"/>
      <c r="EO315" s="1"/>
      <c r="EP315" s="1"/>
      <c r="EQ315" s="1"/>
      <c r="ER315" s="1"/>
      <c r="ES315" s="1"/>
      <c r="ET315" s="1"/>
      <c r="EU315" s="1"/>
      <c r="EV315" s="1"/>
      <c r="EW315" s="1"/>
      <c r="EX315" s="1"/>
      <c r="EY315" s="1"/>
      <c r="EZ315" s="1"/>
      <c r="FA315" s="1"/>
      <c r="FB315" s="1"/>
      <c r="FC315" s="1"/>
      <c r="FD315" s="1"/>
      <c r="FE315" s="1"/>
      <c r="FF315" s="1"/>
      <c r="FG315" s="1"/>
      <c r="FH315" s="1"/>
      <c r="FI315" s="1"/>
      <c r="FJ315" s="1"/>
      <c r="FK315" s="1"/>
      <c r="FL315" s="1"/>
      <c r="FM315" s="1"/>
      <c r="FN315" s="1"/>
      <c r="FO315" s="1"/>
      <c r="FP315" s="1"/>
      <c r="FQ315" s="1"/>
      <c r="FR315" s="2"/>
      <c r="FS315" s="1"/>
    </row>
    <row r="316" spans="1:175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R316" s="1"/>
      <c r="S316" s="1"/>
      <c r="T316" s="1"/>
      <c r="U316" s="1"/>
      <c r="V316" s="1"/>
      <c r="Y316" s="1"/>
      <c r="Z316" s="2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U316" s="1"/>
      <c r="AW316" s="1"/>
      <c r="AX316" s="1"/>
      <c r="AY316" s="1"/>
      <c r="AZ316" s="1"/>
      <c r="BA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/>
      <c r="EQ316" s="1"/>
      <c r="ER316" s="1"/>
      <c r="ES316" s="1"/>
      <c r="ET316" s="1"/>
      <c r="EU316" s="1"/>
      <c r="EV316" s="1"/>
      <c r="EW316" s="1"/>
      <c r="EX316" s="1"/>
      <c r="EY316" s="1"/>
      <c r="EZ316" s="1"/>
      <c r="FA316" s="1"/>
      <c r="FB316" s="1"/>
      <c r="FC316" s="1"/>
      <c r="FD316" s="1"/>
      <c r="FE316" s="1"/>
      <c r="FF316" s="1"/>
      <c r="FG316" s="1"/>
      <c r="FH316" s="1"/>
      <c r="FI316" s="1"/>
      <c r="FJ316" s="1"/>
      <c r="FK316" s="1"/>
      <c r="FL316" s="1"/>
      <c r="FM316" s="1"/>
      <c r="FN316" s="1"/>
      <c r="FO316" s="1"/>
      <c r="FP316" s="1"/>
      <c r="FQ316" s="1"/>
      <c r="FR316" s="2"/>
      <c r="FS316" s="1"/>
    </row>
    <row r="317" spans="1:175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R317" s="1"/>
      <c r="S317" s="1"/>
      <c r="T317" s="1"/>
      <c r="U317" s="1"/>
      <c r="V317" s="1"/>
      <c r="Y317" s="1"/>
      <c r="Z317" s="2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U317" s="1"/>
      <c r="AW317" s="1"/>
      <c r="AX317" s="1"/>
      <c r="AY317" s="1"/>
      <c r="AZ317" s="1"/>
      <c r="BA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H317" s="1"/>
      <c r="EI317" s="1"/>
      <c r="EJ317" s="1"/>
      <c r="EK317" s="1"/>
      <c r="EL317" s="1"/>
      <c r="EM317" s="1"/>
      <c r="EN317" s="1"/>
      <c r="EO317" s="1"/>
      <c r="EP317" s="1"/>
      <c r="EQ317" s="1"/>
      <c r="ER317" s="1"/>
      <c r="ES317" s="1"/>
      <c r="ET317" s="1"/>
      <c r="EU317" s="1"/>
      <c r="EV317" s="1"/>
      <c r="EW317" s="1"/>
      <c r="EX317" s="1"/>
      <c r="EY317" s="1"/>
      <c r="EZ317" s="1"/>
      <c r="FA317" s="1"/>
      <c r="FB317" s="1"/>
      <c r="FC317" s="1"/>
      <c r="FD317" s="1"/>
      <c r="FE317" s="1"/>
      <c r="FF317" s="1"/>
      <c r="FG317" s="1"/>
      <c r="FH317" s="1"/>
      <c r="FI317" s="1"/>
      <c r="FJ317" s="1"/>
      <c r="FK317" s="1"/>
      <c r="FL317" s="1"/>
      <c r="FM317" s="1"/>
      <c r="FN317" s="1"/>
      <c r="FO317" s="1"/>
      <c r="FP317" s="1"/>
      <c r="FQ317" s="1"/>
      <c r="FR317" s="2"/>
      <c r="FS317" s="1"/>
    </row>
    <row r="318" spans="1:175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R318" s="1"/>
      <c r="S318" s="1"/>
      <c r="T318" s="1"/>
      <c r="U318" s="1"/>
      <c r="V318" s="1"/>
      <c r="Y318" s="1"/>
      <c r="Z318" s="2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U318" s="1"/>
      <c r="AW318" s="1"/>
      <c r="AX318" s="1"/>
      <c r="AY318" s="1"/>
      <c r="AZ318" s="1"/>
      <c r="BA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/>
      <c r="EQ318" s="1"/>
      <c r="ER318" s="1"/>
      <c r="ES318" s="1"/>
      <c r="ET318" s="1"/>
      <c r="EU318" s="1"/>
      <c r="EV318" s="1"/>
      <c r="EW318" s="1"/>
      <c r="EX318" s="1"/>
      <c r="EY318" s="1"/>
      <c r="EZ318" s="1"/>
      <c r="FA318" s="1"/>
      <c r="FB318" s="1"/>
      <c r="FC318" s="1"/>
      <c r="FD318" s="1"/>
      <c r="FE318" s="1"/>
      <c r="FF318" s="1"/>
      <c r="FG318" s="1"/>
      <c r="FH318" s="1"/>
      <c r="FI318" s="1"/>
      <c r="FJ318" s="1"/>
      <c r="FK318" s="1"/>
      <c r="FL318" s="1"/>
      <c r="FM318" s="1"/>
      <c r="FN318" s="1"/>
      <c r="FO318" s="1"/>
      <c r="FP318" s="1"/>
      <c r="FQ318" s="1"/>
      <c r="FR318" s="2"/>
      <c r="FS318" s="1"/>
    </row>
    <row r="319" spans="1:175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R319" s="1"/>
      <c r="S319" s="1"/>
      <c r="T319" s="1"/>
      <c r="U319" s="1"/>
      <c r="V319" s="1"/>
      <c r="Y319" s="1"/>
      <c r="Z319" s="2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U319" s="1"/>
      <c r="AW319" s="1"/>
      <c r="AX319" s="1"/>
      <c r="AY319" s="1"/>
      <c r="AZ319" s="1"/>
      <c r="BA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H319" s="1"/>
      <c r="EI319" s="1"/>
      <c r="EJ319" s="1"/>
      <c r="EK319" s="1"/>
      <c r="EL319" s="1"/>
      <c r="EM319" s="1"/>
      <c r="EN319" s="1"/>
      <c r="EO319" s="1"/>
      <c r="EP319" s="1"/>
      <c r="EQ319" s="1"/>
      <c r="ER319" s="1"/>
      <c r="ES319" s="1"/>
      <c r="ET319" s="1"/>
      <c r="EU319" s="1"/>
      <c r="EV319" s="1"/>
      <c r="EW319" s="1"/>
      <c r="EX319" s="1"/>
      <c r="EY319" s="1"/>
      <c r="EZ319" s="1"/>
      <c r="FA319" s="1"/>
      <c r="FB319" s="1"/>
      <c r="FC319" s="1"/>
      <c r="FD319" s="1"/>
      <c r="FE319" s="1"/>
      <c r="FF319" s="1"/>
      <c r="FG319" s="1"/>
      <c r="FH319" s="1"/>
      <c r="FI319" s="1"/>
      <c r="FJ319" s="1"/>
      <c r="FK319" s="1"/>
      <c r="FL319" s="1"/>
      <c r="FM319" s="1"/>
      <c r="FN319" s="1"/>
      <c r="FO319" s="1"/>
      <c r="FP319" s="1"/>
      <c r="FQ319" s="1"/>
      <c r="FR319" s="2"/>
      <c r="FS319" s="1"/>
    </row>
    <row r="320" spans="1:175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R320" s="1"/>
      <c r="S320" s="1"/>
      <c r="T320" s="1"/>
      <c r="U320" s="1"/>
      <c r="V320" s="1"/>
      <c r="Y320" s="1"/>
      <c r="Z320" s="2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U320" s="1"/>
      <c r="AW320" s="1"/>
      <c r="AX320" s="1"/>
      <c r="AY320" s="1"/>
      <c r="AZ320" s="1"/>
      <c r="BA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/>
      <c r="EQ320" s="1"/>
      <c r="ER320" s="1"/>
      <c r="ES320" s="1"/>
      <c r="ET320" s="1"/>
      <c r="EU320" s="1"/>
      <c r="EV320" s="1"/>
      <c r="EW320" s="1"/>
      <c r="EX320" s="1"/>
      <c r="EY320" s="1"/>
      <c r="EZ320" s="1"/>
      <c r="FA320" s="1"/>
      <c r="FB320" s="1"/>
      <c r="FC320" s="1"/>
      <c r="FD320" s="1"/>
      <c r="FE320" s="1"/>
      <c r="FF320" s="1"/>
      <c r="FG320" s="1"/>
      <c r="FH320" s="1"/>
      <c r="FI320" s="1"/>
      <c r="FJ320" s="1"/>
      <c r="FK320" s="1"/>
      <c r="FL320" s="1"/>
      <c r="FM320" s="1"/>
      <c r="FN320" s="1"/>
      <c r="FO320" s="1"/>
      <c r="FP320" s="1"/>
      <c r="FQ320" s="1"/>
      <c r="FR320" s="2"/>
      <c r="FS320" s="1"/>
    </row>
    <row r="321" spans="1:175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R321" s="1"/>
      <c r="S321" s="1"/>
      <c r="T321" s="1"/>
      <c r="U321" s="1"/>
      <c r="V321" s="1"/>
      <c r="Y321" s="1"/>
      <c r="Z321" s="2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U321" s="1"/>
      <c r="AW321" s="1"/>
      <c r="AX321" s="1"/>
      <c r="AY321" s="1"/>
      <c r="AZ321" s="1"/>
      <c r="BA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H321" s="1"/>
      <c r="EI321" s="1"/>
      <c r="EJ321" s="1"/>
      <c r="EK321" s="1"/>
      <c r="EL321" s="1"/>
      <c r="EM321" s="1"/>
      <c r="EN321" s="1"/>
      <c r="EO321" s="1"/>
      <c r="EP321" s="1"/>
      <c r="EQ321" s="1"/>
      <c r="ER321" s="1"/>
      <c r="ES321" s="1"/>
      <c r="ET321" s="1"/>
      <c r="EU321" s="1"/>
      <c r="EV321" s="1"/>
      <c r="EW321" s="1"/>
      <c r="EX321" s="1"/>
      <c r="EY321" s="1"/>
      <c r="EZ321" s="1"/>
      <c r="FA321" s="1"/>
      <c r="FB321" s="1"/>
      <c r="FC321" s="1"/>
      <c r="FD321" s="1"/>
      <c r="FE321" s="1"/>
      <c r="FF321" s="1"/>
      <c r="FG321" s="1"/>
      <c r="FH321" s="1"/>
      <c r="FI321" s="1"/>
      <c r="FJ321" s="1"/>
      <c r="FK321" s="1"/>
      <c r="FL321" s="1"/>
      <c r="FM321" s="1"/>
      <c r="FN321" s="1"/>
      <c r="FO321" s="1"/>
      <c r="FP321" s="1"/>
      <c r="FQ321" s="1"/>
      <c r="FR321" s="2"/>
      <c r="FS321" s="1"/>
    </row>
    <row r="322" spans="1:175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R322" s="1"/>
      <c r="S322" s="1"/>
      <c r="T322" s="1"/>
      <c r="U322" s="1"/>
      <c r="V322" s="1"/>
      <c r="Y322" s="1"/>
      <c r="Z322" s="2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U322" s="1"/>
      <c r="AW322" s="1"/>
      <c r="AX322" s="1"/>
      <c r="AY322" s="1"/>
      <c r="AZ322" s="1"/>
      <c r="BA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/>
      <c r="EQ322" s="1"/>
      <c r="ER322" s="1"/>
      <c r="ES322" s="1"/>
      <c r="ET322" s="1"/>
      <c r="EU322" s="1"/>
      <c r="EV322" s="1"/>
      <c r="EW322" s="1"/>
      <c r="EX322" s="1"/>
      <c r="EY322" s="1"/>
      <c r="EZ322" s="1"/>
      <c r="FA322" s="1"/>
      <c r="FB322" s="1"/>
      <c r="FC322" s="1"/>
      <c r="FD322" s="1"/>
      <c r="FE322" s="1"/>
      <c r="FF322" s="1"/>
      <c r="FG322" s="1"/>
      <c r="FH322" s="1"/>
      <c r="FI322" s="1"/>
      <c r="FJ322" s="1"/>
      <c r="FK322" s="1"/>
      <c r="FL322" s="1"/>
      <c r="FM322" s="1"/>
      <c r="FN322" s="1"/>
      <c r="FO322" s="1"/>
      <c r="FP322" s="1"/>
      <c r="FQ322" s="1"/>
      <c r="FR322" s="2"/>
      <c r="FS322" s="1"/>
    </row>
    <row r="323" spans="1:175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R323" s="1"/>
      <c r="S323" s="1"/>
      <c r="T323" s="1"/>
      <c r="U323" s="1"/>
      <c r="V323" s="1"/>
      <c r="Y323" s="1"/>
      <c r="Z323" s="2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U323" s="1"/>
      <c r="AW323" s="1"/>
      <c r="AX323" s="1"/>
      <c r="AY323" s="1"/>
      <c r="AZ323" s="1"/>
      <c r="BA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H323" s="1"/>
      <c r="EI323" s="1"/>
      <c r="EJ323" s="1"/>
      <c r="EK323" s="1"/>
      <c r="EL323" s="1"/>
      <c r="EM323" s="1"/>
      <c r="EN323" s="1"/>
      <c r="EO323" s="1"/>
      <c r="EP323" s="1"/>
      <c r="EQ323" s="1"/>
      <c r="ER323" s="1"/>
      <c r="ES323" s="1"/>
      <c r="ET323" s="1"/>
      <c r="EU323" s="1"/>
      <c r="EV323" s="1"/>
      <c r="EW323" s="1"/>
      <c r="EX323" s="1"/>
      <c r="EY323" s="1"/>
      <c r="EZ323" s="1"/>
      <c r="FA323" s="1"/>
      <c r="FB323" s="1"/>
      <c r="FC323" s="1"/>
      <c r="FD323" s="1"/>
      <c r="FE323" s="1"/>
      <c r="FF323" s="1"/>
      <c r="FG323" s="1"/>
      <c r="FH323" s="1"/>
      <c r="FI323" s="1"/>
      <c r="FJ323" s="1"/>
      <c r="FK323" s="1"/>
      <c r="FL323" s="1"/>
      <c r="FM323" s="1"/>
      <c r="FN323" s="1"/>
      <c r="FO323" s="1"/>
      <c r="FP323" s="1"/>
      <c r="FQ323" s="1"/>
      <c r="FR323" s="2"/>
      <c r="FS323" s="1"/>
    </row>
    <row r="324" spans="1:175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R324" s="1"/>
      <c r="S324" s="1"/>
      <c r="T324" s="1"/>
      <c r="U324" s="1"/>
      <c r="V324" s="1"/>
      <c r="Y324" s="1"/>
      <c r="Z324" s="2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U324" s="1"/>
      <c r="AW324" s="1"/>
      <c r="AX324" s="1"/>
      <c r="AY324" s="1"/>
      <c r="AZ324" s="1"/>
      <c r="BA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/>
      <c r="EQ324" s="1"/>
      <c r="ER324" s="1"/>
      <c r="ES324" s="1"/>
      <c r="ET324" s="1"/>
      <c r="EU324" s="1"/>
      <c r="EV324" s="1"/>
      <c r="EW324" s="1"/>
      <c r="EX324" s="1"/>
      <c r="EY324" s="1"/>
      <c r="EZ324" s="1"/>
      <c r="FA324" s="1"/>
      <c r="FB324" s="1"/>
      <c r="FC324" s="1"/>
      <c r="FD324" s="1"/>
      <c r="FE324" s="1"/>
      <c r="FF324" s="1"/>
      <c r="FG324" s="1"/>
      <c r="FH324" s="1"/>
      <c r="FI324" s="1"/>
      <c r="FJ324" s="1"/>
      <c r="FK324" s="1"/>
      <c r="FL324" s="1"/>
      <c r="FM324" s="1"/>
      <c r="FN324" s="1"/>
      <c r="FO324" s="1"/>
      <c r="FP324" s="1"/>
      <c r="FQ324" s="1"/>
      <c r="FR324" s="2"/>
      <c r="FS324" s="1"/>
    </row>
    <row r="325" spans="1:175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R325" s="1"/>
      <c r="S325" s="1"/>
      <c r="T325" s="1"/>
      <c r="U325" s="1"/>
      <c r="V325" s="1"/>
      <c r="Y325" s="1"/>
      <c r="Z325" s="2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U325" s="1"/>
      <c r="AW325" s="1"/>
      <c r="AX325" s="1"/>
      <c r="AY325" s="1"/>
      <c r="AZ325" s="1"/>
      <c r="BA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H325" s="1"/>
      <c r="EI325" s="1"/>
      <c r="EJ325" s="1"/>
      <c r="EK325" s="1"/>
      <c r="EL325" s="1"/>
      <c r="EM325" s="1"/>
      <c r="EN325" s="1"/>
      <c r="EO325" s="1"/>
      <c r="EP325" s="1"/>
      <c r="EQ325" s="1"/>
      <c r="ER325" s="1"/>
      <c r="ES325" s="1"/>
      <c r="ET325" s="1"/>
      <c r="EU325" s="1"/>
      <c r="EV325" s="1"/>
      <c r="EW325" s="1"/>
      <c r="EX325" s="1"/>
      <c r="EY325" s="1"/>
      <c r="EZ325" s="1"/>
      <c r="FA325" s="1"/>
      <c r="FB325" s="1"/>
      <c r="FC325" s="1"/>
      <c r="FD325" s="1"/>
      <c r="FE325" s="1"/>
      <c r="FF325" s="1"/>
      <c r="FG325" s="1"/>
      <c r="FH325" s="1"/>
      <c r="FI325" s="1"/>
      <c r="FJ325" s="1"/>
      <c r="FK325" s="1"/>
      <c r="FL325" s="1"/>
      <c r="FM325" s="1"/>
      <c r="FN325" s="1"/>
      <c r="FO325" s="1"/>
      <c r="FP325" s="1"/>
      <c r="FQ325" s="1"/>
      <c r="FR325" s="2"/>
      <c r="FS325" s="1"/>
    </row>
    <row r="326" spans="1:175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R326" s="1"/>
      <c r="S326" s="1"/>
      <c r="T326" s="1"/>
      <c r="U326" s="1"/>
      <c r="V326" s="1"/>
      <c r="Y326" s="1"/>
      <c r="Z326" s="2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U326" s="1"/>
      <c r="AW326" s="1"/>
      <c r="AX326" s="1"/>
      <c r="AY326" s="1"/>
      <c r="AZ326" s="1"/>
      <c r="BA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/>
      <c r="EQ326" s="1"/>
      <c r="ER326" s="1"/>
      <c r="ES326" s="1"/>
      <c r="ET326" s="1"/>
      <c r="EU326" s="1"/>
      <c r="EV326" s="1"/>
      <c r="EW326" s="1"/>
      <c r="EX326" s="1"/>
      <c r="EY326" s="1"/>
      <c r="EZ326" s="1"/>
      <c r="FA326" s="1"/>
      <c r="FB326" s="1"/>
      <c r="FC326" s="1"/>
      <c r="FD326" s="1"/>
      <c r="FE326" s="1"/>
      <c r="FF326" s="1"/>
      <c r="FG326" s="1"/>
      <c r="FH326" s="1"/>
      <c r="FI326" s="1"/>
      <c r="FJ326" s="1"/>
      <c r="FK326" s="1"/>
      <c r="FL326" s="1"/>
      <c r="FM326" s="1"/>
      <c r="FN326" s="1"/>
      <c r="FO326" s="1"/>
      <c r="FP326" s="1"/>
      <c r="FQ326" s="1"/>
      <c r="FR326" s="2"/>
      <c r="FS326" s="1"/>
    </row>
    <row r="327" spans="1:175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R327" s="1"/>
      <c r="S327" s="1"/>
      <c r="T327" s="1"/>
      <c r="U327" s="1"/>
      <c r="V327" s="1"/>
      <c r="Y327" s="1"/>
      <c r="Z327" s="2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U327" s="1"/>
      <c r="AW327" s="1"/>
      <c r="AX327" s="1"/>
      <c r="AY327" s="1"/>
      <c r="AZ327" s="1"/>
      <c r="BA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H327" s="1"/>
      <c r="EI327" s="1"/>
      <c r="EJ327" s="1"/>
      <c r="EK327" s="1"/>
      <c r="EL327" s="1"/>
      <c r="EM327" s="1"/>
      <c r="EN327" s="1"/>
      <c r="EO327" s="1"/>
      <c r="EP327" s="1"/>
      <c r="EQ327" s="1"/>
      <c r="ER327" s="1"/>
      <c r="ES327" s="1"/>
      <c r="ET327" s="1"/>
      <c r="EU327" s="1"/>
      <c r="EV327" s="1"/>
      <c r="EW327" s="1"/>
      <c r="EX327" s="1"/>
      <c r="EY327" s="1"/>
      <c r="EZ327" s="1"/>
      <c r="FA327" s="1"/>
      <c r="FB327" s="1"/>
      <c r="FC327" s="1"/>
      <c r="FD327" s="1"/>
      <c r="FE327" s="1"/>
      <c r="FF327" s="1"/>
      <c r="FG327" s="1"/>
      <c r="FH327" s="1"/>
      <c r="FI327" s="1"/>
      <c r="FJ327" s="1"/>
      <c r="FK327" s="1"/>
      <c r="FL327" s="1"/>
      <c r="FM327" s="1"/>
      <c r="FN327" s="1"/>
      <c r="FO327" s="1"/>
      <c r="FP327" s="1"/>
      <c r="FQ327" s="1"/>
      <c r="FR327" s="2"/>
      <c r="FS327" s="1"/>
    </row>
    <row r="328" spans="1:175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R328" s="1"/>
      <c r="S328" s="1"/>
      <c r="T328" s="1"/>
      <c r="U328" s="1"/>
      <c r="V328" s="1"/>
      <c r="Y328" s="1"/>
      <c r="Z328" s="2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U328" s="1"/>
      <c r="AW328" s="1"/>
      <c r="AX328" s="1"/>
      <c r="AY328" s="1"/>
      <c r="AZ328" s="1"/>
      <c r="BA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/>
      <c r="EQ328" s="1"/>
      <c r="ER328" s="1"/>
      <c r="ES328" s="1"/>
      <c r="ET328" s="1"/>
      <c r="EU328" s="1"/>
      <c r="EV328" s="1"/>
      <c r="EW328" s="1"/>
      <c r="EX328" s="1"/>
      <c r="EY328" s="1"/>
      <c r="EZ328" s="1"/>
      <c r="FA328" s="1"/>
      <c r="FB328" s="1"/>
      <c r="FC328" s="1"/>
      <c r="FD328" s="1"/>
      <c r="FE328" s="1"/>
      <c r="FF328" s="1"/>
      <c r="FG328" s="1"/>
      <c r="FH328" s="1"/>
      <c r="FI328" s="1"/>
      <c r="FJ328" s="1"/>
      <c r="FK328" s="1"/>
      <c r="FL328" s="1"/>
      <c r="FM328" s="1"/>
      <c r="FN328" s="1"/>
      <c r="FO328" s="1"/>
      <c r="FP328" s="1"/>
      <c r="FQ328" s="1"/>
      <c r="FR328" s="2"/>
      <c r="FS328" s="1"/>
    </row>
    <row r="329" spans="1:175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R329" s="1"/>
      <c r="S329" s="1"/>
      <c r="T329" s="1"/>
      <c r="U329" s="1"/>
      <c r="V329" s="1"/>
      <c r="Y329" s="1"/>
      <c r="Z329" s="2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U329" s="1"/>
      <c r="AW329" s="1"/>
      <c r="AX329" s="1"/>
      <c r="AY329" s="1"/>
      <c r="AZ329" s="1"/>
      <c r="BA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H329" s="1"/>
      <c r="EI329" s="1"/>
      <c r="EJ329" s="1"/>
      <c r="EK329" s="1"/>
      <c r="EL329" s="1"/>
      <c r="EM329" s="1"/>
      <c r="EN329" s="1"/>
      <c r="EO329" s="1"/>
      <c r="EP329" s="1"/>
      <c r="EQ329" s="1"/>
      <c r="ER329" s="1"/>
      <c r="ES329" s="1"/>
      <c r="ET329" s="1"/>
      <c r="EU329" s="1"/>
      <c r="EV329" s="1"/>
      <c r="EW329" s="1"/>
      <c r="EX329" s="1"/>
      <c r="EY329" s="1"/>
      <c r="EZ329" s="1"/>
      <c r="FA329" s="1"/>
      <c r="FB329" s="1"/>
      <c r="FC329" s="1"/>
      <c r="FD329" s="1"/>
      <c r="FE329" s="1"/>
      <c r="FF329" s="1"/>
      <c r="FG329" s="1"/>
      <c r="FH329" s="1"/>
      <c r="FI329" s="1"/>
      <c r="FJ329" s="1"/>
      <c r="FK329" s="1"/>
      <c r="FL329" s="1"/>
      <c r="FM329" s="1"/>
      <c r="FN329" s="1"/>
      <c r="FO329" s="1"/>
      <c r="FP329" s="1"/>
      <c r="FQ329" s="1"/>
      <c r="FR329" s="2"/>
      <c r="FS329" s="1"/>
    </row>
    <row r="330" spans="1:175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R330" s="1"/>
      <c r="S330" s="1"/>
      <c r="T330" s="1"/>
      <c r="U330" s="1"/>
      <c r="V330" s="1"/>
      <c r="Y330" s="1"/>
      <c r="Z330" s="2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U330" s="1"/>
      <c r="AW330" s="1"/>
      <c r="AX330" s="1"/>
      <c r="AY330" s="1"/>
      <c r="AZ330" s="1"/>
      <c r="BA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/>
      <c r="EQ330" s="1"/>
      <c r="ER330" s="1"/>
      <c r="ES330" s="1"/>
      <c r="ET330" s="1"/>
      <c r="EU330" s="1"/>
      <c r="EV330" s="1"/>
      <c r="EW330" s="1"/>
      <c r="EX330" s="1"/>
      <c r="EY330" s="1"/>
      <c r="EZ330" s="1"/>
      <c r="FA330" s="1"/>
      <c r="FB330" s="1"/>
      <c r="FC330" s="1"/>
      <c r="FD330" s="1"/>
      <c r="FE330" s="1"/>
      <c r="FF330" s="1"/>
      <c r="FG330" s="1"/>
      <c r="FH330" s="1"/>
      <c r="FI330" s="1"/>
      <c r="FJ330" s="1"/>
      <c r="FK330" s="1"/>
      <c r="FL330" s="1"/>
      <c r="FM330" s="1"/>
      <c r="FN330" s="1"/>
      <c r="FO330" s="1"/>
      <c r="FP330" s="1"/>
      <c r="FQ330" s="1"/>
      <c r="FR330" s="2"/>
      <c r="FS330" s="1"/>
    </row>
    <row r="331" spans="1:175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R331" s="1"/>
      <c r="S331" s="1"/>
      <c r="T331" s="1"/>
      <c r="U331" s="1"/>
      <c r="V331" s="1"/>
      <c r="Y331" s="1"/>
      <c r="Z331" s="2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U331" s="1"/>
      <c r="AW331" s="1"/>
      <c r="AX331" s="1"/>
      <c r="AY331" s="1"/>
      <c r="AZ331" s="1"/>
      <c r="BA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H331" s="1"/>
      <c r="EI331" s="1"/>
      <c r="EJ331" s="1"/>
      <c r="EK331" s="1"/>
      <c r="EL331" s="1"/>
      <c r="EM331" s="1"/>
      <c r="EN331" s="1"/>
      <c r="EO331" s="1"/>
      <c r="EP331" s="1"/>
      <c r="EQ331" s="1"/>
      <c r="ER331" s="1"/>
      <c r="ES331" s="1"/>
      <c r="ET331" s="1"/>
      <c r="EU331" s="1"/>
      <c r="EV331" s="1"/>
      <c r="EW331" s="1"/>
      <c r="EX331" s="1"/>
      <c r="EY331" s="1"/>
      <c r="EZ331" s="1"/>
      <c r="FA331" s="1"/>
      <c r="FB331" s="1"/>
      <c r="FC331" s="1"/>
      <c r="FD331" s="1"/>
      <c r="FE331" s="1"/>
      <c r="FF331" s="1"/>
      <c r="FG331" s="1"/>
      <c r="FH331" s="1"/>
      <c r="FI331" s="1"/>
      <c r="FJ331" s="1"/>
      <c r="FK331" s="1"/>
      <c r="FL331" s="1"/>
      <c r="FM331" s="1"/>
      <c r="FN331" s="1"/>
      <c r="FO331" s="1"/>
      <c r="FP331" s="1"/>
      <c r="FQ331" s="1"/>
      <c r="FR331" s="2"/>
      <c r="FS331" s="1"/>
    </row>
    <row r="332" spans="1:175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R332" s="1"/>
      <c r="S332" s="1"/>
      <c r="T332" s="1"/>
      <c r="U332" s="1"/>
      <c r="V332" s="1"/>
      <c r="Y332" s="1"/>
      <c r="Z332" s="2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U332" s="1"/>
      <c r="AW332" s="1"/>
      <c r="AX332" s="1"/>
      <c r="AY332" s="1"/>
      <c r="AZ332" s="1"/>
      <c r="BA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/>
      <c r="EQ332" s="1"/>
      <c r="ER332" s="1"/>
      <c r="ES332" s="1"/>
      <c r="ET332" s="1"/>
      <c r="EU332" s="1"/>
      <c r="EV332" s="1"/>
      <c r="EW332" s="1"/>
      <c r="EX332" s="1"/>
      <c r="EY332" s="1"/>
      <c r="EZ332" s="1"/>
      <c r="FA332" s="1"/>
      <c r="FB332" s="1"/>
      <c r="FC332" s="1"/>
      <c r="FD332" s="1"/>
      <c r="FE332" s="1"/>
      <c r="FF332" s="1"/>
      <c r="FG332" s="1"/>
      <c r="FH332" s="1"/>
      <c r="FI332" s="1"/>
      <c r="FJ332" s="1"/>
      <c r="FK332" s="1"/>
      <c r="FL332" s="1"/>
      <c r="FM332" s="1"/>
      <c r="FN332" s="1"/>
      <c r="FO332" s="1"/>
      <c r="FP332" s="1"/>
      <c r="FQ332" s="1"/>
      <c r="FR332" s="2"/>
      <c r="FS332" s="1"/>
    </row>
    <row r="333" spans="1:175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R333" s="1"/>
      <c r="S333" s="1"/>
      <c r="T333" s="1"/>
      <c r="U333" s="1"/>
      <c r="V333" s="1"/>
      <c r="Y333" s="1"/>
      <c r="Z333" s="2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U333" s="1"/>
      <c r="AW333" s="1"/>
      <c r="AX333" s="1"/>
      <c r="AY333" s="1"/>
      <c r="AZ333" s="1"/>
      <c r="BA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H333" s="1"/>
      <c r="EI333" s="1"/>
      <c r="EJ333" s="1"/>
      <c r="EK333" s="1"/>
      <c r="EL333" s="1"/>
      <c r="EM333" s="1"/>
      <c r="EN333" s="1"/>
      <c r="EO333" s="1"/>
      <c r="EP333" s="1"/>
      <c r="EQ333" s="1"/>
      <c r="ER333" s="1"/>
      <c r="ES333" s="1"/>
      <c r="ET333" s="1"/>
      <c r="EU333" s="1"/>
      <c r="EV333" s="1"/>
      <c r="EW333" s="1"/>
      <c r="EX333" s="1"/>
      <c r="EY333" s="1"/>
      <c r="EZ333" s="1"/>
      <c r="FA333" s="1"/>
      <c r="FB333" s="1"/>
      <c r="FC333" s="1"/>
      <c r="FD333" s="1"/>
      <c r="FE333" s="1"/>
      <c r="FF333" s="1"/>
      <c r="FG333" s="1"/>
      <c r="FH333" s="1"/>
      <c r="FI333" s="1"/>
      <c r="FJ333" s="1"/>
      <c r="FK333" s="1"/>
      <c r="FL333" s="1"/>
      <c r="FM333" s="1"/>
      <c r="FN333" s="1"/>
      <c r="FO333" s="1"/>
      <c r="FP333" s="1"/>
      <c r="FQ333" s="1"/>
      <c r="FR333" s="2"/>
      <c r="FS333" s="1"/>
    </row>
    <row r="334" spans="1:175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R334" s="1"/>
      <c r="S334" s="1"/>
      <c r="T334" s="1"/>
      <c r="U334" s="1"/>
      <c r="V334" s="1"/>
      <c r="Y334" s="1"/>
      <c r="Z334" s="2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U334" s="1"/>
      <c r="AW334" s="1"/>
      <c r="AX334" s="1"/>
      <c r="AY334" s="1"/>
      <c r="AZ334" s="1"/>
      <c r="BA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  <c r="EO334" s="1"/>
      <c r="EP334" s="1"/>
      <c r="EQ334" s="1"/>
      <c r="ER334" s="1"/>
      <c r="ES334" s="1"/>
      <c r="ET334" s="1"/>
      <c r="EU334" s="1"/>
      <c r="EV334" s="1"/>
      <c r="EW334" s="1"/>
      <c r="EX334" s="1"/>
      <c r="EY334" s="1"/>
      <c r="EZ334" s="1"/>
      <c r="FA334" s="1"/>
      <c r="FB334" s="1"/>
      <c r="FC334" s="1"/>
      <c r="FD334" s="1"/>
      <c r="FE334" s="1"/>
      <c r="FF334" s="1"/>
      <c r="FG334" s="1"/>
      <c r="FH334" s="1"/>
      <c r="FI334" s="1"/>
      <c r="FJ334" s="1"/>
      <c r="FK334" s="1"/>
      <c r="FL334" s="1"/>
      <c r="FM334" s="1"/>
      <c r="FN334" s="1"/>
      <c r="FO334" s="1"/>
      <c r="FP334" s="1"/>
      <c r="FQ334" s="1"/>
      <c r="FR334" s="2"/>
      <c r="FS334" s="1"/>
    </row>
    <row r="335" spans="1:175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R335" s="1"/>
      <c r="S335" s="1"/>
      <c r="T335" s="1"/>
      <c r="U335" s="1"/>
      <c r="V335" s="1"/>
      <c r="Y335" s="1"/>
      <c r="Z335" s="2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U335" s="1"/>
      <c r="AW335" s="1"/>
      <c r="AX335" s="1"/>
      <c r="AY335" s="1"/>
      <c r="AZ335" s="1"/>
      <c r="BA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H335" s="1"/>
      <c r="EI335" s="1"/>
      <c r="EJ335" s="1"/>
      <c r="EK335" s="1"/>
      <c r="EL335" s="1"/>
      <c r="EM335" s="1"/>
      <c r="EN335" s="1"/>
      <c r="EO335" s="1"/>
      <c r="EP335" s="1"/>
      <c r="EQ335" s="1"/>
      <c r="ER335" s="1"/>
      <c r="ES335" s="1"/>
      <c r="ET335" s="1"/>
      <c r="EU335" s="1"/>
      <c r="EV335" s="1"/>
      <c r="EW335" s="1"/>
      <c r="EX335" s="1"/>
      <c r="EY335" s="1"/>
      <c r="EZ335" s="1"/>
      <c r="FA335" s="1"/>
      <c r="FB335" s="1"/>
      <c r="FC335" s="1"/>
      <c r="FD335" s="1"/>
      <c r="FE335" s="1"/>
      <c r="FF335" s="1"/>
      <c r="FG335" s="1"/>
      <c r="FH335" s="1"/>
      <c r="FI335" s="1"/>
      <c r="FJ335" s="1"/>
      <c r="FK335" s="1"/>
      <c r="FL335" s="1"/>
      <c r="FM335" s="1"/>
      <c r="FN335" s="1"/>
      <c r="FO335" s="1"/>
      <c r="FP335" s="1"/>
      <c r="FQ335" s="1"/>
      <c r="FR335" s="2"/>
      <c r="FS335" s="1"/>
    </row>
    <row r="336" spans="1:175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R336" s="1"/>
      <c r="S336" s="1"/>
      <c r="T336" s="1"/>
      <c r="U336" s="1"/>
      <c r="V336" s="1"/>
      <c r="Y336" s="1"/>
      <c r="Z336" s="2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U336" s="1"/>
      <c r="AW336" s="1"/>
      <c r="AX336" s="1"/>
      <c r="AY336" s="1"/>
      <c r="AZ336" s="1"/>
      <c r="BA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/>
      <c r="EQ336" s="1"/>
      <c r="ER336" s="1"/>
      <c r="ES336" s="1"/>
      <c r="ET336" s="1"/>
      <c r="EU336" s="1"/>
      <c r="EV336" s="1"/>
      <c r="EW336" s="1"/>
      <c r="EX336" s="1"/>
      <c r="EY336" s="1"/>
      <c r="EZ336" s="1"/>
      <c r="FA336" s="1"/>
      <c r="FB336" s="1"/>
      <c r="FC336" s="1"/>
      <c r="FD336" s="1"/>
      <c r="FE336" s="1"/>
      <c r="FF336" s="1"/>
      <c r="FG336" s="1"/>
      <c r="FH336" s="1"/>
      <c r="FI336" s="1"/>
      <c r="FJ336" s="1"/>
      <c r="FK336" s="1"/>
      <c r="FL336" s="1"/>
      <c r="FM336" s="1"/>
      <c r="FN336" s="1"/>
      <c r="FO336" s="1"/>
      <c r="FP336" s="1"/>
      <c r="FQ336" s="1"/>
      <c r="FR336" s="2"/>
      <c r="FS336" s="1"/>
    </row>
    <row r="337" spans="1:175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R337" s="1"/>
      <c r="S337" s="1"/>
      <c r="T337" s="1"/>
      <c r="U337" s="1"/>
      <c r="V337" s="1"/>
      <c r="Y337" s="1"/>
      <c r="Z337" s="2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U337" s="1"/>
      <c r="AW337" s="1"/>
      <c r="AX337" s="1"/>
      <c r="AY337" s="1"/>
      <c r="AZ337" s="1"/>
      <c r="BA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H337" s="1"/>
      <c r="EI337" s="1"/>
      <c r="EJ337" s="1"/>
      <c r="EK337" s="1"/>
      <c r="EL337" s="1"/>
      <c r="EM337" s="1"/>
      <c r="EN337" s="1"/>
      <c r="EO337" s="1"/>
      <c r="EP337" s="1"/>
      <c r="EQ337" s="1"/>
      <c r="ER337" s="1"/>
      <c r="ES337" s="1"/>
      <c r="ET337" s="1"/>
      <c r="EU337" s="1"/>
      <c r="EV337" s="1"/>
      <c r="EW337" s="1"/>
      <c r="EX337" s="1"/>
      <c r="EY337" s="1"/>
      <c r="EZ337" s="1"/>
      <c r="FA337" s="1"/>
      <c r="FB337" s="1"/>
      <c r="FC337" s="1"/>
      <c r="FD337" s="1"/>
      <c r="FE337" s="1"/>
      <c r="FF337" s="1"/>
      <c r="FG337" s="1"/>
      <c r="FH337" s="1"/>
      <c r="FI337" s="1"/>
      <c r="FJ337" s="1"/>
      <c r="FK337" s="1"/>
      <c r="FL337" s="1"/>
      <c r="FM337" s="1"/>
      <c r="FN337" s="1"/>
      <c r="FO337" s="1"/>
      <c r="FP337" s="1"/>
      <c r="FQ337" s="1"/>
      <c r="FR337" s="2"/>
      <c r="FS337" s="1"/>
    </row>
    <row r="338" spans="1:175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R338" s="1"/>
      <c r="S338" s="1"/>
      <c r="T338" s="1"/>
      <c r="U338" s="1"/>
      <c r="V338" s="1"/>
      <c r="Y338" s="1"/>
      <c r="Z338" s="2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U338" s="1"/>
      <c r="AW338" s="1"/>
      <c r="AX338" s="1"/>
      <c r="AY338" s="1"/>
      <c r="AZ338" s="1"/>
      <c r="BA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/>
      <c r="EQ338" s="1"/>
      <c r="ER338" s="1"/>
      <c r="ES338" s="1"/>
      <c r="ET338" s="1"/>
      <c r="EU338" s="1"/>
      <c r="EV338" s="1"/>
      <c r="EW338" s="1"/>
      <c r="EX338" s="1"/>
      <c r="EY338" s="1"/>
      <c r="EZ338" s="1"/>
      <c r="FA338" s="1"/>
      <c r="FB338" s="1"/>
      <c r="FC338" s="1"/>
      <c r="FD338" s="1"/>
      <c r="FE338" s="1"/>
      <c r="FF338" s="1"/>
      <c r="FG338" s="1"/>
      <c r="FH338" s="1"/>
      <c r="FI338" s="1"/>
      <c r="FJ338" s="1"/>
      <c r="FK338" s="1"/>
      <c r="FL338" s="1"/>
      <c r="FM338" s="1"/>
      <c r="FN338" s="1"/>
      <c r="FO338" s="1"/>
      <c r="FP338" s="1"/>
      <c r="FQ338" s="1"/>
      <c r="FR338" s="2"/>
      <c r="FS338" s="1"/>
    </row>
    <row r="339" spans="1:175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R339" s="1"/>
      <c r="S339" s="1"/>
      <c r="T339" s="1"/>
      <c r="U339" s="1"/>
      <c r="V339" s="1"/>
      <c r="Y339" s="1"/>
      <c r="Z339" s="2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U339" s="1"/>
      <c r="AW339" s="1"/>
      <c r="AX339" s="1"/>
      <c r="AY339" s="1"/>
      <c r="AZ339" s="1"/>
      <c r="BA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H339" s="1"/>
      <c r="EI339" s="1"/>
      <c r="EJ339" s="1"/>
      <c r="EK339" s="1"/>
      <c r="EL339" s="1"/>
      <c r="EM339" s="1"/>
      <c r="EN339" s="1"/>
      <c r="EO339" s="1"/>
      <c r="EP339" s="1"/>
      <c r="EQ339" s="1"/>
      <c r="ER339" s="1"/>
      <c r="ES339" s="1"/>
      <c r="ET339" s="1"/>
      <c r="EU339" s="1"/>
      <c r="EV339" s="1"/>
      <c r="EW339" s="1"/>
      <c r="EX339" s="1"/>
      <c r="EY339" s="1"/>
      <c r="EZ339" s="1"/>
      <c r="FA339" s="1"/>
      <c r="FB339" s="1"/>
      <c r="FC339" s="1"/>
      <c r="FD339" s="1"/>
      <c r="FE339" s="1"/>
      <c r="FF339" s="1"/>
      <c r="FG339" s="1"/>
      <c r="FH339" s="1"/>
      <c r="FI339" s="1"/>
      <c r="FJ339" s="1"/>
      <c r="FK339" s="1"/>
      <c r="FL339" s="1"/>
      <c r="FM339" s="1"/>
      <c r="FN339" s="1"/>
      <c r="FO339" s="1"/>
      <c r="FP339" s="1"/>
      <c r="FQ339" s="1"/>
      <c r="FR339" s="2"/>
      <c r="FS339" s="1"/>
    </row>
    <row r="340" spans="1:175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R340" s="1"/>
      <c r="S340" s="1"/>
      <c r="T340" s="1"/>
      <c r="U340" s="1"/>
      <c r="V340" s="1"/>
      <c r="Y340" s="1"/>
      <c r="Z340" s="2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U340" s="1"/>
      <c r="AW340" s="1"/>
      <c r="AX340" s="1"/>
      <c r="AY340" s="1"/>
      <c r="AZ340" s="1"/>
      <c r="BA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/>
      <c r="EQ340" s="1"/>
      <c r="ER340" s="1"/>
      <c r="ES340" s="1"/>
      <c r="ET340" s="1"/>
      <c r="EU340" s="1"/>
      <c r="EV340" s="1"/>
      <c r="EW340" s="1"/>
      <c r="EX340" s="1"/>
      <c r="EY340" s="1"/>
      <c r="EZ340" s="1"/>
      <c r="FA340" s="1"/>
      <c r="FB340" s="1"/>
      <c r="FC340" s="1"/>
      <c r="FD340" s="1"/>
      <c r="FE340" s="1"/>
      <c r="FF340" s="1"/>
      <c r="FG340" s="1"/>
      <c r="FH340" s="1"/>
      <c r="FI340" s="1"/>
      <c r="FJ340" s="1"/>
      <c r="FK340" s="1"/>
      <c r="FL340" s="1"/>
      <c r="FM340" s="1"/>
      <c r="FN340" s="1"/>
      <c r="FO340" s="1"/>
      <c r="FP340" s="1"/>
      <c r="FQ340" s="1"/>
      <c r="FR340" s="2"/>
      <c r="FS340" s="1"/>
    </row>
    <row r="341" spans="1:175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R341" s="1"/>
      <c r="S341" s="1"/>
      <c r="T341" s="1"/>
      <c r="U341" s="1"/>
      <c r="V341" s="1"/>
      <c r="Y341" s="1"/>
      <c r="Z341" s="2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U341" s="1"/>
      <c r="AW341" s="1"/>
      <c r="AX341" s="1"/>
      <c r="AY341" s="1"/>
      <c r="AZ341" s="1"/>
      <c r="BA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H341" s="1"/>
      <c r="EI341" s="1"/>
      <c r="EJ341" s="1"/>
      <c r="EK341" s="1"/>
      <c r="EL341" s="1"/>
      <c r="EM341" s="1"/>
      <c r="EN341" s="1"/>
      <c r="EO341" s="1"/>
      <c r="EP341" s="1"/>
      <c r="EQ341" s="1"/>
      <c r="ER341" s="1"/>
      <c r="ES341" s="1"/>
      <c r="ET341" s="1"/>
      <c r="EU341" s="1"/>
      <c r="EV341" s="1"/>
      <c r="EW341" s="1"/>
      <c r="EX341" s="1"/>
      <c r="EY341" s="1"/>
      <c r="EZ341" s="1"/>
      <c r="FA341" s="1"/>
      <c r="FB341" s="1"/>
      <c r="FC341" s="1"/>
      <c r="FD341" s="1"/>
      <c r="FE341" s="1"/>
      <c r="FF341" s="1"/>
      <c r="FG341" s="1"/>
      <c r="FH341" s="1"/>
      <c r="FI341" s="1"/>
      <c r="FJ341" s="1"/>
      <c r="FK341" s="1"/>
      <c r="FL341" s="1"/>
      <c r="FM341" s="1"/>
      <c r="FN341" s="1"/>
      <c r="FO341" s="1"/>
      <c r="FP341" s="1"/>
      <c r="FQ341" s="1"/>
      <c r="FR341" s="2"/>
      <c r="FS341" s="1"/>
    </row>
    <row r="342" spans="1:175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R342" s="1"/>
      <c r="S342" s="1"/>
      <c r="T342" s="1"/>
      <c r="U342" s="1"/>
      <c r="V342" s="1"/>
      <c r="Y342" s="1"/>
      <c r="Z342" s="2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U342" s="1"/>
      <c r="AW342" s="1"/>
      <c r="AX342" s="1"/>
      <c r="AY342" s="1"/>
      <c r="AZ342" s="1"/>
      <c r="BA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  <c r="EP342" s="1"/>
      <c r="EQ342" s="1"/>
      <c r="ER342" s="1"/>
      <c r="ES342" s="1"/>
      <c r="ET342" s="1"/>
      <c r="EU342" s="1"/>
      <c r="EV342" s="1"/>
      <c r="EW342" s="1"/>
      <c r="EX342" s="1"/>
      <c r="EY342" s="1"/>
      <c r="EZ342" s="1"/>
      <c r="FA342" s="1"/>
      <c r="FB342" s="1"/>
      <c r="FC342" s="1"/>
      <c r="FD342" s="1"/>
      <c r="FE342" s="1"/>
      <c r="FF342" s="1"/>
      <c r="FG342" s="1"/>
      <c r="FH342" s="1"/>
      <c r="FI342" s="1"/>
      <c r="FJ342" s="1"/>
      <c r="FK342" s="1"/>
      <c r="FL342" s="1"/>
      <c r="FM342" s="1"/>
      <c r="FN342" s="1"/>
      <c r="FO342" s="1"/>
      <c r="FP342" s="1"/>
      <c r="FQ342" s="1"/>
      <c r="FR342" s="2"/>
      <c r="FS342" s="1"/>
    </row>
    <row r="343" spans="1:175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R343" s="1"/>
      <c r="S343" s="1"/>
      <c r="T343" s="1"/>
      <c r="U343" s="1"/>
      <c r="V343" s="1"/>
      <c r="Y343" s="1"/>
      <c r="Z343" s="2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U343" s="1"/>
      <c r="AW343" s="1"/>
      <c r="AX343" s="1"/>
      <c r="AY343" s="1"/>
      <c r="AZ343" s="1"/>
      <c r="BA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  <c r="EH343" s="1"/>
      <c r="EI343" s="1"/>
      <c r="EJ343" s="1"/>
      <c r="EK343" s="1"/>
      <c r="EL343" s="1"/>
      <c r="EM343" s="1"/>
      <c r="EN343" s="1"/>
      <c r="EO343" s="1"/>
      <c r="EP343" s="1"/>
      <c r="EQ343" s="1"/>
      <c r="ER343" s="1"/>
      <c r="ES343" s="1"/>
      <c r="ET343" s="1"/>
      <c r="EU343" s="1"/>
      <c r="EV343" s="1"/>
      <c r="EW343" s="1"/>
      <c r="EX343" s="1"/>
      <c r="EY343" s="1"/>
      <c r="EZ343" s="1"/>
      <c r="FA343" s="1"/>
      <c r="FB343" s="1"/>
      <c r="FC343" s="1"/>
      <c r="FD343" s="1"/>
      <c r="FE343" s="1"/>
      <c r="FF343" s="1"/>
      <c r="FG343" s="1"/>
      <c r="FH343" s="1"/>
      <c r="FI343" s="1"/>
      <c r="FJ343" s="1"/>
      <c r="FK343" s="1"/>
      <c r="FL343" s="1"/>
      <c r="FM343" s="1"/>
      <c r="FN343" s="1"/>
      <c r="FO343" s="1"/>
      <c r="FP343" s="1"/>
      <c r="FQ343" s="1"/>
      <c r="FR343" s="2"/>
      <c r="FS343" s="1"/>
    </row>
    <row r="344" spans="1:175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R344" s="1"/>
      <c r="S344" s="1"/>
      <c r="T344" s="1"/>
      <c r="U344" s="1"/>
      <c r="V344" s="1"/>
      <c r="Y344" s="1"/>
      <c r="Z344" s="2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U344" s="1"/>
      <c r="AW344" s="1"/>
      <c r="AX344" s="1"/>
      <c r="AY344" s="1"/>
      <c r="AZ344" s="1"/>
      <c r="BA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  <c r="EP344" s="1"/>
      <c r="EQ344" s="1"/>
      <c r="ER344" s="1"/>
      <c r="ES344" s="1"/>
      <c r="ET344" s="1"/>
      <c r="EU344" s="1"/>
      <c r="EV344" s="1"/>
      <c r="EW344" s="1"/>
      <c r="EX344" s="1"/>
      <c r="EY344" s="1"/>
      <c r="EZ344" s="1"/>
      <c r="FA344" s="1"/>
      <c r="FB344" s="1"/>
      <c r="FC344" s="1"/>
      <c r="FD344" s="1"/>
      <c r="FE344" s="1"/>
      <c r="FF344" s="1"/>
      <c r="FG344" s="1"/>
      <c r="FH344" s="1"/>
      <c r="FI344" s="1"/>
      <c r="FJ344" s="1"/>
      <c r="FK344" s="1"/>
      <c r="FL344" s="1"/>
      <c r="FM344" s="1"/>
      <c r="FN344" s="1"/>
      <c r="FO344" s="1"/>
      <c r="FP344" s="1"/>
      <c r="FQ344" s="1"/>
      <c r="FR344" s="2"/>
      <c r="FS344" s="1"/>
    </row>
    <row r="345" spans="1:175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R345" s="1"/>
      <c r="S345" s="1"/>
      <c r="T345" s="1"/>
      <c r="U345" s="1"/>
      <c r="V345" s="1"/>
      <c r="Y345" s="1"/>
      <c r="Z345" s="2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U345" s="1"/>
      <c r="AW345" s="1"/>
      <c r="AX345" s="1"/>
      <c r="AY345" s="1"/>
      <c r="AZ345" s="1"/>
      <c r="BA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H345" s="1"/>
      <c r="EI345" s="1"/>
      <c r="EJ345" s="1"/>
      <c r="EK345" s="1"/>
      <c r="EL345" s="1"/>
      <c r="EM345" s="1"/>
      <c r="EN345" s="1"/>
      <c r="EO345" s="1"/>
      <c r="EP345" s="1"/>
      <c r="EQ345" s="1"/>
      <c r="ER345" s="1"/>
      <c r="ES345" s="1"/>
      <c r="ET345" s="1"/>
      <c r="EU345" s="1"/>
      <c r="EV345" s="1"/>
      <c r="EW345" s="1"/>
      <c r="EX345" s="1"/>
      <c r="EY345" s="1"/>
      <c r="EZ345" s="1"/>
      <c r="FA345" s="1"/>
      <c r="FB345" s="1"/>
      <c r="FC345" s="1"/>
      <c r="FD345" s="1"/>
      <c r="FE345" s="1"/>
      <c r="FF345" s="1"/>
      <c r="FG345" s="1"/>
      <c r="FH345" s="1"/>
      <c r="FI345" s="1"/>
      <c r="FJ345" s="1"/>
      <c r="FK345" s="1"/>
      <c r="FL345" s="1"/>
      <c r="FM345" s="1"/>
      <c r="FN345" s="1"/>
      <c r="FO345" s="1"/>
      <c r="FP345" s="1"/>
      <c r="FQ345" s="1"/>
      <c r="FR345" s="2"/>
      <c r="FS345" s="1"/>
    </row>
    <row r="346" spans="1:175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R346" s="1"/>
      <c r="S346" s="1"/>
      <c r="T346" s="1"/>
      <c r="U346" s="1"/>
      <c r="V346" s="1"/>
      <c r="Y346" s="1"/>
      <c r="Z346" s="2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U346" s="1"/>
      <c r="AW346" s="1"/>
      <c r="AX346" s="1"/>
      <c r="AY346" s="1"/>
      <c r="AZ346" s="1"/>
      <c r="BA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  <c r="EL346" s="1"/>
      <c r="EM346" s="1"/>
      <c r="EN346" s="1"/>
      <c r="EO346" s="1"/>
      <c r="EP346" s="1"/>
      <c r="EQ346" s="1"/>
      <c r="ER346" s="1"/>
      <c r="ES346" s="1"/>
      <c r="ET346" s="1"/>
      <c r="EU346" s="1"/>
      <c r="EV346" s="1"/>
      <c r="EW346" s="1"/>
      <c r="EX346" s="1"/>
      <c r="EY346" s="1"/>
      <c r="EZ346" s="1"/>
      <c r="FA346" s="1"/>
      <c r="FB346" s="1"/>
      <c r="FC346" s="1"/>
      <c r="FD346" s="1"/>
      <c r="FE346" s="1"/>
      <c r="FF346" s="1"/>
      <c r="FG346" s="1"/>
      <c r="FH346" s="1"/>
      <c r="FI346" s="1"/>
      <c r="FJ346" s="1"/>
      <c r="FK346" s="1"/>
      <c r="FL346" s="1"/>
      <c r="FM346" s="1"/>
      <c r="FN346" s="1"/>
      <c r="FO346" s="1"/>
      <c r="FP346" s="1"/>
      <c r="FQ346" s="1"/>
      <c r="FR346" s="2"/>
      <c r="FS346" s="1"/>
    </row>
    <row r="347" spans="1:175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R347" s="1"/>
      <c r="S347" s="1"/>
      <c r="T347" s="1"/>
      <c r="U347" s="1"/>
      <c r="V347" s="1"/>
      <c r="Y347" s="1"/>
      <c r="Z347" s="2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U347" s="1"/>
      <c r="AW347" s="1"/>
      <c r="AX347" s="1"/>
      <c r="AY347" s="1"/>
      <c r="AZ347" s="1"/>
      <c r="BA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H347" s="1"/>
      <c r="EI347" s="1"/>
      <c r="EJ347" s="1"/>
      <c r="EK347" s="1"/>
      <c r="EL347" s="1"/>
      <c r="EM347" s="1"/>
      <c r="EN347" s="1"/>
      <c r="EO347" s="1"/>
      <c r="EP347" s="1"/>
      <c r="EQ347" s="1"/>
      <c r="ER347" s="1"/>
      <c r="ES347" s="1"/>
      <c r="ET347" s="1"/>
      <c r="EU347" s="1"/>
      <c r="EV347" s="1"/>
      <c r="EW347" s="1"/>
      <c r="EX347" s="1"/>
      <c r="EY347" s="1"/>
      <c r="EZ347" s="1"/>
      <c r="FA347" s="1"/>
      <c r="FB347" s="1"/>
      <c r="FC347" s="1"/>
      <c r="FD347" s="1"/>
      <c r="FE347" s="1"/>
      <c r="FF347" s="1"/>
      <c r="FG347" s="1"/>
      <c r="FH347" s="1"/>
      <c r="FI347" s="1"/>
      <c r="FJ347" s="1"/>
      <c r="FK347" s="1"/>
      <c r="FL347" s="1"/>
      <c r="FM347" s="1"/>
      <c r="FN347" s="1"/>
      <c r="FO347" s="1"/>
      <c r="FP347" s="1"/>
      <c r="FQ347" s="1"/>
      <c r="FR347" s="2"/>
      <c r="FS347" s="1"/>
    </row>
    <row r="348" spans="1:175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R348" s="1"/>
      <c r="S348" s="1"/>
      <c r="T348" s="1"/>
      <c r="U348" s="1"/>
      <c r="V348" s="1"/>
      <c r="Y348" s="1"/>
      <c r="Z348" s="2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U348" s="1"/>
      <c r="AW348" s="1"/>
      <c r="AX348" s="1"/>
      <c r="AY348" s="1"/>
      <c r="AZ348" s="1"/>
      <c r="BA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  <c r="EO348" s="1"/>
      <c r="EP348" s="1"/>
      <c r="EQ348" s="1"/>
      <c r="ER348" s="1"/>
      <c r="ES348" s="1"/>
      <c r="ET348" s="1"/>
      <c r="EU348" s="1"/>
      <c r="EV348" s="1"/>
      <c r="EW348" s="1"/>
      <c r="EX348" s="1"/>
      <c r="EY348" s="1"/>
      <c r="EZ348" s="1"/>
      <c r="FA348" s="1"/>
      <c r="FB348" s="1"/>
      <c r="FC348" s="1"/>
      <c r="FD348" s="1"/>
      <c r="FE348" s="1"/>
      <c r="FF348" s="1"/>
      <c r="FG348" s="1"/>
      <c r="FH348" s="1"/>
      <c r="FI348" s="1"/>
      <c r="FJ348" s="1"/>
      <c r="FK348" s="1"/>
      <c r="FL348" s="1"/>
      <c r="FM348" s="1"/>
      <c r="FN348" s="1"/>
      <c r="FO348" s="1"/>
      <c r="FP348" s="1"/>
      <c r="FQ348" s="1"/>
      <c r="FR348" s="2"/>
      <c r="FS348" s="1"/>
    </row>
    <row r="349" spans="1:175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R349" s="1"/>
      <c r="S349" s="1"/>
      <c r="T349" s="1"/>
      <c r="U349" s="1"/>
      <c r="V349" s="1"/>
      <c r="Y349" s="1"/>
      <c r="Z349" s="2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U349" s="1"/>
      <c r="AW349" s="1"/>
      <c r="AX349" s="1"/>
      <c r="AY349" s="1"/>
      <c r="AZ349" s="1"/>
      <c r="BA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H349" s="1"/>
      <c r="EI349" s="1"/>
      <c r="EJ349" s="1"/>
      <c r="EK349" s="1"/>
      <c r="EL349" s="1"/>
      <c r="EM349" s="1"/>
      <c r="EN349" s="1"/>
      <c r="EO349" s="1"/>
      <c r="EP349" s="1"/>
      <c r="EQ349" s="1"/>
      <c r="ER349" s="1"/>
      <c r="ES349" s="1"/>
      <c r="ET349" s="1"/>
      <c r="EU349" s="1"/>
      <c r="EV349" s="1"/>
      <c r="EW349" s="1"/>
      <c r="EX349" s="1"/>
      <c r="EY349" s="1"/>
      <c r="EZ349" s="1"/>
      <c r="FA349" s="1"/>
      <c r="FB349" s="1"/>
      <c r="FC349" s="1"/>
      <c r="FD349" s="1"/>
      <c r="FE349" s="1"/>
      <c r="FF349" s="1"/>
      <c r="FG349" s="1"/>
      <c r="FH349" s="1"/>
      <c r="FI349" s="1"/>
      <c r="FJ349" s="1"/>
      <c r="FK349" s="1"/>
      <c r="FL349" s="1"/>
      <c r="FM349" s="1"/>
      <c r="FN349" s="1"/>
      <c r="FO349" s="1"/>
      <c r="FP349" s="1"/>
      <c r="FQ349" s="1"/>
      <c r="FR349" s="2"/>
      <c r="FS349" s="1"/>
    </row>
    <row r="350" spans="1:175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R350" s="1"/>
      <c r="S350" s="1"/>
      <c r="T350" s="1"/>
      <c r="U350" s="1"/>
      <c r="V350" s="1"/>
      <c r="Y350" s="1"/>
      <c r="Z350" s="2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U350" s="1"/>
      <c r="AW350" s="1"/>
      <c r="AX350" s="1"/>
      <c r="AY350" s="1"/>
      <c r="AZ350" s="1"/>
      <c r="BA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/>
      <c r="EQ350" s="1"/>
      <c r="ER350" s="1"/>
      <c r="ES350" s="1"/>
      <c r="ET350" s="1"/>
      <c r="EU350" s="1"/>
      <c r="EV350" s="1"/>
      <c r="EW350" s="1"/>
      <c r="EX350" s="1"/>
      <c r="EY350" s="1"/>
      <c r="EZ350" s="1"/>
      <c r="FA350" s="1"/>
      <c r="FB350" s="1"/>
      <c r="FC350" s="1"/>
      <c r="FD350" s="1"/>
      <c r="FE350" s="1"/>
      <c r="FF350" s="1"/>
      <c r="FG350" s="1"/>
      <c r="FH350" s="1"/>
      <c r="FI350" s="1"/>
      <c r="FJ350" s="1"/>
      <c r="FK350" s="1"/>
      <c r="FL350" s="1"/>
      <c r="FM350" s="1"/>
      <c r="FN350" s="1"/>
      <c r="FO350" s="1"/>
      <c r="FP350" s="1"/>
      <c r="FQ350" s="1"/>
      <c r="FR350" s="2"/>
      <c r="FS350" s="1"/>
    </row>
    <row r="351" spans="1:175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R351" s="1"/>
      <c r="S351" s="1"/>
      <c r="T351" s="1"/>
      <c r="U351" s="1"/>
      <c r="V351" s="1"/>
      <c r="Y351" s="1"/>
      <c r="Z351" s="2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U351" s="1"/>
      <c r="AW351" s="1"/>
      <c r="AX351" s="1"/>
      <c r="AY351" s="1"/>
      <c r="AZ351" s="1"/>
      <c r="BA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/>
      <c r="EH351" s="1"/>
      <c r="EI351" s="1"/>
      <c r="EJ351" s="1"/>
      <c r="EK351" s="1"/>
      <c r="EL351" s="1"/>
      <c r="EM351" s="1"/>
      <c r="EN351" s="1"/>
      <c r="EO351" s="1"/>
      <c r="EP351" s="1"/>
      <c r="EQ351" s="1"/>
      <c r="ER351" s="1"/>
      <c r="ES351" s="1"/>
      <c r="ET351" s="1"/>
      <c r="EU351" s="1"/>
      <c r="EV351" s="1"/>
      <c r="EW351" s="1"/>
      <c r="EX351" s="1"/>
      <c r="EY351" s="1"/>
      <c r="EZ351" s="1"/>
      <c r="FA351" s="1"/>
      <c r="FB351" s="1"/>
      <c r="FC351" s="1"/>
      <c r="FD351" s="1"/>
      <c r="FE351" s="1"/>
      <c r="FF351" s="1"/>
      <c r="FG351" s="1"/>
      <c r="FH351" s="1"/>
      <c r="FI351" s="1"/>
      <c r="FJ351" s="1"/>
      <c r="FK351" s="1"/>
      <c r="FL351" s="1"/>
      <c r="FM351" s="1"/>
      <c r="FN351" s="1"/>
      <c r="FO351" s="1"/>
      <c r="FP351" s="1"/>
      <c r="FQ351" s="1"/>
      <c r="FR351" s="2"/>
      <c r="FS351" s="1"/>
    </row>
    <row r="352" spans="1:175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R352" s="1"/>
      <c r="S352" s="1"/>
      <c r="T352" s="1"/>
      <c r="U352" s="1"/>
      <c r="V352" s="1"/>
      <c r="Y352" s="1"/>
      <c r="Z352" s="2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U352" s="1"/>
      <c r="AW352" s="1"/>
      <c r="AX352" s="1"/>
      <c r="AY352" s="1"/>
      <c r="AZ352" s="1"/>
      <c r="BA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  <c r="EK352" s="1"/>
      <c r="EL352" s="1"/>
      <c r="EM352" s="1"/>
      <c r="EN352" s="1"/>
      <c r="EO352" s="1"/>
      <c r="EP352" s="1"/>
      <c r="EQ352" s="1"/>
      <c r="ER352" s="1"/>
      <c r="ES352" s="1"/>
      <c r="ET352" s="1"/>
      <c r="EU352" s="1"/>
      <c r="EV352" s="1"/>
      <c r="EW352" s="1"/>
      <c r="EX352" s="1"/>
      <c r="EY352" s="1"/>
      <c r="EZ352" s="1"/>
      <c r="FA352" s="1"/>
      <c r="FB352" s="1"/>
      <c r="FC352" s="1"/>
      <c r="FD352" s="1"/>
      <c r="FE352" s="1"/>
      <c r="FF352" s="1"/>
      <c r="FG352" s="1"/>
      <c r="FH352" s="1"/>
      <c r="FI352" s="1"/>
      <c r="FJ352" s="1"/>
      <c r="FK352" s="1"/>
      <c r="FL352" s="1"/>
      <c r="FM352" s="1"/>
      <c r="FN352" s="1"/>
      <c r="FO352" s="1"/>
      <c r="FP352" s="1"/>
      <c r="FQ352" s="1"/>
      <c r="FR352" s="2"/>
      <c r="FS352" s="1"/>
    </row>
    <row r="353" spans="1:175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R353" s="1"/>
      <c r="S353" s="1"/>
      <c r="T353" s="1"/>
      <c r="U353" s="1"/>
      <c r="V353" s="1"/>
      <c r="Y353" s="1"/>
      <c r="Z353" s="2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U353" s="1"/>
      <c r="AW353" s="1"/>
      <c r="AX353" s="1"/>
      <c r="AY353" s="1"/>
      <c r="AZ353" s="1"/>
      <c r="BA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H353" s="1"/>
      <c r="EI353" s="1"/>
      <c r="EJ353" s="1"/>
      <c r="EK353" s="1"/>
      <c r="EL353" s="1"/>
      <c r="EM353" s="1"/>
      <c r="EN353" s="1"/>
      <c r="EO353" s="1"/>
      <c r="EP353" s="1"/>
      <c r="EQ353" s="1"/>
      <c r="ER353" s="1"/>
      <c r="ES353" s="1"/>
      <c r="ET353" s="1"/>
      <c r="EU353" s="1"/>
      <c r="EV353" s="1"/>
      <c r="EW353" s="1"/>
      <c r="EX353" s="1"/>
      <c r="EY353" s="1"/>
      <c r="EZ353" s="1"/>
      <c r="FA353" s="1"/>
      <c r="FB353" s="1"/>
      <c r="FC353" s="1"/>
      <c r="FD353" s="1"/>
      <c r="FE353" s="1"/>
      <c r="FF353" s="1"/>
      <c r="FG353" s="1"/>
      <c r="FH353" s="1"/>
      <c r="FI353" s="1"/>
      <c r="FJ353" s="1"/>
      <c r="FK353" s="1"/>
      <c r="FL353" s="1"/>
      <c r="FM353" s="1"/>
      <c r="FN353" s="1"/>
      <c r="FO353" s="1"/>
      <c r="FP353" s="1"/>
      <c r="FQ353" s="1"/>
      <c r="FR353" s="2"/>
      <c r="FS353" s="1"/>
    </row>
    <row r="354" spans="1:175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R354" s="1"/>
      <c r="S354" s="1"/>
      <c r="T354" s="1"/>
      <c r="U354" s="1"/>
      <c r="V354" s="1"/>
      <c r="Y354" s="1"/>
      <c r="Z354" s="2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U354" s="1"/>
      <c r="AW354" s="1"/>
      <c r="AX354" s="1"/>
      <c r="AY354" s="1"/>
      <c r="AZ354" s="1"/>
      <c r="BA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  <c r="EK354" s="1"/>
      <c r="EL354" s="1"/>
      <c r="EM354" s="1"/>
      <c r="EN354" s="1"/>
      <c r="EO354" s="1"/>
      <c r="EP354" s="1"/>
      <c r="EQ354" s="1"/>
      <c r="ER354" s="1"/>
      <c r="ES354" s="1"/>
      <c r="ET354" s="1"/>
      <c r="EU354" s="1"/>
      <c r="EV354" s="1"/>
      <c r="EW354" s="1"/>
      <c r="EX354" s="1"/>
      <c r="EY354" s="1"/>
      <c r="EZ354" s="1"/>
      <c r="FA354" s="1"/>
      <c r="FB354" s="1"/>
      <c r="FC354" s="1"/>
      <c r="FD354" s="1"/>
      <c r="FE354" s="1"/>
      <c r="FF354" s="1"/>
      <c r="FG354" s="1"/>
      <c r="FH354" s="1"/>
      <c r="FI354" s="1"/>
      <c r="FJ354" s="1"/>
      <c r="FK354" s="1"/>
      <c r="FL354" s="1"/>
      <c r="FM354" s="1"/>
      <c r="FN354" s="1"/>
      <c r="FO354" s="1"/>
      <c r="FP354" s="1"/>
      <c r="FQ354" s="1"/>
      <c r="FR354" s="2"/>
      <c r="FS354" s="1"/>
    </row>
    <row r="355" spans="1:175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R355" s="1"/>
      <c r="S355" s="1"/>
      <c r="T355" s="1"/>
      <c r="U355" s="1"/>
      <c r="V355" s="1"/>
      <c r="Y355" s="1"/>
      <c r="Z355" s="2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U355" s="1"/>
      <c r="AW355" s="1"/>
      <c r="AX355" s="1"/>
      <c r="AY355" s="1"/>
      <c r="AZ355" s="1"/>
      <c r="BA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H355" s="1"/>
      <c r="EI355" s="1"/>
      <c r="EJ355" s="1"/>
      <c r="EK355" s="1"/>
      <c r="EL355" s="1"/>
      <c r="EM355" s="1"/>
      <c r="EN355" s="1"/>
      <c r="EO355" s="1"/>
      <c r="EP355" s="1"/>
      <c r="EQ355" s="1"/>
      <c r="ER355" s="1"/>
      <c r="ES355" s="1"/>
      <c r="ET355" s="1"/>
      <c r="EU355" s="1"/>
      <c r="EV355" s="1"/>
      <c r="EW355" s="1"/>
      <c r="EX355" s="1"/>
      <c r="EY355" s="1"/>
      <c r="EZ355" s="1"/>
      <c r="FA355" s="1"/>
      <c r="FB355" s="1"/>
      <c r="FC355" s="1"/>
      <c r="FD355" s="1"/>
      <c r="FE355" s="1"/>
      <c r="FF355" s="1"/>
      <c r="FG355" s="1"/>
      <c r="FH355" s="1"/>
      <c r="FI355" s="1"/>
      <c r="FJ355" s="1"/>
      <c r="FK355" s="1"/>
      <c r="FL355" s="1"/>
      <c r="FM355" s="1"/>
      <c r="FN355" s="1"/>
      <c r="FO355" s="1"/>
      <c r="FP355" s="1"/>
      <c r="FQ355" s="1"/>
      <c r="FR355" s="2"/>
      <c r="FS355" s="1"/>
    </row>
    <row r="356" spans="1:175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R356" s="1"/>
      <c r="S356" s="1"/>
      <c r="T356" s="1"/>
      <c r="U356" s="1"/>
      <c r="V356" s="1"/>
      <c r="Y356" s="1"/>
      <c r="Z356" s="2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U356" s="1"/>
      <c r="AW356" s="1"/>
      <c r="AX356" s="1"/>
      <c r="AY356" s="1"/>
      <c r="AZ356" s="1"/>
      <c r="BA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1"/>
      <c r="EN356" s="1"/>
      <c r="EO356" s="1"/>
      <c r="EP356" s="1"/>
      <c r="EQ356" s="1"/>
      <c r="ER356" s="1"/>
      <c r="ES356" s="1"/>
      <c r="ET356" s="1"/>
      <c r="EU356" s="1"/>
      <c r="EV356" s="1"/>
      <c r="EW356" s="1"/>
      <c r="EX356" s="1"/>
      <c r="EY356" s="1"/>
      <c r="EZ356" s="1"/>
      <c r="FA356" s="1"/>
      <c r="FB356" s="1"/>
      <c r="FC356" s="1"/>
      <c r="FD356" s="1"/>
      <c r="FE356" s="1"/>
      <c r="FF356" s="1"/>
      <c r="FG356" s="1"/>
      <c r="FH356" s="1"/>
      <c r="FI356" s="1"/>
      <c r="FJ356" s="1"/>
      <c r="FK356" s="1"/>
      <c r="FL356" s="1"/>
      <c r="FM356" s="1"/>
      <c r="FN356" s="1"/>
      <c r="FO356" s="1"/>
      <c r="FP356" s="1"/>
      <c r="FQ356" s="1"/>
      <c r="FR356" s="2"/>
      <c r="FS356" s="1"/>
    </row>
    <row r="357" spans="1:175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R357" s="1"/>
      <c r="S357" s="1"/>
      <c r="T357" s="1"/>
      <c r="U357" s="1"/>
      <c r="V357" s="1"/>
      <c r="Y357" s="1"/>
      <c r="Z357" s="2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U357" s="1"/>
      <c r="AW357" s="1"/>
      <c r="AX357" s="1"/>
      <c r="AY357" s="1"/>
      <c r="AZ357" s="1"/>
      <c r="BA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H357" s="1"/>
      <c r="EI357" s="1"/>
      <c r="EJ357" s="1"/>
      <c r="EK357" s="1"/>
      <c r="EL357" s="1"/>
      <c r="EM357" s="1"/>
      <c r="EN357" s="1"/>
      <c r="EO357" s="1"/>
      <c r="EP357" s="1"/>
      <c r="EQ357" s="1"/>
      <c r="ER357" s="1"/>
      <c r="ES357" s="1"/>
      <c r="ET357" s="1"/>
      <c r="EU357" s="1"/>
      <c r="EV357" s="1"/>
      <c r="EW357" s="1"/>
      <c r="EX357" s="1"/>
      <c r="EY357" s="1"/>
      <c r="EZ357" s="1"/>
      <c r="FA357" s="1"/>
      <c r="FB357" s="1"/>
      <c r="FC357" s="1"/>
      <c r="FD357" s="1"/>
      <c r="FE357" s="1"/>
      <c r="FF357" s="1"/>
      <c r="FG357" s="1"/>
      <c r="FH357" s="1"/>
      <c r="FI357" s="1"/>
      <c r="FJ357" s="1"/>
      <c r="FK357" s="1"/>
      <c r="FL357" s="1"/>
      <c r="FM357" s="1"/>
      <c r="FN357" s="1"/>
      <c r="FO357" s="1"/>
      <c r="FP357" s="1"/>
      <c r="FQ357" s="1"/>
      <c r="FR357" s="2"/>
      <c r="FS357" s="1"/>
    </row>
    <row r="358" spans="1:175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R358" s="1"/>
      <c r="S358" s="1"/>
      <c r="T358" s="1"/>
      <c r="U358" s="1"/>
      <c r="V358" s="1"/>
      <c r="Y358" s="1"/>
      <c r="Z358" s="2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U358" s="1"/>
      <c r="AW358" s="1"/>
      <c r="AX358" s="1"/>
      <c r="AY358" s="1"/>
      <c r="AZ358" s="1"/>
      <c r="BA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  <c r="EL358" s="1"/>
      <c r="EM358" s="1"/>
      <c r="EN358" s="1"/>
      <c r="EO358" s="1"/>
      <c r="EP358" s="1"/>
      <c r="EQ358" s="1"/>
      <c r="ER358" s="1"/>
      <c r="ES358" s="1"/>
      <c r="ET358" s="1"/>
      <c r="EU358" s="1"/>
      <c r="EV358" s="1"/>
      <c r="EW358" s="1"/>
      <c r="EX358" s="1"/>
      <c r="EY358" s="1"/>
      <c r="EZ358" s="1"/>
      <c r="FA358" s="1"/>
      <c r="FB358" s="1"/>
      <c r="FC358" s="1"/>
      <c r="FD358" s="1"/>
      <c r="FE358" s="1"/>
      <c r="FF358" s="1"/>
      <c r="FG358" s="1"/>
      <c r="FH358" s="1"/>
      <c r="FI358" s="1"/>
      <c r="FJ358" s="1"/>
      <c r="FK358" s="1"/>
      <c r="FL358" s="1"/>
      <c r="FM358" s="1"/>
      <c r="FN358" s="1"/>
      <c r="FO358" s="1"/>
      <c r="FP358" s="1"/>
      <c r="FQ358" s="1"/>
      <c r="FR358" s="2"/>
      <c r="FS358" s="1"/>
    </row>
    <row r="359" spans="1:175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R359" s="1"/>
      <c r="S359" s="1"/>
      <c r="T359" s="1"/>
      <c r="U359" s="1"/>
      <c r="V359" s="1"/>
      <c r="Y359" s="1"/>
      <c r="Z359" s="2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U359" s="1"/>
      <c r="AW359" s="1"/>
      <c r="AX359" s="1"/>
      <c r="AY359" s="1"/>
      <c r="AZ359" s="1"/>
      <c r="BA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  <c r="EH359" s="1"/>
      <c r="EI359" s="1"/>
      <c r="EJ359" s="1"/>
      <c r="EK359" s="1"/>
      <c r="EL359" s="1"/>
      <c r="EM359" s="1"/>
      <c r="EN359" s="1"/>
      <c r="EO359" s="1"/>
      <c r="EP359" s="1"/>
      <c r="EQ359" s="1"/>
      <c r="ER359" s="1"/>
      <c r="ES359" s="1"/>
      <c r="ET359" s="1"/>
      <c r="EU359" s="1"/>
      <c r="EV359" s="1"/>
      <c r="EW359" s="1"/>
      <c r="EX359" s="1"/>
      <c r="EY359" s="1"/>
      <c r="EZ359" s="1"/>
      <c r="FA359" s="1"/>
      <c r="FB359" s="1"/>
      <c r="FC359" s="1"/>
      <c r="FD359" s="1"/>
      <c r="FE359" s="1"/>
      <c r="FF359" s="1"/>
      <c r="FG359" s="1"/>
      <c r="FH359" s="1"/>
      <c r="FI359" s="1"/>
      <c r="FJ359" s="1"/>
      <c r="FK359" s="1"/>
      <c r="FL359" s="1"/>
      <c r="FM359" s="1"/>
      <c r="FN359" s="1"/>
      <c r="FO359" s="1"/>
      <c r="FP359" s="1"/>
      <c r="FQ359" s="1"/>
      <c r="FR359" s="2"/>
      <c r="FS359" s="1"/>
    </row>
    <row r="360" spans="1:175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R360" s="1"/>
      <c r="S360" s="1"/>
      <c r="T360" s="1"/>
      <c r="U360" s="1"/>
      <c r="V360" s="1"/>
      <c r="Y360" s="1"/>
      <c r="Z360" s="2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U360" s="1"/>
      <c r="AW360" s="1"/>
      <c r="AX360" s="1"/>
      <c r="AY360" s="1"/>
      <c r="AZ360" s="1"/>
      <c r="BA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  <c r="EK360" s="1"/>
      <c r="EL360" s="1"/>
      <c r="EM360" s="1"/>
      <c r="EN360" s="1"/>
      <c r="EO360" s="1"/>
      <c r="EP360" s="1"/>
      <c r="EQ360" s="1"/>
      <c r="ER360" s="1"/>
      <c r="ES360" s="1"/>
      <c r="ET360" s="1"/>
      <c r="EU360" s="1"/>
      <c r="EV360" s="1"/>
      <c r="EW360" s="1"/>
      <c r="EX360" s="1"/>
      <c r="EY360" s="1"/>
      <c r="EZ360" s="1"/>
      <c r="FA360" s="1"/>
      <c r="FB360" s="1"/>
      <c r="FC360" s="1"/>
      <c r="FD360" s="1"/>
      <c r="FE360" s="1"/>
      <c r="FF360" s="1"/>
      <c r="FG360" s="1"/>
      <c r="FH360" s="1"/>
      <c r="FI360" s="1"/>
      <c r="FJ360" s="1"/>
      <c r="FK360" s="1"/>
      <c r="FL360" s="1"/>
      <c r="FM360" s="1"/>
      <c r="FN360" s="1"/>
      <c r="FO360" s="1"/>
      <c r="FP360" s="1"/>
      <c r="FQ360" s="1"/>
      <c r="FR360" s="2"/>
      <c r="FS360" s="1"/>
    </row>
    <row r="361" spans="1:175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R361" s="1"/>
      <c r="S361" s="1"/>
      <c r="T361" s="1"/>
      <c r="U361" s="1"/>
      <c r="V361" s="1"/>
      <c r="Y361" s="1"/>
      <c r="Z361" s="2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U361" s="1"/>
      <c r="AW361" s="1"/>
      <c r="AX361" s="1"/>
      <c r="AY361" s="1"/>
      <c r="AZ361" s="1"/>
      <c r="BA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  <c r="EF361" s="1"/>
      <c r="EG361" s="1"/>
      <c r="EH361" s="1"/>
      <c r="EI361" s="1"/>
      <c r="EJ361" s="1"/>
      <c r="EK361" s="1"/>
      <c r="EL361" s="1"/>
      <c r="EM361" s="1"/>
      <c r="EN361" s="1"/>
      <c r="EO361" s="1"/>
      <c r="EP361" s="1"/>
      <c r="EQ361" s="1"/>
      <c r="ER361" s="1"/>
      <c r="ES361" s="1"/>
      <c r="ET361" s="1"/>
      <c r="EU361" s="1"/>
      <c r="EV361" s="1"/>
      <c r="EW361" s="1"/>
      <c r="EX361" s="1"/>
      <c r="EY361" s="1"/>
      <c r="EZ361" s="1"/>
      <c r="FA361" s="1"/>
      <c r="FB361" s="1"/>
      <c r="FC361" s="1"/>
      <c r="FD361" s="1"/>
      <c r="FE361" s="1"/>
      <c r="FF361" s="1"/>
      <c r="FG361" s="1"/>
      <c r="FH361" s="1"/>
      <c r="FI361" s="1"/>
      <c r="FJ361" s="1"/>
      <c r="FK361" s="1"/>
      <c r="FL361" s="1"/>
      <c r="FM361" s="1"/>
      <c r="FN361" s="1"/>
      <c r="FO361" s="1"/>
      <c r="FP361" s="1"/>
      <c r="FQ361" s="1"/>
      <c r="FR361" s="2"/>
      <c r="FS361" s="1"/>
    </row>
    <row r="362" spans="1:175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R362" s="1"/>
      <c r="S362" s="1"/>
      <c r="T362" s="1"/>
      <c r="U362" s="1"/>
      <c r="V362" s="1"/>
      <c r="Y362" s="1"/>
      <c r="Z362" s="2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U362" s="1"/>
      <c r="AW362" s="1"/>
      <c r="AX362" s="1"/>
      <c r="AY362" s="1"/>
      <c r="AZ362" s="1"/>
      <c r="BA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  <c r="EK362" s="1"/>
      <c r="EL362" s="1"/>
      <c r="EM362" s="1"/>
      <c r="EN362" s="1"/>
      <c r="EO362" s="1"/>
      <c r="EP362" s="1"/>
      <c r="EQ362" s="1"/>
      <c r="ER362" s="1"/>
      <c r="ES362" s="1"/>
      <c r="ET362" s="1"/>
      <c r="EU362" s="1"/>
      <c r="EV362" s="1"/>
      <c r="EW362" s="1"/>
      <c r="EX362" s="1"/>
      <c r="EY362" s="1"/>
      <c r="EZ362" s="1"/>
      <c r="FA362" s="1"/>
      <c r="FB362" s="1"/>
      <c r="FC362" s="1"/>
      <c r="FD362" s="1"/>
      <c r="FE362" s="1"/>
      <c r="FF362" s="1"/>
      <c r="FG362" s="1"/>
      <c r="FH362" s="1"/>
      <c r="FI362" s="1"/>
      <c r="FJ362" s="1"/>
      <c r="FK362" s="1"/>
      <c r="FL362" s="1"/>
      <c r="FM362" s="1"/>
      <c r="FN362" s="1"/>
      <c r="FO362" s="1"/>
      <c r="FP362" s="1"/>
      <c r="FQ362" s="1"/>
      <c r="FR362" s="2"/>
      <c r="FS362" s="1"/>
    </row>
    <row r="363" spans="1:175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R363" s="1"/>
      <c r="S363" s="1"/>
      <c r="T363" s="1"/>
      <c r="U363" s="1"/>
      <c r="V363" s="1"/>
      <c r="Y363" s="1"/>
      <c r="Z363" s="2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U363" s="1"/>
      <c r="AW363" s="1"/>
      <c r="AX363" s="1"/>
      <c r="AY363" s="1"/>
      <c r="AZ363" s="1"/>
      <c r="BA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  <c r="EG363" s="1"/>
      <c r="EH363" s="1"/>
      <c r="EI363" s="1"/>
      <c r="EJ363" s="1"/>
      <c r="EK363" s="1"/>
      <c r="EL363" s="1"/>
      <c r="EM363" s="1"/>
      <c r="EN363" s="1"/>
      <c r="EO363" s="1"/>
      <c r="EP363" s="1"/>
      <c r="EQ363" s="1"/>
      <c r="ER363" s="1"/>
      <c r="ES363" s="1"/>
      <c r="ET363" s="1"/>
      <c r="EU363" s="1"/>
      <c r="EV363" s="1"/>
      <c r="EW363" s="1"/>
      <c r="EX363" s="1"/>
      <c r="EY363" s="1"/>
      <c r="EZ363" s="1"/>
      <c r="FA363" s="1"/>
      <c r="FB363" s="1"/>
      <c r="FC363" s="1"/>
      <c r="FD363" s="1"/>
      <c r="FE363" s="1"/>
      <c r="FF363" s="1"/>
      <c r="FG363" s="1"/>
      <c r="FH363" s="1"/>
      <c r="FI363" s="1"/>
      <c r="FJ363" s="1"/>
      <c r="FK363" s="1"/>
      <c r="FL363" s="1"/>
      <c r="FM363" s="1"/>
      <c r="FN363" s="1"/>
      <c r="FO363" s="1"/>
      <c r="FP363" s="1"/>
      <c r="FQ363" s="1"/>
      <c r="FR363" s="2"/>
      <c r="FS363" s="1"/>
    </row>
    <row r="364" spans="1:175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R364" s="1"/>
      <c r="S364" s="1"/>
      <c r="T364" s="1"/>
      <c r="U364" s="1"/>
      <c r="V364" s="1"/>
      <c r="Y364" s="1"/>
      <c r="Z364" s="2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U364" s="1"/>
      <c r="AW364" s="1"/>
      <c r="AX364" s="1"/>
      <c r="AY364" s="1"/>
      <c r="AZ364" s="1"/>
      <c r="BA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  <c r="EK364" s="1"/>
      <c r="EL364" s="1"/>
      <c r="EM364" s="1"/>
      <c r="EN364" s="1"/>
      <c r="EO364" s="1"/>
      <c r="EP364" s="1"/>
      <c r="EQ364" s="1"/>
      <c r="ER364" s="1"/>
      <c r="ES364" s="1"/>
      <c r="ET364" s="1"/>
      <c r="EU364" s="1"/>
      <c r="EV364" s="1"/>
      <c r="EW364" s="1"/>
      <c r="EX364" s="1"/>
      <c r="EY364" s="1"/>
      <c r="EZ364" s="1"/>
      <c r="FA364" s="1"/>
      <c r="FB364" s="1"/>
      <c r="FC364" s="1"/>
      <c r="FD364" s="1"/>
      <c r="FE364" s="1"/>
      <c r="FF364" s="1"/>
      <c r="FG364" s="1"/>
      <c r="FH364" s="1"/>
      <c r="FI364" s="1"/>
      <c r="FJ364" s="1"/>
      <c r="FK364" s="1"/>
      <c r="FL364" s="1"/>
      <c r="FM364" s="1"/>
      <c r="FN364" s="1"/>
      <c r="FO364" s="1"/>
      <c r="FP364" s="1"/>
      <c r="FQ364" s="1"/>
      <c r="FR364" s="2"/>
      <c r="FS364" s="1"/>
    </row>
    <row r="365" spans="1:175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R365" s="1"/>
      <c r="S365" s="1"/>
      <c r="T365" s="1"/>
      <c r="U365" s="1"/>
      <c r="V365" s="1"/>
      <c r="Y365" s="1"/>
      <c r="Z365" s="2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U365" s="1"/>
      <c r="AW365" s="1"/>
      <c r="AX365" s="1"/>
      <c r="AY365" s="1"/>
      <c r="AZ365" s="1"/>
      <c r="BA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/>
      <c r="EH365" s="1"/>
      <c r="EI365" s="1"/>
      <c r="EJ365" s="1"/>
      <c r="EK365" s="1"/>
      <c r="EL365" s="1"/>
      <c r="EM365" s="1"/>
      <c r="EN365" s="1"/>
      <c r="EO365" s="1"/>
      <c r="EP365" s="1"/>
      <c r="EQ365" s="1"/>
      <c r="ER365" s="1"/>
      <c r="ES365" s="1"/>
      <c r="ET365" s="1"/>
      <c r="EU365" s="1"/>
      <c r="EV365" s="1"/>
      <c r="EW365" s="1"/>
      <c r="EX365" s="1"/>
      <c r="EY365" s="1"/>
      <c r="EZ365" s="1"/>
      <c r="FA365" s="1"/>
      <c r="FB365" s="1"/>
      <c r="FC365" s="1"/>
      <c r="FD365" s="1"/>
      <c r="FE365" s="1"/>
      <c r="FF365" s="1"/>
      <c r="FG365" s="1"/>
      <c r="FH365" s="1"/>
      <c r="FI365" s="1"/>
      <c r="FJ365" s="1"/>
      <c r="FK365" s="1"/>
      <c r="FL365" s="1"/>
      <c r="FM365" s="1"/>
      <c r="FN365" s="1"/>
      <c r="FO365" s="1"/>
      <c r="FP365" s="1"/>
      <c r="FQ365" s="1"/>
      <c r="FR365" s="2"/>
      <c r="FS365" s="1"/>
    </row>
    <row r="366" spans="1:175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R366" s="1"/>
      <c r="S366" s="1"/>
      <c r="T366" s="1"/>
      <c r="U366" s="1"/>
      <c r="V366" s="1"/>
      <c r="Y366" s="1"/>
      <c r="Z366" s="2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U366" s="1"/>
      <c r="AW366" s="1"/>
      <c r="AX366" s="1"/>
      <c r="AY366" s="1"/>
      <c r="AZ366" s="1"/>
      <c r="BA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H366" s="1"/>
      <c r="EI366" s="1"/>
      <c r="EJ366" s="1"/>
      <c r="EK366" s="1"/>
      <c r="EL366" s="1"/>
      <c r="EM366" s="1"/>
      <c r="EN366" s="1"/>
      <c r="EO366" s="1"/>
      <c r="EP366" s="1"/>
      <c r="EQ366" s="1"/>
      <c r="ER366" s="1"/>
      <c r="ES366" s="1"/>
      <c r="ET366" s="1"/>
      <c r="EU366" s="1"/>
      <c r="EV366" s="1"/>
      <c r="EW366" s="1"/>
      <c r="EX366" s="1"/>
      <c r="EY366" s="1"/>
      <c r="EZ366" s="1"/>
      <c r="FA366" s="1"/>
      <c r="FB366" s="1"/>
      <c r="FC366" s="1"/>
      <c r="FD366" s="1"/>
      <c r="FE366" s="1"/>
      <c r="FF366" s="1"/>
      <c r="FG366" s="1"/>
      <c r="FH366" s="1"/>
      <c r="FI366" s="1"/>
      <c r="FJ366" s="1"/>
      <c r="FK366" s="1"/>
      <c r="FL366" s="1"/>
      <c r="FM366" s="1"/>
      <c r="FN366" s="1"/>
      <c r="FO366" s="1"/>
      <c r="FP366" s="1"/>
      <c r="FQ366" s="1"/>
      <c r="FR366" s="2"/>
      <c r="FS366" s="1"/>
    </row>
    <row r="367" spans="1:175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R367" s="1"/>
      <c r="S367" s="1"/>
      <c r="T367" s="1"/>
      <c r="U367" s="1"/>
      <c r="V367" s="1"/>
      <c r="Y367" s="1"/>
      <c r="Z367" s="2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U367" s="1"/>
      <c r="AW367" s="1"/>
      <c r="AX367" s="1"/>
      <c r="AY367" s="1"/>
      <c r="AZ367" s="1"/>
      <c r="BA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  <c r="EG367" s="1"/>
      <c r="EH367" s="1"/>
      <c r="EI367" s="1"/>
      <c r="EJ367" s="1"/>
      <c r="EK367" s="1"/>
      <c r="EL367" s="1"/>
      <c r="EM367" s="1"/>
      <c r="EN367" s="1"/>
      <c r="EO367" s="1"/>
      <c r="EP367" s="1"/>
      <c r="EQ367" s="1"/>
      <c r="ER367" s="1"/>
      <c r="ES367" s="1"/>
      <c r="ET367" s="1"/>
      <c r="EU367" s="1"/>
      <c r="EV367" s="1"/>
      <c r="EW367" s="1"/>
      <c r="EX367" s="1"/>
      <c r="EY367" s="1"/>
      <c r="EZ367" s="1"/>
      <c r="FA367" s="1"/>
      <c r="FB367" s="1"/>
      <c r="FC367" s="1"/>
      <c r="FD367" s="1"/>
      <c r="FE367" s="1"/>
      <c r="FF367" s="1"/>
      <c r="FG367" s="1"/>
      <c r="FH367" s="1"/>
      <c r="FI367" s="1"/>
      <c r="FJ367" s="1"/>
      <c r="FK367" s="1"/>
      <c r="FL367" s="1"/>
      <c r="FM367" s="1"/>
      <c r="FN367" s="1"/>
      <c r="FO367" s="1"/>
      <c r="FP367" s="1"/>
      <c r="FQ367" s="1"/>
      <c r="FR367" s="2"/>
      <c r="FS367" s="1"/>
    </row>
    <row r="368" spans="1:175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R368" s="1"/>
      <c r="S368" s="1"/>
      <c r="T368" s="1"/>
      <c r="U368" s="1"/>
      <c r="V368" s="1"/>
      <c r="Y368" s="1"/>
      <c r="Z368" s="2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U368" s="1"/>
      <c r="AW368" s="1"/>
      <c r="AX368" s="1"/>
      <c r="AY368" s="1"/>
      <c r="AZ368" s="1"/>
      <c r="BA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  <c r="EK368" s="1"/>
      <c r="EL368" s="1"/>
      <c r="EM368" s="1"/>
      <c r="EN368" s="1"/>
      <c r="EO368" s="1"/>
      <c r="EP368" s="1"/>
      <c r="EQ368" s="1"/>
      <c r="ER368" s="1"/>
      <c r="ES368" s="1"/>
      <c r="ET368" s="1"/>
      <c r="EU368" s="1"/>
      <c r="EV368" s="1"/>
      <c r="EW368" s="1"/>
      <c r="EX368" s="1"/>
      <c r="EY368" s="1"/>
      <c r="EZ368" s="1"/>
      <c r="FA368" s="1"/>
      <c r="FB368" s="1"/>
      <c r="FC368" s="1"/>
      <c r="FD368" s="1"/>
      <c r="FE368" s="1"/>
      <c r="FF368" s="1"/>
      <c r="FG368" s="1"/>
      <c r="FH368" s="1"/>
      <c r="FI368" s="1"/>
      <c r="FJ368" s="1"/>
      <c r="FK368" s="1"/>
      <c r="FL368" s="1"/>
      <c r="FM368" s="1"/>
      <c r="FN368" s="1"/>
      <c r="FO368" s="1"/>
      <c r="FP368" s="1"/>
      <c r="FQ368" s="1"/>
      <c r="FR368" s="2"/>
      <c r="FS368" s="1"/>
    </row>
    <row r="369" spans="1:175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R369" s="1"/>
      <c r="S369" s="1"/>
      <c r="T369" s="1"/>
      <c r="U369" s="1"/>
      <c r="V369" s="1"/>
      <c r="Y369" s="1"/>
      <c r="Z369" s="2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U369" s="1"/>
      <c r="AW369" s="1"/>
      <c r="AX369" s="1"/>
      <c r="AY369" s="1"/>
      <c r="AZ369" s="1"/>
      <c r="BA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  <c r="EG369" s="1"/>
      <c r="EH369" s="1"/>
      <c r="EI369" s="1"/>
      <c r="EJ369" s="1"/>
      <c r="EK369" s="1"/>
      <c r="EL369" s="1"/>
      <c r="EM369" s="1"/>
      <c r="EN369" s="1"/>
      <c r="EO369" s="1"/>
      <c r="EP369" s="1"/>
      <c r="EQ369" s="1"/>
      <c r="ER369" s="1"/>
      <c r="ES369" s="1"/>
      <c r="ET369" s="1"/>
      <c r="EU369" s="1"/>
      <c r="EV369" s="1"/>
      <c r="EW369" s="1"/>
      <c r="EX369" s="1"/>
      <c r="EY369" s="1"/>
      <c r="EZ369" s="1"/>
      <c r="FA369" s="1"/>
      <c r="FB369" s="1"/>
      <c r="FC369" s="1"/>
      <c r="FD369" s="1"/>
      <c r="FE369" s="1"/>
      <c r="FF369" s="1"/>
      <c r="FG369" s="1"/>
      <c r="FH369" s="1"/>
      <c r="FI369" s="1"/>
      <c r="FJ369" s="1"/>
      <c r="FK369" s="1"/>
      <c r="FL369" s="1"/>
      <c r="FM369" s="1"/>
      <c r="FN369" s="1"/>
      <c r="FO369" s="1"/>
      <c r="FP369" s="1"/>
      <c r="FQ369" s="1"/>
      <c r="FR369" s="2"/>
      <c r="FS369" s="1"/>
    </row>
    <row r="370" spans="1:175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R370" s="1"/>
      <c r="S370" s="1"/>
      <c r="T370" s="1"/>
      <c r="U370" s="1"/>
      <c r="V370" s="1"/>
      <c r="Y370" s="1"/>
      <c r="Z370" s="2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U370" s="1"/>
      <c r="AW370" s="1"/>
      <c r="AX370" s="1"/>
      <c r="AY370" s="1"/>
      <c r="AZ370" s="1"/>
      <c r="BA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  <c r="EK370" s="1"/>
      <c r="EL370" s="1"/>
      <c r="EM370" s="1"/>
      <c r="EN370" s="1"/>
      <c r="EO370" s="1"/>
      <c r="EP370" s="1"/>
      <c r="EQ370" s="1"/>
      <c r="ER370" s="1"/>
      <c r="ES370" s="1"/>
      <c r="ET370" s="1"/>
      <c r="EU370" s="1"/>
      <c r="EV370" s="1"/>
      <c r="EW370" s="1"/>
      <c r="EX370" s="1"/>
      <c r="EY370" s="1"/>
      <c r="EZ370" s="1"/>
      <c r="FA370" s="1"/>
      <c r="FB370" s="1"/>
      <c r="FC370" s="1"/>
      <c r="FD370" s="1"/>
      <c r="FE370" s="1"/>
      <c r="FF370" s="1"/>
      <c r="FG370" s="1"/>
      <c r="FH370" s="1"/>
      <c r="FI370" s="1"/>
      <c r="FJ370" s="1"/>
      <c r="FK370" s="1"/>
      <c r="FL370" s="1"/>
      <c r="FM370" s="1"/>
      <c r="FN370" s="1"/>
      <c r="FO370" s="1"/>
      <c r="FP370" s="1"/>
      <c r="FQ370" s="1"/>
      <c r="FR370" s="2"/>
      <c r="FS370" s="1"/>
    </row>
    <row r="371" spans="1:175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R371" s="1"/>
      <c r="S371" s="1"/>
      <c r="T371" s="1"/>
      <c r="U371" s="1"/>
      <c r="V371" s="1"/>
      <c r="Y371" s="1"/>
      <c r="Z371" s="2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U371" s="1"/>
      <c r="AW371" s="1"/>
      <c r="AX371" s="1"/>
      <c r="AY371" s="1"/>
      <c r="AZ371" s="1"/>
      <c r="BA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  <c r="DY371" s="1"/>
      <c r="DZ371" s="1"/>
      <c r="EA371" s="1"/>
      <c r="EB371" s="1"/>
      <c r="EC371" s="1"/>
      <c r="ED371" s="1"/>
      <c r="EE371" s="1"/>
      <c r="EF371" s="1"/>
      <c r="EG371" s="1"/>
      <c r="EH371" s="1"/>
      <c r="EI371" s="1"/>
      <c r="EJ371" s="1"/>
      <c r="EK371" s="1"/>
      <c r="EL371" s="1"/>
      <c r="EM371" s="1"/>
      <c r="EN371" s="1"/>
      <c r="EO371" s="1"/>
      <c r="EP371" s="1"/>
      <c r="EQ371" s="1"/>
      <c r="ER371" s="1"/>
      <c r="ES371" s="1"/>
      <c r="ET371" s="1"/>
      <c r="EU371" s="1"/>
      <c r="EV371" s="1"/>
      <c r="EW371" s="1"/>
      <c r="EX371" s="1"/>
      <c r="EY371" s="1"/>
      <c r="EZ371" s="1"/>
      <c r="FA371" s="1"/>
      <c r="FB371" s="1"/>
      <c r="FC371" s="1"/>
      <c r="FD371" s="1"/>
      <c r="FE371" s="1"/>
      <c r="FF371" s="1"/>
      <c r="FG371" s="1"/>
      <c r="FH371" s="1"/>
      <c r="FI371" s="1"/>
      <c r="FJ371" s="1"/>
      <c r="FK371" s="1"/>
      <c r="FL371" s="1"/>
      <c r="FM371" s="1"/>
      <c r="FN371" s="1"/>
      <c r="FO371" s="1"/>
      <c r="FP371" s="1"/>
      <c r="FQ371" s="1"/>
      <c r="FR371" s="2"/>
      <c r="FS371" s="1"/>
    </row>
    <row r="372" spans="1:175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R372" s="1"/>
      <c r="S372" s="1"/>
      <c r="T372" s="1"/>
      <c r="U372" s="1"/>
      <c r="V372" s="1"/>
      <c r="Y372" s="1"/>
      <c r="Z372" s="2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U372" s="1"/>
      <c r="AW372" s="1"/>
      <c r="AX372" s="1"/>
      <c r="AY372" s="1"/>
      <c r="AZ372" s="1"/>
      <c r="BA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  <c r="EK372" s="1"/>
      <c r="EL372" s="1"/>
      <c r="EM372" s="1"/>
      <c r="EN372" s="1"/>
      <c r="EO372" s="1"/>
      <c r="EP372" s="1"/>
      <c r="EQ372" s="1"/>
      <c r="ER372" s="1"/>
      <c r="ES372" s="1"/>
      <c r="ET372" s="1"/>
      <c r="EU372" s="1"/>
      <c r="EV372" s="1"/>
      <c r="EW372" s="1"/>
      <c r="EX372" s="1"/>
      <c r="EY372" s="1"/>
      <c r="EZ372" s="1"/>
      <c r="FA372" s="1"/>
      <c r="FB372" s="1"/>
      <c r="FC372" s="1"/>
      <c r="FD372" s="1"/>
      <c r="FE372" s="1"/>
      <c r="FF372" s="1"/>
      <c r="FG372" s="1"/>
      <c r="FH372" s="1"/>
      <c r="FI372" s="1"/>
      <c r="FJ372" s="1"/>
      <c r="FK372" s="1"/>
      <c r="FL372" s="1"/>
      <c r="FM372" s="1"/>
      <c r="FN372" s="1"/>
      <c r="FO372" s="1"/>
      <c r="FP372" s="1"/>
      <c r="FQ372" s="1"/>
      <c r="FR372" s="2"/>
      <c r="FS372" s="1"/>
    </row>
    <row r="373" spans="1:175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R373" s="1"/>
      <c r="S373" s="1"/>
      <c r="T373" s="1"/>
      <c r="U373" s="1"/>
      <c r="V373" s="1"/>
      <c r="Y373" s="1"/>
      <c r="Z373" s="2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U373" s="1"/>
      <c r="AW373" s="1"/>
      <c r="AX373" s="1"/>
      <c r="AY373" s="1"/>
      <c r="AZ373" s="1"/>
      <c r="BA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/>
      <c r="EG373" s="1"/>
      <c r="EH373" s="1"/>
      <c r="EI373" s="1"/>
      <c r="EJ373" s="1"/>
      <c r="EK373" s="1"/>
      <c r="EL373" s="1"/>
      <c r="EM373" s="1"/>
      <c r="EN373" s="1"/>
      <c r="EO373" s="1"/>
      <c r="EP373" s="1"/>
      <c r="EQ373" s="1"/>
      <c r="ER373" s="1"/>
      <c r="ES373" s="1"/>
      <c r="ET373" s="1"/>
      <c r="EU373" s="1"/>
      <c r="EV373" s="1"/>
      <c r="EW373" s="1"/>
      <c r="EX373" s="1"/>
      <c r="EY373" s="1"/>
      <c r="EZ373" s="1"/>
      <c r="FA373" s="1"/>
      <c r="FB373" s="1"/>
      <c r="FC373" s="1"/>
      <c r="FD373" s="1"/>
      <c r="FE373" s="1"/>
      <c r="FF373" s="1"/>
      <c r="FG373" s="1"/>
      <c r="FH373" s="1"/>
      <c r="FI373" s="1"/>
      <c r="FJ373" s="1"/>
      <c r="FK373" s="1"/>
      <c r="FL373" s="1"/>
      <c r="FM373" s="1"/>
      <c r="FN373" s="1"/>
      <c r="FO373" s="1"/>
      <c r="FP373" s="1"/>
      <c r="FQ373" s="1"/>
      <c r="FR373" s="2"/>
      <c r="FS373" s="1"/>
    </row>
    <row r="374" spans="1:175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R374" s="1"/>
      <c r="S374" s="1"/>
      <c r="T374" s="1"/>
      <c r="U374" s="1"/>
      <c r="V374" s="1"/>
      <c r="Y374" s="1"/>
      <c r="Z374" s="2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U374" s="1"/>
      <c r="AW374" s="1"/>
      <c r="AX374" s="1"/>
      <c r="AY374" s="1"/>
      <c r="AZ374" s="1"/>
      <c r="BA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H374" s="1"/>
      <c r="EI374" s="1"/>
      <c r="EJ374" s="1"/>
      <c r="EK374" s="1"/>
      <c r="EL374" s="1"/>
      <c r="EM374" s="1"/>
      <c r="EN374" s="1"/>
      <c r="EO374" s="1"/>
      <c r="EP374" s="1"/>
      <c r="EQ374" s="1"/>
      <c r="ER374" s="1"/>
      <c r="ES374" s="1"/>
      <c r="ET374" s="1"/>
      <c r="EU374" s="1"/>
      <c r="EV374" s="1"/>
      <c r="EW374" s="1"/>
      <c r="EX374" s="1"/>
      <c r="EY374" s="1"/>
      <c r="EZ374" s="1"/>
      <c r="FA374" s="1"/>
      <c r="FB374" s="1"/>
      <c r="FC374" s="1"/>
      <c r="FD374" s="1"/>
      <c r="FE374" s="1"/>
      <c r="FF374" s="1"/>
      <c r="FG374" s="1"/>
      <c r="FH374" s="1"/>
      <c r="FI374" s="1"/>
      <c r="FJ374" s="1"/>
      <c r="FK374" s="1"/>
      <c r="FL374" s="1"/>
      <c r="FM374" s="1"/>
      <c r="FN374" s="1"/>
      <c r="FO374" s="1"/>
      <c r="FP374" s="1"/>
      <c r="FQ374" s="1"/>
      <c r="FR374" s="2"/>
      <c r="FS374" s="1"/>
    </row>
    <row r="375" spans="1:175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R375" s="1"/>
      <c r="S375" s="1"/>
      <c r="T375" s="1"/>
      <c r="U375" s="1"/>
      <c r="V375" s="1"/>
      <c r="Y375" s="1"/>
      <c r="Z375" s="2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U375" s="1"/>
      <c r="AW375" s="1"/>
      <c r="AX375" s="1"/>
      <c r="AY375" s="1"/>
      <c r="AZ375" s="1"/>
      <c r="BA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  <c r="EF375" s="1"/>
      <c r="EG375" s="1"/>
      <c r="EH375" s="1"/>
      <c r="EI375" s="1"/>
      <c r="EJ375" s="1"/>
      <c r="EK375" s="1"/>
      <c r="EL375" s="1"/>
      <c r="EM375" s="1"/>
      <c r="EN375" s="1"/>
      <c r="EO375" s="1"/>
      <c r="EP375" s="1"/>
      <c r="EQ375" s="1"/>
      <c r="ER375" s="1"/>
      <c r="ES375" s="1"/>
      <c r="ET375" s="1"/>
      <c r="EU375" s="1"/>
      <c r="EV375" s="1"/>
      <c r="EW375" s="1"/>
      <c r="EX375" s="1"/>
      <c r="EY375" s="1"/>
      <c r="EZ375" s="1"/>
      <c r="FA375" s="1"/>
      <c r="FB375" s="1"/>
      <c r="FC375" s="1"/>
      <c r="FD375" s="1"/>
      <c r="FE375" s="1"/>
      <c r="FF375" s="1"/>
      <c r="FG375" s="1"/>
      <c r="FH375" s="1"/>
      <c r="FI375" s="1"/>
      <c r="FJ375" s="1"/>
      <c r="FK375" s="1"/>
      <c r="FL375" s="1"/>
      <c r="FM375" s="1"/>
      <c r="FN375" s="1"/>
      <c r="FO375" s="1"/>
      <c r="FP375" s="1"/>
      <c r="FQ375" s="1"/>
      <c r="FR375" s="2"/>
      <c r="FS375" s="1"/>
    </row>
    <row r="376" spans="1:175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R376" s="1"/>
      <c r="S376" s="1"/>
      <c r="T376" s="1"/>
      <c r="U376" s="1"/>
      <c r="V376" s="1"/>
      <c r="Y376" s="1"/>
      <c r="Z376" s="2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U376" s="1"/>
      <c r="AW376" s="1"/>
      <c r="AX376" s="1"/>
      <c r="AY376" s="1"/>
      <c r="AZ376" s="1"/>
      <c r="BA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  <c r="EJ376" s="1"/>
      <c r="EK376" s="1"/>
      <c r="EL376" s="1"/>
      <c r="EM376" s="1"/>
      <c r="EN376" s="1"/>
      <c r="EO376" s="1"/>
      <c r="EP376" s="1"/>
      <c r="EQ376" s="1"/>
      <c r="ER376" s="1"/>
      <c r="ES376" s="1"/>
      <c r="ET376" s="1"/>
      <c r="EU376" s="1"/>
      <c r="EV376" s="1"/>
      <c r="EW376" s="1"/>
      <c r="EX376" s="1"/>
      <c r="EY376" s="1"/>
      <c r="EZ376" s="1"/>
      <c r="FA376" s="1"/>
      <c r="FB376" s="1"/>
      <c r="FC376" s="1"/>
      <c r="FD376" s="1"/>
      <c r="FE376" s="1"/>
      <c r="FF376" s="1"/>
      <c r="FG376" s="1"/>
      <c r="FH376" s="1"/>
      <c r="FI376" s="1"/>
      <c r="FJ376" s="1"/>
      <c r="FK376" s="1"/>
      <c r="FL376" s="1"/>
      <c r="FM376" s="1"/>
      <c r="FN376" s="1"/>
      <c r="FO376" s="1"/>
      <c r="FP376" s="1"/>
      <c r="FQ376" s="1"/>
      <c r="FR376" s="2"/>
      <c r="FS376" s="1"/>
    </row>
    <row r="377" spans="1:175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R377" s="1"/>
      <c r="S377" s="1"/>
      <c r="T377" s="1"/>
      <c r="U377" s="1"/>
      <c r="V377" s="1"/>
      <c r="Y377" s="1"/>
      <c r="Z377" s="2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U377" s="1"/>
      <c r="AW377" s="1"/>
      <c r="AX377" s="1"/>
      <c r="AY377" s="1"/>
      <c r="AZ377" s="1"/>
      <c r="BA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  <c r="DY377" s="1"/>
      <c r="DZ377" s="1"/>
      <c r="EA377" s="1"/>
      <c r="EB377" s="1"/>
      <c r="EC377" s="1"/>
      <c r="ED377" s="1"/>
      <c r="EE377" s="1"/>
      <c r="EF377" s="1"/>
      <c r="EG377" s="1"/>
      <c r="EH377" s="1"/>
      <c r="EI377" s="1"/>
      <c r="EJ377" s="1"/>
      <c r="EK377" s="1"/>
      <c r="EL377" s="1"/>
      <c r="EM377" s="1"/>
      <c r="EN377" s="1"/>
      <c r="EO377" s="1"/>
      <c r="EP377" s="1"/>
      <c r="EQ377" s="1"/>
      <c r="ER377" s="1"/>
      <c r="ES377" s="1"/>
      <c r="ET377" s="1"/>
      <c r="EU377" s="1"/>
      <c r="EV377" s="1"/>
      <c r="EW377" s="1"/>
      <c r="EX377" s="1"/>
      <c r="EY377" s="1"/>
      <c r="EZ377" s="1"/>
      <c r="FA377" s="1"/>
      <c r="FB377" s="1"/>
      <c r="FC377" s="1"/>
      <c r="FD377" s="1"/>
      <c r="FE377" s="1"/>
      <c r="FF377" s="1"/>
      <c r="FG377" s="1"/>
      <c r="FH377" s="1"/>
      <c r="FI377" s="1"/>
      <c r="FJ377" s="1"/>
      <c r="FK377" s="1"/>
      <c r="FL377" s="1"/>
      <c r="FM377" s="1"/>
      <c r="FN377" s="1"/>
      <c r="FO377" s="1"/>
      <c r="FP377" s="1"/>
      <c r="FQ377" s="1"/>
      <c r="FR377" s="2"/>
      <c r="FS377" s="1"/>
    </row>
    <row r="378" spans="1:175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R378" s="1"/>
      <c r="S378" s="1"/>
      <c r="T378" s="1"/>
      <c r="U378" s="1"/>
      <c r="V378" s="1"/>
      <c r="Y378" s="1"/>
      <c r="Z378" s="2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U378" s="1"/>
      <c r="AW378" s="1"/>
      <c r="AX378" s="1"/>
      <c r="AY378" s="1"/>
      <c r="AZ378" s="1"/>
      <c r="BA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H378" s="1"/>
      <c r="EI378" s="1"/>
      <c r="EJ378" s="1"/>
      <c r="EK378" s="1"/>
      <c r="EL378" s="1"/>
      <c r="EM378" s="1"/>
      <c r="EN378" s="1"/>
      <c r="EO378" s="1"/>
      <c r="EP378" s="1"/>
      <c r="EQ378" s="1"/>
      <c r="ER378" s="1"/>
      <c r="ES378" s="1"/>
      <c r="ET378" s="1"/>
      <c r="EU378" s="1"/>
      <c r="EV378" s="1"/>
      <c r="EW378" s="1"/>
      <c r="EX378" s="1"/>
      <c r="EY378" s="1"/>
      <c r="EZ378" s="1"/>
      <c r="FA378" s="1"/>
      <c r="FB378" s="1"/>
      <c r="FC378" s="1"/>
      <c r="FD378" s="1"/>
      <c r="FE378" s="1"/>
      <c r="FF378" s="1"/>
      <c r="FG378" s="1"/>
      <c r="FH378" s="1"/>
      <c r="FI378" s="1"/>
      <c r="FJ378" s="1"/>
      <c r="FK378" s="1"/>
      <c r="FL378" s="1"/>
      <c r="FM378" s="1"/>
      <c r="FN378" s="1"/>
      <c r="FO378" s="1"/>
      <c r="FP378" s="1"/>
      <c r="FQ378" s="1"/>
      <c r="FR378" s="2"/>
      <c r="FS378" s="1"/>
    </row>
    <row r="379" spans="1:175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R379" s="1"/>
      <c r="S379" s="1"/>
      <c r="T379" s="1"/>
      <c r="U379" s="1"/>
      <c r="V379" s="1"/>
      <c r="Y379" s="1"/>
      <c r="Z379" s="2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U379" s="1"/>
      <c r="AW379" s="1"/>
      <c r="AX379" s="1"/>
      <c r="AY379" s="1"/>
      <c r="AZ379" s="1"/>
      <c r="BA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  <c r="DW379" s="1"/>
      <c r="DX379" s="1"/>
      <c r="DY379" s="1"/>
      <c r="DZ379" s="1"/>
      <c r="EA379" s="1"/>
      <c r="EB379" s="1"/>
      <c r="EC379" s="1"/>
      <c r="ED379" s="1"/>
      <c r="EE379" s="1"/>
      <c r="EF379" s="1"/>
      <c r="EG379" s="1"/>
      <c r="EH379" s="1"/>
      <c r="EI379" s="1"/>
      <c r="EJ379" s="1"/>
      <c r="EK379" s="1"/>
      <c r="EL379" s="1"/>
      <c r="EM379" s="1"/>
      <c r="EN379" s="1"/>
      <c r="EO379" s="1"/>
      <c r="EP379" s="1"/>
      <c r="EQ379" s="1"/>
      <c r="ER379" s="1"/>
      <c r="ES379" s="1"/>
      <c r="ET379" s="1"/>
      <c r="EU379" s="1"/>
      <c r="EV379" s="1"/>
      <c r="EW379" s="1"/>
      <c r="EX379" s="1"/>
      <c r="EY379" s="1"/>
      <c r="EZ379" s="1"/>
      <c r="FA379" s="1"/>
      <c r="FB379" s="1"/>
      <c r="FC379" s="1"/>
      <c r="FD379" s="1"/>
      <c r="FE379" s="1"/>
      <c r="FF379" s="1"/>
      <c r="FG379" s="1"/>
      <c r="FH379" s="1"/>
      <c r="FI379" s="1"/>
      <c r="FJ379" s="1"/>
      <c r="FK379" s="1"/>
      <c r="FL379" s="1"/>
      <c r="FM379" s="1"/>
      <c r="FN379" s="1"/>
      <c r="FO379" s="1"/>
      <c r="FP379" s="1"/>
      <c r="FQ379" s="1"/>
      <c r="FR379" s="2"/>
      <c r="FS379" s="1"/>
    </row>
    <row r="380" spans="1:175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R380" s="1"/>
      <c r="S380" s="1"/>
      <c r="T380" s="1"/>
      <c r="U380" s="1"/>
      <c r="V380" s="1"/>
      <c r="Y380" s="1"/>
      <c r="Z380" s="2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U380" s="1"/>
      <c r="AW380" s="1"/>
      <c r="AX380" s="1"/>
      <c r="AY380" s="1"/>
      <c r="AZ380" s="1"/>
      <c r="BA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H380" s="1"/>
      <c r="EI380" s="1"/>
      <c r="EJ380" s="1"/>
      <c r="EK380" s="1"/>
      <c r="EL380" s="1"/>
      <c r="EM380" s="1"/>
      <c r="EN380" s="1"/>
      <c r="EO380" s="1"/>
      <c r="EP380" s="1"/>
      <c r="EQ380" s="1"/>
      <c r="ER380" s="1"/>
      <c r="ES380" s="1"/>
      <c r="ET380" s="1"/>
      <c r="EU380" s="1"/>
      <c r="EV380" s="1"/>
      <c r="EW380" s="1"/>
      <c r="EX380" s="1"/>
      <c r="EY380" s="1"/>
      <c r="EZ380" s="1"/>
      <c r="FA380" s="1"/>
      <c r="FB380" s="1"/>
      <c r="FC380" s="1"/>
      <c r="FD380" s="1"/>
      <c r="FE380" s="1"/>
      <c r="FF380" s="1"/>
      <c r="FG380" s="1"/>
      <c r="FH380" s="1"/>
      <c r="FI380" s="1"/>
      <c r="FJ380" s="1"/>
      <c r="FK380" s="1"/>
      <c r="FL380" s="1"/>
      <c r="FM380" s="1"/>
      <c r="FN380" s="1"/>
      <c r="FO380" s="1"/>
      <c r="FP380" s="1"/>
      <c r="FQ380" s="1"/>
      <c r="FR380" s="2"/>
      <c r="FS380" s="1"/>
    </row>
    <row r="381" spans="1:175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R381" s="1"/>
      <c r="S381" s="1"/>
      <c r="T381" s="1"/>
      <c r="U381" s="1"/>
      <c r="V381" s="1"/>
      <c r="Y381" s="1"/>
      <c r="Z381" s="2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U381" s="1"/>
      <c r="AW381" s="1"/>
      <c r="AX381" s="1"/>
      <c r="AY381" s="1"/>
      <c r="AZ381" s="1"/>
      <c r="BA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/>
      <c r="EH381" s="1"/>
      <c r="EI381" s="1"/>
      <c r="EJ381" s="1"/>
      <c r="EK381" s="1"/>
      <c r="EL381" s="1"/>
      <c r="EM381" s="1"/>
      <c r="EN381" s="1"/>
      <c r="EO381" s="1"/>
      <c r="EP381" s="1"/>
      <c r="EQ381" s="1"/>
      <c r="ER381" s="1"/>
      <c r="ES381" s="1"/>
      <c r="ET381" s="1"/>
      <c r="EU381" s="1"/>
      <c r="EV381" s="1"/>
      <c r="EW381" s="1"/>
      <c r="EX381" s="1"/>
      <c r="EY381" s="1"/>
      <c r="EZ381" s="1"/>
      <c r="FA381" s="1"/>
      <c r="FB381" s="1"/>
      <c r="FC381" s="1"/>
      <c r="FD381" s="1"/>
      <c r="FE381" s="1"/>
      <c r="FF381" s="1"/>
      <c r="FG381" s="1"/>
      <c r="FH381" s="1"/>
      <c r="FI381" s="1"/>
      <c r="FJ381" s="1"/>
      <c r="FK381" s="1"/>
      <c r="FL381" s="1"/>
      <c r="FM381" s="1"/>
      <c r="FN381" s="1"/>
      <c r="FO381" s="1"/>
      <c r="FP381" s="1"/>
      <c r="FQ381" s="1"/>
      <c r="FR381" s="2"/>
      <c r="FS381" s="1"/>
    </row>
    <row r="382" spans="1:175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R382" s="1"/>
      <c r="S382" s="1"/>
      <c r="T382" s="1"/>
      <c r="U382" s="1"/>
      <c r="V382" s="1"/>
      <c r="Y382" s="1"/>
      <c r="Z382" s="2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U382" s="1"/>
      <c r="AW382" s="1"/>
      <c r="AX382" s="1"/>
      <c r="AY382" s="1"/>
      <c r="AZ382" s="1"/>
      <c r="BA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  <c r="EK382" s="1"/>
      <c r="EL382" s="1"/>
      <c r="EM382" s="1"/>
      <c r="EN382" s="1"/>
      <c r="EO382" s="1"/>
      <c r="EP382" s="1"/>
      <c r="EQ382" s="1"/>
      <c r="ER382" s="1"/>
      <c r="ES382" s="1"/>
      <c r="ET382" s="1"/>
      <c r="EU382" s="1"/>
      <c r="EV382" s="1"/>
      <c r="EW382" s="1"/>
      <c r="EX382" s="1"/>
      <c r="EY382" s="1"/>
      <c r="EZ382" s="1"/>
      <c r="FA382" s="1"/>
      <c r="FB382" s="1"/>
      <c r="FC382" s="1"/>
      <c r="FD382" s="1"/>
      <c r="FE382" s="1"/>
      <c r="FF382" s="1"/>
      <c r="FG382" s="1"/>
      <c r="FH382" s="1"/>
      <c r="FI382" s="1"/>
      <c r="FJ382" s="1"/>
      <c r="FK382" s="1"/>
      <c r="FL382" s="1"/>
      <c r="FM382" s="1"/>
      <c r="FN382" s="1"/>
      <c r="FO382" s="1"/>
      <c r="FP382" s="1"/>
      <c r="FQ382" s="1"/>
      <c r="FR382" s="2"/>
      <c r="FS382" s="1"/>
    </row>
    <row r="383" spans="1:175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R383" s="1"/>
      <c r="S383" s="1"/>
      <c r="T383" s="1"/>
      <c r="U383" s="1"/>
      <c r="V383" s="1"/>
      <c r="Y383" s="1"/>
      <c r="Z383" s="2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U383" s="1"/>
      <c r="AW383" s="1"/>
      <c r="AX383" s="1"/>
      <c r="AY383" s="1"/>
      <c r="AZ383" s="1"/>
      <c r="BA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  <c r="DY383" s="1"/>
      <c r="DZ383" s="1"/>
      <c r="EA383" s="1"/>
      <c r="EB383" s="1"/>
      <c r="EC383" s="1"/>
      <c r="ED383" s="1"/>
      <c r="EE383" s="1"/>
      <c r="EF383" s="1"/>
      <c r="EG383" s="1"/>
      <c r="EH383" s="1"/>
      <c r="EI383" s="1"/>
      <c r="EJ383" s="1"/>
      <c r="EK383" s="1"/>
      <c r="EL383" s="1"/>
      <c r="EM383" s="1"/>
      <c r="EN383" s="1"/>
      <c r="EO383" s="1"/>
      <c r="EP383" s="1"/>
      <c r="EQ383" s="1"/>
      <c r="ER383" s="1"/>
      <c r="ES383" s="1"/>
      <c r="ET383" s="1"/>
      <c r="EU383" s="1"/>
      <c r="EV383" s="1"/>
      <c r="EW383" s="1"/>
      <c r="EX383" s="1"/>
      <c r="EY383" s="1"/>
      <c r="EZ383" s="1"/>
      <c r="FA383" s="1"/>
      <c r="FB383" s="1"/>
      <c r="FC383" s="1"/>
      <c r="FD383" s="1"/>
      <c r="FE383" s="1"/>
      <c r="FF383" s="1"/>
      <c r="FG383" s="1"/>
      <c r="FH383" s="1"/>
      <c r="FI383" s="1"/>
      <c r="FJ383" s="1"/>
      <c r="FK383" s="1"/>
      <c r="FL383" s="1"/>
      <c r="FM383" s="1"/>
      <c r="FN383" s="1"/>
      <c r="FO383" s="1"/>
      <c r="FP383" s="1"/>
      <c r="FQ383" s="1"/>
      <c r="FR383" s="2"/>
      <c r="FS383" s="1"/>
    </row>
    <row r="384" spans="1:175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R384" s="1"/>
      <c r="S384" s="1"/>
      <c r="T384" s="1"/>
      <c r="U384" s="1"/>
      <c r="V384" s="1"/>
      <c r="Y384" s="1"/>
      <c r="Z384" s="2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U384" s="1"/>
      <c r="AW384" s="1"/>
      <c r="AX384" s="1"/>
      <c r="AY384" s="1"/>
      <c r="AZ384" s="1"/>
      <c r="BA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H384" s="1"/>
      <c r="EI384" s="1"/>
      <c r="EJ384" s="1"/>
      <c r="EK384" s="1"/>
      <c r="EL384" s="1"/>
      <c r="EM384" s="1"/>
      <c r="EN384" s="1"/>
      <c r="EO384" s="1"/>
      <c r="EP384" s="1"/>
      <c r="EQ384" s="1"/>
      <c r="ER384" s="1"/>
      <c r="ES384" s="1"/>
      <c r="ET384" s="1"/>
      <c r="EU384" s="1"/>
      <c r="EV384" s="1"/>
      <c r="EW384" s="1"/>
      <c r="EX384" s="1"/>
      <c r="EY384" s="1"/>
      <c r="EZ384" s="1"/>
      <c r="FA384" s="1"/>
      <c r="FB384" s="1"/>
      <c r="FC384" s="1"/>
      <c r="FD384" s="1"/>
      <c r="FE384" s="1"/>
      <c r="FF384" s="1"/>
      <c r="FG384" s="1"/>
      <c r="FH384" s="1"/>
      <c r="FI384" s="1"/>
      <c r="FJ384" s="1"/>
      <c r="FK384" s="1"/>
      <c r="FL384" s="1"/>
      <c r="FM384" s="1"/>
      <c r="FN384" s="1"/>
      <c r="FO384" s="1"/>
      <c r="FP384" s="1"/>
      <c r="FQ384" s="1"/>
      <c r="FR384" s="2"/>
      <c r="FS384" s="1"/>
    </row>
    <row r="385" spans="1:175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R385" s="1"/>
      <c r="S385" s="1"/>
      <c r="T385" s="1"/>
      <c r="U385" s="1"/>
      <c r="V385" s="1"/>
      <c r="Y385" s="1"/>
      <c r="Z385" s="2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U385" s="1"/>
      <c r="AW385" s="1"/>
      <c r="AX385" s="1"/>
      <c r="AY385" s="1"/>
      <c r="AZ385" s="1"/>
      <c r="BA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  <c r="DZ385" s="1"/>
      <c r="EA385" s="1"/>
      <c r="EB385" s="1"/>
      <c r="EC385" s="1"/>
      <c r="ED385" s="1"/>
      <c r="EE385" s="1"/>
      <c r="EF385" s="1"/>
      <c r="EG385" s="1"/>
      <c r="EH385" s="1"/>
      <c r="EI385" s="1"/>
      <c r="EJ385" s="1"/>
      <c r="EK385" s="1"/>
      <c r="EL385" s="1"/>
      <c r="EM385" s="1"/>
      <c r="EN385" s="1"/>
      <c r="EO385" s="1"/>
      <c r="EP385" s="1"/>
      <c r="EQ385" s="1"/>
      <c r="ER385" s="1"/>
      <c r="ES385" s="1"/>
      <c r="ET385" s="1"/>
      <c r="EU385" s="1"/>
      <c r="EV385" s="1"/>
      <c r="EW385" s="1"/>
      <c r="EX385" s="1"/>
      <c r="EY385" s="1"/>
      <c r="EZ385" s="1"/>
      <c r="FA385" s="1"/>
      <c r="FB385" s="1"/>
      <c r="FC385" s="1"/>
      <c r="FD385" s="1"/>
      <c r="FE385" s="1"/>
      <c r="FF385" s="1"/>
      <c r="FG385" s="1"/>
      <c r="FH385" s="1"/>
      <c r="FI385" s="1"/>
      <c r="FJ385" s="1"/>
      <c r="FK385" s="1"/>
      <c r="FL385" s="1"/>
      <c r="FM385" s="1"/>
      <c r="FN385" s="1"/>
      <c r="FO385" s="1"/>
      <c r="FP385" s="1"/>
      <c r="FQ385" s="1"/>
      <c r="FR385" s="2"/>
      <c r="FS385" s="1"/>
    </row>
    <row r="386" spans="1:175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R386" s="1"/>
      <c r="S386" s="1"/>
      <c r="T386" s="1"/>
      <c r="U386" s="1"/>
      <c r="V386" s="1"/>
      <c r="Y386" s="1"/>
      <c r="Z386" s="2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U386" s="1"/>
      <c r="AW386" s="1"/>
      <c r="AX386" s="1"/>
      <c r="AY386" s="1"/>
      <c r="AZ386" s="1"/>
      <c r="BA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  <c r="EK386" s="1"/>
      <c r="EL386" s="1"/>
      <c r="EM386" s="1"/>
      <c r="EN386" s="1"/>
      <c r="EO386" s="1"/>
      <c r="EP386" s="1"/>
      <c r="EQ386" s="1"/>
      <c r="ER386" s="1"/>
      <c r="ES386" s="1"/>
      <c r="ET386" s="1"/>
      <c r="EU386" s="1"/>
      <c r="EV386" s="1"/>
      <c r="EW386" s="1"/>
      <c r="EX386" s="1"/>
      <c r="EY386" s="1"/>
      <c r="EZ386" s="1"/>
      <c r="FA386" s="1"/>
      <c r="FB386" s="1"/>
      <c r="FC386" s="1"/>
      <c r="FD386" s="1"/>
      <c r="FE386" s="1"/>
      <c r="FF386" s="1"/>
      <c r="FG386" s="1"/>
      <c r="FH386" s="1"/>
      <c r="FI386" s="1"/>
      <c r="FJ386" s="1"/>
      <c r="FK386" s="1"/>
      <c r="FL386" s="1"/>
      <c r="FM386" s="1"/>
      <c r="FN386" s="1"/>
      <c r="FO386" s="1"/>
      <c r="FP386" s="1"/>
      <c r="FQ386" s="1"/>
      <c r="FR386" s="2"/>
      <c r="FS386" s="1"/>
    </row>
    <row r="387" spans="1:175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R387" s="1"/>
      <c r="S387" s="1"/>
      <c r="T387" s="1"/>
      <c r="U387" s="1"/>
      <c r="V387" s="1"/>
      <c r="Y387" s="1"/>
      <c r="Z387" s="2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U387" s="1"/>
      <c r="AW387" s="1"/>
      <c r="AX387" s="1"/>
      <c r="AY387" s="1"/>
      <c r="AZ387" s="1"/>
      <c r="BA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  <c r="EG387" s="1"/>
      <c r="EH387" s="1"/>
      <c r="EI387" s="1"/>
      <c r="EJ387" s="1"/>
      <c r="EK387" s="1"/>
      <c r="EL387" s="1"/>
      <c r="EM387" s="1"/>
      <c r="EN387" s="1"/>
      <c r="EO387" s="1"/>
      <c r="EP387" s="1"/>
      <c r="EQ387" s="1"/>
      <c r="ER387" s="1"/>
      <c r="ES387" s="1"/>
      <c r="ET387" s="1"/>
      <c r="EU387" s="1"/>
      <c r="EV387" s="1"/>
      <c r="EW387" s="1"/>
      <c r="EX387" s="1"/>
      <c r="EY387" s="1"/>
      <c r="EZ387" s="1"/>
      <c r="FA387" s="1"/>
      <c r="FB387" s="1"/>
      <c r="FC387" s="1"/>
      <c r="FD387" s="1"/>
      <c r="FE387" s="1"/>
      <c r="FF387" s="1"/>
      <c r="FG387" s="1"/>
      <c r="FH387" s="1"/>
      <c r="FI387" s="1"/>
      <c r="FJ387" s="1"/>
      <c r="FK387" s="1"/>
      <c r="FL387" s="1"/>
      <c r="FM387" s="1"/>
      <c r="FN387" s="1"/>
      <c r="FO387" s="1"/>
      <c r="FP387" s="1"/>
      <c r="FQ387" s="1"/>
      <c r="FR387" s="2"/>
      <c r="FS387" s="1"/>
    </row>
    <row r="388" spans="1:175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R388" s="1"/>
      <c r="S388" s="1"/>
      <c r="T388" s="1"/>
      <c r="U388" s="1"/>
      <c r="V388" s="1"/>
      <c r="Y388" s="1"/>
      <c r="Z388" s="2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U388" s="1"/>
      <c r="AW388" s="1"/>
      <c r="AX388" s="1"/>
      <c r="AY388" s="1"/>
      <c r="AZ388" s="1"/>
      <c r="BA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  <c r="EJ388" s="1"/>
      <c r="EK388" s="1"/>
      <c r="EL388" s="1"/>
      <c r="EM388" s="1"/>
      <c r="EN388" s="1"/>
      <c r="EO388" s="1"/>
      <c r="EP388" s="1"/>
      <c r="EQ388" s="1"/>
      <c r="ER388" s="1"/>
      <c r="ES388" s="1"/>
      <c r="ET388" s="1"/>
      <c r="EU388" s="1"/>
      <c r="EV388" s="1"/>
      <c r="EW388" s="1"/>
      <c r="EX388" s="1"/>
      <c r="EY388" s="1"/>
      <c r="EZ388" s="1"/>
      <c r="FA388" s="1"/>
      <c r="FB388" s="1"/>
      <c r="FC388" s="1"/>
      <c r="FD388" s="1"/>
      <c r="FE388" s="1"/>
      <c r="FF388" s="1"/>
      <c r="FG388" s="1"/>
      <c r="FH388" s="1"/>
      <c r="FI388" s="1"/>
      <c r="FJ388" s="1"/>
      <c r="FK388" s="1"/>
      <c r="FL388" s="1"/>
      <c r="FM388" s="1"/>
      <c r="FN388" s="1"/>
      <c r="FO388" s="1"/>
      <c r="FP388" s="1"/>
      <c r="FQ388" s="1"/>
      <c r="FR388" s="2"/>
      <c r="FS388" s="1"/>
    </row>
    <row r="389" spans="1:175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R389" s="1"/>
      <c r="S389" s="1"/>
      <c r="T389" s="1"/>
      <c r="U389" s="1"/>
      <c r="V389" s="1"/>
      <c r="Y389" s="1"/>
      <c r="Z389" s="2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U389" s="1"/>
      <c r="AW389" s="1"/>
      <c r="AX389" s="1"/>
      <c r="AY389" s="1"/>
      <c r="AZ389" s="1"/>
      <c r="BA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/>
      <c r="DZ389" s="1"/>
      <c r="EA389" s="1"/>
      <c r="EB389" s="1"/>
      <c r="EC389" s="1"/>
      <c r="ED389" s="1"/>
      <c r="EE389" s="1"/>
      <c r="EF389" s="1"/>
      <c r="EG389" s="1"/>
      <c r="EH389" s="1"/>
      <c r="EI389" s="1"/>
      <c r="EJ389" s="1"/>
      <c r="EK389" s="1"/>
      <c r="EL389" s="1"/>
      <c r="EM389" s="1"/>
      <c r="EN389" s="1"/>
      <c r="EO389" s="1"/>
      <c r="EP389" s="1"/>
      <c r="EQ389" s="1"/>
      <c r="ER389" s="1"/>
      <c r="ES389" s="1"/>
      <c r="ET389" s="1"/>
      <c r="EU389" s="1"/>
      <c r="EV389" s="1"/>
      <c r="EW389" s="1"/>
      <c r="EX389" s="1"/>
      <c r="EY389" s="1"/>
      <c r="EZ389" s="1"/>
      <c r="FA389" s="1"/>
      <c r="FB389" s="1"/>
      <c r="FC389" s="1"/>
      <c r="FD389" s="1"/>
      <c r="FE389" s="1"/>
      <c r="FF389" s="1"/>
      <c r="FG389" s="1"/>
      <c r="FH389" s="1"/>
      <c r="FI389" s="1"/>
      <c r="FJ389" s="1"/>
      <c r="FK389" s="1"/>
      <c r="FL389" s="1"/>
      <c r="FM389" s="1"/>
      <c r="FN389" s="1"/>
      <c r="FO389" s="1"/>
      <c r="FP389" s="1"/>
      <c r="FQ389" s="1"/>
      <c r="FR389" s="2"/>
      <c r="FS389" s="1"/>
    </row>
    <row r="390" spans="1:175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R390" s="1"/>
      <c r="S390" s="1"/>
      <c r="T390" s="1"/>
      <c r="U390" s="1"/>
      <c r="V390" s="1"/>
      <c r="Y390" s="1"/>
      <c r="Z390" s="2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U390" s="1"/>
      <c r="AW390" s="1"/>
      <c r="AX390" s="1"/>
      <c r="AY390" s="1"/>
      <c r="AZ390" s="1"/>
      <c r="BA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H390" s="1"/>
      <c r="EI390" s="1"/>
      <c r="EJ390" s="1"/>
      <c r="EK390" s="1"/>
      <c r="EL390" s="1"/>
      <c r="EM390" s="1"/>
      <c r="EN390" s="1"/>
      <c r="EO390" s="1"/>
      <c r="EP390" s="1"/>
      <c r="EQ390" s="1"/>
      <c r="ER390" s="1"/>
      <c r="ES390" s="1"/>
      <c r="ET390" s="1"/>
      <c r="EU390" s="1"/>
      <c r="EV390" s="1"/>
      <c r="EW390" s="1"/>
      <c r="EX390" s="1"/>
      <c r="EY390" s="1"/>
      <c r="EZ390" s="1"/>
      <c r="FA390" s="1"/>
      <c r="FB390" s="1"/>
      <c r="FC390" s="1"/>
      <c r="FD390" s="1"/>
      <c r="FE390" s="1"/>
      <c r="FF390" s="1"/>
      <c r="FG390" s="1"/>
      <c r="FH390" s="1"/>
      <c r="FI390" s="1"/>
      <c r="FJ390" s="1"/>
      <c r="FK390" s="1"/>
      <c r="FL390" s="1"/>
      <c r="FM390" s="1"/>
      <c r="FN390" s="1"/>
      <c r="FO390" s="1"/>
      <c r="FP390" s="1"/>
      <c r="FQ390" s="1"/>
      <c r="FR390" s="2"/>
      <c r="FS390" s="1"/>
    </row>
    <row r="391" spans="1:175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R391" s="1"/>
      <c r="S391" s="1"/>
      <c r="T391" s="1"/>
      <c r="U391" s="1"/>
      <c r="V391" s="1"/>
      <c r="Y391" s="1"/>
      <c r="Z391" s="2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U391" s="1"/>
      <c r="AW391" s="1"/>
      <c r="AX391" s="1"/>
      <c r="AY391" s="1"/>
      <c r="AZ391" s="1"/>
      <c r="BA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  <c r="DY391" s="1"/>
      <c r="DZ391" s="1"/>
      <c r="EA391" s="1"/>
      <c r="EB391" s="1"/>
      <c r="EC391" s="1"/>
      <c r="ED391" s="1"/>
      <c r="EE391" s="1"/>
      <c r="EF391" s="1"/>
      <c r="EG391" s="1"/>
      <c r="EH391" s="1"/>
      <c r="EI391" s="1"/>
      <c r="EJ391" s="1"/>
      <c r="EK391" s="1"/>
      <c r="EL391" s="1"/>
      <c r="EM391" s="1"/>
      <c r="EN391" s="1"/>
      <c r="EO391" s="1"/>
      <c r="EP391" s="1"/>
      <c r="EQ391" s="1"/>
      <c r="ER391" s="1"/>
      <c r="ES391" s="1"/>
      <c r="ET391" s="1"/>
      <c r="EU391" s="1"/>
      <c r="EV391" s="1"/>
      <c r="EW391" s="1"/>
      <c r="EX391" s="1"/>
      <c r="EY391" s="1"/>
      <c r="EZ391" s="1"/>
      <c r="FA391" s="1"/>
      <c r="FB391" s="1"/>
      <c r="FC391" s="1"/>
      <c r="FD391" s="1"/>
      <c r="FE391" s="1"/>
      <c r="FF391" s="1"/>
      <c r="FG391" s="1"/>
      <c r="FH391" s="1"/>
      <c r="FI391" s="1"/>
      <c r="FJ391" s="1"/>
      <c r="FK391" s="1"/>
      <c r="FL391" s="1"/>
      <c r="FM391" s="1"/>
      <c r="FN391" s="1"/>
      <c r="FO391" s="1"/>
      <c r="FP391" s="1"/>
      <c r="FQ391" s="1"/>
      <c r="FR391" s="2"/>
      <c r="FS391" s="1"/>
    </row>
    <row r="392" spans="1:175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R392" s="1"/>
      <c r="S392" s="1"/>
      <c r="T392" s="1"/>
      <c r="U392" s="1"/>
      <c r="V392" s="1"/>
      <c r="Y392" s="1"/>
      <c r="Z392" s="2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U392" s="1"/>
      <c r="AW392" s="1"/>
      <c r="AX392" s="1"/>
      <c r="AY392" s="1"/>
      <c r="AZ392" s="1"/>
      <c r="BA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H392" s="1"/>
      <c r="EI392" s="1"/>
      <c r="EJ392" s="1"/>
      <c r="EK392" s="1"/>
      <c r="EL392" s="1"/>
      <c r="EM392" s="1"/>
      <c r="EN392" s="1"/>
      <c r="EO392" s="1"/>
      <c r="EP392" s="1"/>
      <c r="EQ392" s="1"/>
      <c r="ER392" s="1"/>
      <c r="ES392" s="1"/>
      <c r="ET392" s="1"/>
      <c r="EU392" s="1"/>
      <c r="EV392" s="1"/>
      <c r="EW392" s="1"/>
      <c r="EX392" s="1"/>
      <c r="EY392" s="1"/>
      <c r="EZ392" s="1"/>
      <c r="FA392" s="1"/>
      <c r="FB392" s="1"/>
      <c r="FC392" s="1"/>
      <c r="FD392" s="1"/>
      <c r="FE392" s="1"/>
      <c r="FF392" s="1"/>
      <c r="FG392" s="1"/>
      <c r="FH392" s="1"/>
      <c r="FI392" s="1"/>
      <c r="FJ392" s="1"/>
      <c r="FK392" s="1"/>
      <c r="FL392" s="1"/>
      <c r="FM392" s="1"/>
      <c r="FN392" s="1"/>
      <c r="FO392" s="1"/>
      <c r="FP392" s="1"/>
      <c r="FQ392" s="1"/>
      <c r="FR392" s="2"/>
      <c r="FS392" s="1"/>
    </row>
    <row r="393" spans="1:175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R393" s="1"/>
      <c r="S393" s="1"/>
      <c r="T393" s="1"/>
      <c r="U393" s="1"/>
      <c r="V393" s="1"/>
      <c r="Y393" s="1"/>
      <c r="Z393" s="2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U393" s="1"/>
      <c r="AW393" s="1"/>
      <c r="AX393" s="1"/>
      <c r="AY393" s="1"/>
      <c r="AZ393" s="1"/>
      <c r="BA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1"/>
      <c r="DY393" s="1"/>
      <c r="DZ393" s="1"/>
      <c r="EA393" s="1"/>
      <c r="EB393" s="1"/>
      <c r="EC393" s="1"/>
      <c r="ED393" s="1"/>
      <c r="EE393" s="1"/>
      <c r="EF393" s="1"/>
      <c r="EG393" s="1"/>
      <c r="EH393" s="1"/>
      <c r="EI393" s="1"/>
      <c r="EJ393" s="1"/>
      <c r="EK393" s="1"/>
      <c r="EL393" s="1"/>
      <c r="EM393" s="1"/>
      <c r="EN393" s="1"/>
      <c r="EO393" s="1"/>
      <c r="EP393" s="1"/>
      <c r="EQ393" s="1"/>
      <c r="ER393" s="1"/>
      <c r="ES393" s="1"/>
      <c r="ET393" s="1"/>
      <c r="EU393" s="1"/>
      <c r="EV393" s="1"/>
      <c r="EW393" s="1"/>
      <c r="EX393" s="1"/>
      <c r="EY393" s="1"/>
      <c r="EZ393" s="1"/>
      <c r="FA393" s="1"/>
      <c r="FB393" s="1"/>
      <c r="FC393" s="1"/>
      <c r="FD393" s="1"/>
      <c r="FE393" s="1"/>
      <c r="FF393" s="1"/>
      <c r="FG393" s="1"/>
      <c r="FH393" s="1"/>
      <c r="FI393" s="1"/>
      <c r="FJ393" s="1"/>
      <c r="FK393" s="1"/>
      <c r="FL393" s="1"/>
      <c r="FM393" s="1"/>
      <c r="FN393" s="1"/>
      <c r="FO393" s="1"/>
      <c r="FP393" s="1"/>
      <c r="FQ393" s="1"/>
      <c r="FR393" s="2"/>
      <c r="FS393" s="1"/>
    </row>
    <row r="394" spans="1:175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R394" s="1"/>
      <c r="S394" s="1"/>
      <c r="T394" s="1"/>
      <c r="U394" s="1"/>
      <c r="V394" s="1"/>
      <c r="Y394" s="1"/>
      <c r="Z394" s="2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U394" s="1"/>
      <c r="AW394" s="1"/>
      <c r="AX394" s="1"/>
      <c r="AY394" s="1"/>
      <c r="AZ394" s="1"/>
      <c r="BA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H394" s="1"/>
      <c r="EI394" s="1"/>
      <c r="EJ394" s="1"/>
      <c r="EK394" s="1"/>
      <c r="EL394" s="1"/>
      <c r="EM394" s="1"/>
      <c r="EN394" s="1"/>
      <c r="EO394" s="1"/>
      <c r="EP394" s="1"/>
      <c r="EQ394" s="1"/>
      <c r="ER394" s="1"/>
      <c r="ES394" s="1"/>
      <c r="ET394" s="1"/>
      <c r="EU394" s="1"/>
      <c r="EV394" s="1"/>
      <c r="EW394" s="1"/>
      <c r="EX394" s="1"/>
      <c r="EY394" s="1"/>
      <c r="EZ394" s="1"/>
      <c r="FA394" s="1"/>
      <c r="FB394" s="1"/>
      <c r="FC394" s="1"/>
      <c r="FD394" s="1"/>
      <c r="FE394" s="1"/>
      <c r="FF394" s="1"/>
      <c r="FG394" s="1"/>
      <c r="FH394" s="1"/>
      <c r="FI394" s="1"/>
      <c r="FJ394" s="1"/>
      <c r="FK394" s="1"/>
      <c r="FL394" s="1"/>
      <c r="FM394" s="1"/>
      <c r="FN394" s="1"/>
      <c r="FO394" s="1"/>
      <c r="FP394" s="1"/>
      <c r="FQ394" s="1"/>
      <c r="FR394" s="2"/>
      <c r="FS394" s="1"/>
    </row>
    <row r="395" spans="1:175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R395" s="1"/>
      <c r="S395" s="1"/>
      <c r="T395" s="1"/>
      <c r="U395" s="1"/>
      <c r="V395" s="1"/>
      <c r="Y395" s="1"/>
      <c r="Z395" s="2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U395" s="1"/>
      <c r="AW395" s="1"/>
      <c r="AX395" s="1"/>
      <c r="AY395" s="1"/>
      <c r="AZ395" s="1"/>
      <c r="BA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1"/>
      <c r="DY395" s="1"/>
      <c r="DZ395" s="1"/>
      <c r="EA395" s="1"/>
      <c r="EB395" s="1"/>
      <c r="EC395" s="1"/>
      <c r="ED395" s="1"/>
      <c r="EE395" s="1"/>
      <c r="EF395" s="1"/>
      <c r="EG395" s="1"/>
      <c r="EH395" s="1"/>
      <c r="EI395" s="1"/>
      <c r="EJ395" s="1"/>
      <c r="EK395" s="1"/>
      <c r="EL395" s="1"/>
      <c r="EM395" s="1"/>
      <c r="EN395" s="1"/>
      <c r="EO395" s="1"/>
      <c r="EP395" s="1"/>
      <c r="EQ395" s="1"/>
      <c r="ER395" s="1"/>
      <c r="ES395" s="1"/>
      <c r="ET395" s="1"/>
      <c r="EU395" s="1"/>
      <c r="EV395" s="1"/>
      <c r="EW395" s="1"/>
      <c r="EX395" s="1"/>
      <c r="EY395" s="1"/>
      <c r="EZ395" s="1"/>
      <c r="FA395" s="1"/>
      <c r="FB395" s="1"/>
      <c r="FC395" s="1"/>
      <c r="FD395" s="1"/>
      <c r="FE395" s="1"/>
      <c r="FF395" s="1"/>
      <c r="FG395" s="1"/>
      <c r="FH395" s="1"/>
      <c r="FI395" s="1"/>
      <c r="FJ395" s="1"/>
      <c r="FK395" s="1"/>
      <c r="FL395" s="1"/>
      <c r="FM395" s="1"/>
      <c r="FN395" s="1"/>
      <c r="FO395" s="1"/>
      <c r="FP395" s="1"/>
      <c r="FQ395" s="1"/>
      <c r="FR395" s="2"/>
      <c r="FS395" s="1"/>
    </row>
    <row r="396" spans="1:175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R396" s="1"/>
      <c r="S396" s="1"/>
      <c r="T396" s="1"/>
      <c r="U396" s="1"/>
      <c r="V396" s="1"/>
      <c r="Y396" s="1"/>
      <c r="Z396" s="2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U396" s="1"/>
      <c r="AW396" s="1"/>
      <c r="AX396" s="1"/>
      <c r="AY396" s="1"/>
      <c r="AZ396" s="1"/>
      <c r="BA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H396" s="1"/>
      <c r="EI396" s="1"/>
      <c r="EJ396" s="1"/>
      <c r="EK396" s="1"/>
      <c r="EL396" s="1"/>
      <c r="EM396" s="1"/>
      <c r="EN396" s="1"/>
      <c r="EO396" s="1"/>
      <c r="EP396" s="1"/>
      <c r="EQ396" s="1"/>
      <c r="ER396" s="1"/>
      <c r="ES396" s="1"/>
      <c r="ET396" s="1"/>
      <c r="EU396" s="1"/>
      <c r="EV396" s="1"/>
      <c r="EW396" s="1"/>
      <c r="EX396" s="1"/>
      <c r="EY396" s="1"/>
      <c r="EZ396" s="1"/>
      <c r="FA396" s="1"/>
      <c r="FB396" s="1"/>
      <c r="FC396" s="1"/>
      <c r="FD396" s="1"/>
      <c r="FE396" s="1"/>
      <c r="FF396" s="1"/>
      <c r="FG396" s="1"/>
      <c r="FH396" s="1"/>
      <c r="FI396" s="1"/>
      <c r="FJ396" s="1"/>
      <c r="FK396" s="1"/>
      <c r="FL396" s="1"/>
      <c r="FM396" s="1"/>
      <c r="FN396" s="1"/>
      <c r="FO396" s="1"/>
      <c r="FP396" s="1"/>
      <c r="FQ396" s="1"/>
      <c r="FR396" s="2"/>
      <c r="FS396" s="1"/>
    </row>
    <row r="397" spans="1:175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R397" s="1"/>
      <c r="S397" s="1"/>
      <c r="T397" s="1"/>
      <c r="U397" s="1"/>
      <c r="V397" s="1"/>
      <c r="Y397" s="1"/>
      <c r="Z397" s="2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U397" s="1"/>
      <c r="AW397" s="1"/>
      <c r="AX397" s="1"/>
      <c r="AY397" s="1"/>
      <c r="AZ397" s="1"/>
      <c r="BA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1"/>
      <c r="DR397" s="1"/>
      <c r="DS397" s="1"/>
      <c r="DT397" s="1"/>
      <c r="DU397" s="1"/>
      <c r="DV397" s="1"/>
      <c r="DW397" s="1"/>
      <c r="DX397" s="1"/>
      <c r="DY397" s="1"/>
      <c r="DZ397" s="1"/>
      <c r="EA397" s="1"/>
      <c r="EB397" s="1"/>
      <c r="EC397" s="1"/>
      <c r="ED397" s="1"/>
      <c r="EE397" s="1"/>
      <c r="EF397" s="1"/>
      <c r="EG397" s="1"/>
      <c r="EH397" s="1"/>
      <c r="EI397" s="1"/>
      <c r="EJ397" s="1"/>
      <c r="EK397" s="1"/>
      <c r="EL397" s="1"/>
      <c r="EM397" s="1"/>
      <c r="EN397" s="1"/>
      <c r="EO397" s="1"/>
      <c r="EP397" s="1"/>
      <c r="EQ397" s="1"/>
      <c r="ER397" s="1"/>
      <c r="ES397" s="1"/>
      <c r="ET397" s="1"/>
      <c r="EU397" s="1"/>
      <c r="EV397" s="1"/>
      <c r="EW397" s="1"/>
      <c r="EX397" s="1"/>
      <c r="EY397" s="1"/>
      <c r="EZ397" s="1"/>
      <c r="FA397" s="1"/>
      <c r="FB397" s="1"/>
      <c r="FC397" s="1"/>
      <c r="FD397" s="1"/>
      <c r="FE397" s="1"/>
      <c r="FF397" s="1"/>
      <c r="FG397" s="1"/>
      <c r="FH397" s="1"/>
      <c r="FI397" s="1"/>
      <c r="FJ397" s="1"/>
      <c r="FK397" s="1"/>
      <c r="FL397" s="1"/>
      <c r="FM397" s="1"/>
      <c r="FN397" s="1"/>
      <c r="FO397" s="1"/>
      <c r="FP397" s="1"/>
      <c r="FQ397" s="1"/>
      <c r="FR397" s="2"/>
      <c r="FS397" s="1"/>
    </row>
    <row r="398" spans="1:175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R398" s="1"/>
      <c r="S398" s="1"/>
      <c r="T398" s="1"/>
      <c r="U398" s="1"/>
      <c r="V398" s="1"/>
      <c r="Y398" s="1"/>
      <c r="Z398" s="2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U398" s="1"/>
      <c r="AW398" s="1"/>
      <c r="AX398" s="1"/>
      <c r="AY398" s="1"/>
      <c r="AZ398" s="1"/>
      <c r="BA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H398" s="1"/>
      <c r="EI398" s="1"/>
      <c r="EJ398" s="1"/>
      <c r="EK398" s="1"/>
      <c r="EL398" s="1"/>
      <c r="EM398" s="1"/>
      <c r="EN398" s="1"/>
      <c r="EO398" s="1"/>
      <c r="EP398" s="1"/>
      <c r="EQ398" s="1"/>
      <c r="ER398" s="1"/>
      <c r="ES398" s="1"/>
      <c r="ET398" s="1"/>
      <c r="EU398" s="1"/>
      <c r="EV398" s="1"/>
      <c r="EW398" s="1"/>
      <c r="EX398" s="1"/>
      <c r="EY398" s="1"/>
      <c r="EZ398" s="1"/>
      <c r="FA398" s="1"/>
      <c r="FB398" s="1"/>
      <c r="FC398" s="1"/>
      <c r="FD398" s="1"/>
      <c r="FE398" s="1"/>
      <c r="FF398" s="1"/>
      <c r="FG398" s="1"/>
      <c r="FH398" s="1"/>
      <c r="FI398" s="1"/>
      <c r="FJ398" s="1"/>
      <c r="FK398" s="1"/>
      <c r="FL398" s="1"/>
      <c r="FM398" s="1"/>
      <c r="FN398" s="1"/>
      <c r="FO398" s="1"/>
      <c r="FP398" s="1"/>
      <c r="FQ398" s="1"/>
      <c r="FR398" s="2"/>
      <c r="FS398" s="1"/>
    </row>
    <row r="399" spans="1:175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R399" s="1"/>
      <c r="S399" s="1"/>
      <c r="T399" s="1"/>
      <c r="U399" s="1"/>
      <c r="V399" s="1"/>
      <c r="Y399" s="1"/>
      <c r="Z399" s="2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U399" s="1"/>
      <c r="AW399" s="1"/>
      <c r="AX399" s="1"/>
      <c r="AY399" s="1"/>
      <c r="AZ399" s="1"/>
      <c r="BA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DW399" s="1"/>
      <c r="DX399" s="1"/>
      <c r="DY399" s="1"/>
      <c r="DZ399" s="1"/>
      <c r="EA399" s="1"/>
      <c r="EB399" s="1"/>
      <c r="EC399" s="1"/>
      <c r="ED399" s="1"/>
      <c r="EE399" s="1"/>
      <c r="EF399" s="1"/>
      <c r="EG399" s="1"/>
      <c r="EH399" s="1"/>
      <c r="EI399" s="1"/>
      <c r="EJ399" s="1"/>
      <c r="EK399" s="1"/>
      <c r="EL399" s="1"/>
      <c r="EM399" s="1"/>
      <c r="EN399" s="1"/>
      <c r="EO399" s="1"/>
      <c r="EP399" s="1"/>
      <c r="EQ399" s="1"/>
      <c r="ER399" s="1"/>
      <c r="ES399" s="1"/>
      <c r="ET399" s="1"/>
      <c r="EU399" s="1"/>
      <c r="EV399" s="1"/>
      <c r="EW399" s="1"/>
      <c r="EX399" s="1"/>
      <c r="EY399" s="1"/>
      <c r="EZ399" s="1"/>
      <c r="FA399" s="1"/>
      <c r="FB399" s="1"/>
      <c r="FC399" s="1"/>
      <c r="FD399" s="1"/>
      <c r="FE399" s="1"/>
      <c r="FF399" s="1"/>
      <c r="FG399" s="1"/>
      <c r="FH399" s="1"/>
      <c r="FI399" s="1"/>
      <c r="FJ399" s="1"/>
      <c r="FK399" s="1"/>
      <c r="FL399" s="1"/>
      <c r="FM399" s="1"/>
      <c r="FN399" s="1"/>
      <c r="FO399" s="1"/>
      <c r="FP399" s="1"/>
      <c r="FQ399" s="1"/>
      <c r="FR399" s="2"/>
      <c r="FS399" s="1"/>
    </row>
    <row r="400" spans="1:175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R400" s="1"/>
      <c r="S400" s="1"/>
      <c r="T400" s="1"/>
      <c r="U400" s="1"/>
      <c r="V400" s="1"/>
      <c r="Y400" s="1"/>
      <c r="Z400" s="2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U400" s="1"/>
      <c r="AW400" s="1"/>
      <c r="AX400" s="1"/>
      <c r="AY400" s="1"/>
      <c r="AZ400" s="1"/>
      <c r="BA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H400" s="1"/>
      <c r="EI400" s="1"/>
      <c r="EJ400" s="1"/>
      <c r="EK400" s="1"/>
      <c r="EL400" s="1"/>
      <c r="EM400" s="1"/>
      <c r="EN400" s="1"/>
      <c r="EO400" s="1"/>
      <c r="EP400" s="1"/>
      <c r="EQ400" s="1"/>
      <c r="ER400" s="1"/>
      <c r="ES400" s="1"/>
      <c r="ET400" s="1"/>
      <c r="EU400" s="1"/>
      <c r="EV400" s="1"/>
      <c r="EW400" s="1"/>
      <c r="EX400" s="1"/>
      <c r="EY400" s="1"/>
      <c r="EZ400" s="1"/>
      <c r="FA400" s="1"/>
      <c r="FB400" s="1"/>
      <c r="FC400" s="1"/>
      <c r="FD400" s="1"/>
      <c r="FE400" s="1"/>
      <c r="FF400" s="1"/>
      <c r="FG400" s="1"/>
      <c r="FH400" s="1"/>
      <c r="FI400" s="1"/>
      <c r="FJ400" s="1"/>
      <c r="FK400" s="1"/>
      <c r="FL400" s="1"/>
      <c r="FM400" s="1"/>
      <c r="FN400" s="1"/>
      <c r="FO400" s="1"/>
      <c r="FP400" s="1"/>
      <c r="FQ400" s="1"/>
      <c r="FR400" s="2"/>
      <c r="FS400" s="1"/>
    </row>
    <row r="401" spans="1:175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R401" s="1"/>
      <c r="S401" s="1"/>
      <c r="T401" s="1"/>
      <c r="U401" s="1"/>
      <c r="V401" s="1"/>
      <c r="Y401" s="1"/>
      <c r="Z401" s="2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U401" s="1"/>
      <c r="AW401" s="1"/>
      <c r="AX401" s="1"/>
      <c r="AY401" s="1"/>
      <c r="AZ401" s="1"/>
      <c r="BA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  <c r="DW401" s="1"/>
      <c r="DX401" s="1"/>
      <c r="DY401" s="1"/>
      <c r="DZ401" s="1"/>
      <c r="EA401" s="1"/>
      <c r="EB401" s="1"/>
      <c r="EC401" s="1"/>
      <c r="ED401" s="1"/>
      <c r="EE401" s="1"/>
      <c r="EF401" s="1"/>
      <c r="EG401" s="1"/>
      <c r="EH401" s="1"/>
      <c r="EI401" s="1"/>
      <c r="EJ401" s="1"/>
      <c r="EK401" s="1"/>
      <c r="EL401" s="1"/>
      <c r="EM401" s="1"/>
      <c r="EN401" s="1"/>
      <c r="EO401" s="1"/>
      <c r="EP401" s="1"/>
      <c r="EQ401" s="1"/>
      <c r="ER401" s="1"/>
      <c r="ES401" s="1"/>
      <c r="ET401" s="1"/>
      <c r="EU401" s="1"/>
      <c r="EV401" s="1"/>
      <c r="EW401" s="1"/>
      <c r="EX401" s="1"/>
      <c r="EY401" s="1"/>
      <c r="EZ401" s="1"/>
      <c r="FA401" s="1"/>
      <c r="FB401" s="1"/>
      <c r="FC401" s="1"/>
      <c r="FD401" s="1"/>
      <c r="FE401" s="1"/>
      <c r="FF401" s="1"/>
      <c r="FG401" s="1"/>
      <c r="FH401" s="1"/>
      <c r="FI401" s="1"/>
      <c r="FJ401" s="1"/>
      <c r="FK401" s="1"/>
      <c r="FL401" s="1"/>
      <c r="FM401" s="1"/>
      <c r="FN401" s="1"/>
      <c r="FO401" s="1"/>
      <c r="FP401" s="1"/>
      <c r="FQ401" s="1"/>
      <c r="FR401" s="2"/>
      <c r="FS401" s="1"/>
    </row>
    <row r="402" spans="1:175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R402" s="1"/>
      <c r="S402" s="1"/>
      <c r="T402" s="1"/>
      <c r="U402" s="1"/>
      <c r="V402" s="1"/>
      <c r="Y402" s="1"/>
      <c r="Z402" s="2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U402" s="1"/>
      <c r="AW402" s="1"/>
      <c r="AX402" s="1"/>
      <c r="AY402" s="1"/>
      <c r="AZ402" s="1"/>
      <c r="BA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H402" s="1"/>
      <c r="EI402" s="1"/>
      <c r="EJ402" s="1"/>
      <c r="EK402" s="1"/>
      <c r="EL402" s="1"/>
      <c r="EM402" s="1"/>
      <c r="EN402" s="1"/>
      <c r="EO402" s="1"/>
      <c r="EP402" s="1"/>
      <c r="EQ402" s="1"/>
      <c r="ER402" s="1"/>
      <c r="ES402" s="1"/>
      <c r="ET402" s="1"/>
      <c r="EU402" s="1"/>
      <c r="EV402" s="1"/>
      <c r="EW402" s="1"/>
      <c r="EX402" s="1"/>
      <c r="EY402" s="1"/>
      <c r="EZ402" s="1"/>
      <c r="FA402" s="1"/>
      <c r="FB402" s="1"/>
      <c r="FC402" s="1"/>
      <c r="FD402" s="1"/>
      <c r="FE402" s="1"/>
      <c r="FF402" s="1"/>
      <c r="FG402" s="1"/>
      <c r="FH402" s="1"/>
      <c r="FI402" s="1"/>
      <c r="FJ402" s="1"/>
      <c r="FK402" s="1"/>
      <c r="FL402" s="1"/>
      <c r="FM402" s="1"/>
      <c r="FN402" s="1"/>
      <c r="FO402" s="1"/>
      <c r="FP402" s="1"/>
      <c r="FQ402" s="1"/>
      <c r="FR402" s="2"/>
      <c r="FS402" s="1"/>
    </row>
    <row r="403" spans="1:175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R403" s="1"/>
      <c r="S403" s="1"/>
      <c r="T403" s="1"/>
      <c r="U403" s="1"/>
      <c r="V403" s="1"/>
      <c r="Y403" s="1"/>
      <c r="Z403" s="2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U403" s="1"/>
      <c r="AW403" s="1"/>
      <c r="AX403" s="1"/>
      <c r="AY403" s="1"/>
      <c r="AZ403" s="1"/>
      <c r="BA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DW403" s="1"/>
      <c r="DX403" s="1"/>
      <c r="DY403" s="1"/>
      <c r="DZ403" s="1"/>
      <c r="EA403" s="1"/>
      <c r="EB403" s="1"/>
      <c r="EC403" s="1"/>
      <c r="ED403" s="1"/>
      <c r="EE403" s="1"/>
      <c r="EF403" s="1"/>
      <c r="EG403" s="1"/>
      <c r="EH403" s="1"/>
      <c r="EI403" s="1"/>
      <c r="EJ403" s="1"/>
      <c r="EK403" s="1"/>
      <c r="EL403" s="1"/>
      <c r="EM403" s="1"/>
      <c r="EN403" s="1"/>
      <c r="EO403" s="1"/>
      <c r="EP403" s="1"/>
      <c r="EQ403" s="1"/>
      <c r="ER403" s="1"/>
      <c r="ES403" s="1"/>
      <c r="ET403" s="1"/>
      <c r="EU403" s="1"/>
      <c r="EV403" s="1"/>
      <c r="EW403" s="1"/>
      <c r="EX403" s="1"/>
      <c r="EY403" s="1"/>
      <c r="EZ403" s="1"/>
      <c r="FA403" s="1"/>
      <c r="FB403" s="1"/>
      <c r="FC403" s="1"/>
      <c r="FD403" s="1"/>
      <c r="FE403" s="1"/>
      <c r="FF403" s="1"/>
      <c r="FG403" s="1"/>
      <c r="FH403" s="1"/>
      <c r="FI403" s="1"/>
      <c r="FJ403" s="1"/>
      <c r="FK403" s="1"/>
      <c r="FL403" s="1"/>
      <c r="FM403" s="1"/>
      <c r="FN403" s="1"/>
      <c r="FO403" s="1"/>
      <c r="FP403" s="1"/>
      <c r="FQ403" s="1"/>
      <c r="FR403" s="2"/>
      <c r="FS403" s="1"/>
    </row>
    <row r="404" spans="1:175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R404" s="1"/>
      <c r="S404" s="1"/>
      <c r="T404" s="1"/>
      <c r="U404" s="1"/>
      <c r="V404" s="1"/>
      <c r="Y404" s="1"/>
      <c r="Z404" s="2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U404" s="1"/>
      <c r="AW404" s="1"/>
      <c r="AX404" s="1"/>
      <c r="AY404" s="1"/>
      <c r="AZ404" s="1"/>
      <c r="BA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H404" s="1"/>
      <c r="EI404" s="1"/>
      <c r="EJ404" s="1"/>
      <c r="EK404" s="1"/>
      <c r="EL404" s="1"/>
      <c r="EM404" s="1"/>
      <c r="EN404" s="1"/>
      <c r="EO404" s="1"/>
      <c r="EP404" s="1"/>
      <c r="EQ404" s="1"/>
      <c r="ER404" s="1"/>
      <c r="ES404" s="1"/>
      <c r="ET404" s="1"/>
      <c r="EU404" s="1"/>
      <c r="EV404" s="1"/>
      <c r="EW404" s="1"/>
      <c r="EX404" s="1"/>
      <c r="EY404" s="1"/>
      <c r="EZ404" s="1"/>
      <c r="FA404" s="1"/>
      <c r="FB404" s="1"/>
      <c r="FC404" s="1"/>
      <c r="FD404" s="1"/>
      <c r="FE404" s="1"/>
      <c r="FF404" s="1"/>
      <c r="FG404" s="1"/>
      <c r="FH404" s="1"/>
      <c r="FI404" s="1"/>
      <c r="FJ404" s="1"/>
      <c r="FK404" s="1"/>
      <c r="FL404" s="1"/>
      <c r="FM404" s="1"/>
      <c r="FN404" s="1"/>
      <c r="FO404" s="1"/>
      <c r="FP404" s="1"/>
      <c r="FQ404" s="1"/>
      <c r="FR404" s="2"/>
      <c r="FS404" s="1"/>
    </row>
    <row r="405" spans="1:175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R405" s="1"/>
      <c r="S405" s="1"/>
      <c r="T405" s="1"/>
      <c r="U405" s="1"/>
      <c r="V405" s="1"/>
      <c r="Y405" s="1"/>
      <c r="Z405" s="2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U405" s="1"/>
      <c r="AW405" s="1"/>
      <c r="AX405" s="1"/>
      <c r="AY405" s="1"/>
      <c r="AZ405" s="1"/>
      <c r="BA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  <c r="DY405" s="1"/>
      <c r="DZ405" s="1"/>
      <c r="EA405" s="1"/>
      <c r="EB405" s="1"/>
      <c r="EC405" s="1"/>
      <c r="ED405" s="1"/>
      <c r="EE405" s="1"/>
      <c r="EF405" s="1"/>
      <c r="EG405" s="1"/>
      <c r="EH405" s="1"/>
      <c r="EI405" s="1"/>
      <c r="EJ405" s="1"/>
      <c r="EK405" s="1"/>
      <c r="EL405" s="1"/>
      <c r="EM405" s="1"/>
      <c r="EN405" s="1"/>
      <c r="EO405" s="1"/>
      <c r="EP405" s="1"/>
      <c r="EQ405" s="1"/>
      <c r="ER405" s="1"/>
      <c r="ES405" s="1"/>
      <c r="ET405" s="1"/>
      <c r="EU405" s="1"/>
      <c r="EV405" s="1"/>
      <c r="EW405" s="1"/>
      <c r="EX405" s="1"/>
      <c r="EY405" s="1"/>
      <c r="EZ405" s="1"/>
      <c r="FA405" s="1"/>
      <c r="FB405" s="1"/>
      <c r="FC405" s="1"/>
      <c r="FD405" s="1"/>
      <c r="FE405" s="1"/>
      <c r="FF405" s="1"/>
      <c r="FG405" s="1"/>
      <c r="FH405" s="1"/>
      <c r="FI405" s="1"/>
      <c r="FJ405" s="1"/>
      <c r="FK405" s="1"/>
      <c r="FL405" s="1"/>
      <c r="FM405" s="1"/>
      <c r="FN405" s="1"/>
      <c r="FO405" s="1"/>
      <c r="FP405" s="1"/>
      <c r="FQ405" s="1"/>
      <c r="FR405" s="2"/>
      <c r="FS405" s="1"/>
    </row>
    <row r="406" spans="1:175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R406" s="1"/>
      <c r="S406" s="1"/>
      <c r="T406" s="1"/>
      <c r="U406" s="1"/>
      <c r="V406" s="1"/>
      <c r="Y406" s="1"/>
      <c r="Z406" s="2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U406" s="1"/>
      <c r="AW406" s="1"/>
      <c r="AX406" s="1"/>
      <c r="AY406" s="1"/>
      <c r="AZ406" s="1"/>
      <c r="BA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H406" s="1"/>
      <c r="EI406" s="1"/>
      <c r="EJ406" s="1"/>
      <c r="EK406" s="1"/>
      <c r="EL406" s="1"/>
      <c r="EM406" s="1"/>
      <c r="EN406" s="1"/>
      <c r="EO406" s="1"/>
      <c r="EP406" s="1"/>
      <c r="EQ406" s="1"/>
      <c r="ER406" s="1"/>
      <c r="ES406" s="1"/>
      <c r="ET406" s="1"/>
      <c r="EU406" s="1"/>
      <c r="EV406" s="1"/>
      <c r="EW406" s="1"/>
      <c r="EX406" s="1"/>
      <c r="EY406" s="1"/>
      <c r="EZ406" s="1"/>
      <c r="FA406" s="1"/>
      <c r="FB406" s="1"/>
      <c r="FC406" s="1"/>
      <c r="FD406" s="1"/>
      <c r="FE406" s="1"/>
      <c r="FF406" s="1"/>
      <c r="FG406" s="1"/>
      <c r="FH406" s="1"/>
      <c r="FI406" s="1"/>
      <c r="FJ406" s="1"/>
      <c r="FK406" s="1"/>
      <c r="FL406" s="1"/>
      <c r="FM406" s="1"/>
      <c r="FN406" s="1"/>
      <c r="FO406" s="1"/>
      <c r="FP406" s="1"/>
      <c r="FQ406" s="1"/>
      <c r="FR406" s="2"/>
      <c r="FS406" s="1"/>
    </row>
    <row r="407" spans="1:175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R407" s="1"/>
      <c r="S407" s="1"/>
      <c r="T407" s="1"/>
      <c r="U407" s="1"/>
      <c r="V407" s="1"/>
      <c r="Y407" s="1"/>
      <c r="Z407" s="2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U407" s="1"/>
      <c r="AW407" s="1"/>
      <c r="AX407" s="1"/>
      <c r="AY407" s="1"/>
      <c r="AZ407" s="1"/>
      <c r="BA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1"/>
      <c r="DY407" s="1"/>
      <c r="DZ407" s="1"/>
      <c r="EA407" s="1"/>
      <c r="EB407" s="1"/>
      <c r="EC407" s="1"/>
      <c r="ED407" s="1"/>
      <c r="EE407" s="1"/>
      <c r="EF407" s="1"/>
      <c r="EG407" s="1"/>
      <c r="EH407" s="1"/>
      <c r="EI407" s="1"/>
      <c r="EJ407" s="1"/>
      <c r="EK407" s="1"/>
      <c r="EL407" s="1"/>
      <c r="EM407" s="1"/>
      <c r="EN407" s="1"/>
      <c r="EO407" s="1"/>
      <c r="EP407" s="1"/>
      <c r="EQ407" s="1"/>
      <c r="ER407" s="1"/>
      <c r="ES407" s="1"/>
      <c r="ET407" s="1"/>
      <c r="EU407" s="1"/>
      <c r="EV407" s="1"/>
      <c r="EW407" s="1"/>
      <c r="EX407" s="1"/>
      <c r="EY407" s="1"/>
      <c r="EZ407" s="1"/>
      <c r="FA407" s="1"/>
      <c r="FB407" s="1"/>
      <c r="FC407" s="1"/>
      <c r="FD407" s="1"/>
      <c r="FE407" s="1"/>
      <c r="FF407" s="1"/>
      <c r="FG407" s="1"/>
      <c r="FH407" s="1"/>
      <c r="FI407" s="1"/>
      <c r="FJ407" s="1"/>
      <c r="FK407" s="1"/>
      <c r="FL407" s="1"/>
      <c r="FM407" s="1"/>
      <c r="FN407" s="1"/>
      <c r="FO407" s="1"/>
      <c r="FP407" s="1"/>
      <c r="FQ407" s="1"/>
      <c r="FR407" s="2"/>
      <c r="FS407" s="1"/>
    </row>
    <row r="408" spans="1:175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R408" s="1"/>
      <c r="S408" s="1"/>
      <c r="T408" s="1"/>
      <c r="U408" s="1"/>
      <c r="V408" s="1"/>
      <c r="Y408" s="1"/>
      <c r="Z408" s="2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U408" s="1"/>
      <c r="AW408" s="1"/>
      <c r="AX408" s="1"/>
      <c r="AY408" s="1"/>
      <c r="AZ408" s="1"/>
      <c r="BA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H408" s="1"/>
      <c r="EI408" s="1"/>
      <c r="EJ408" s="1"/>
      <c r="EK408" s="1"/>
      <c r="EL408" s="1"/>
      <c r="EM408" s="1"/>
      <c r="EN408" s="1"/>
      <c r="EO408" s="1"/>
      <c r="EP408" s="1"/>
      <c r="EQ408" s="1"/>
      <c r="ER408" s="1"/>
      <c r="ES408" s="1"/>
      <c r="ET408" s="1"/>
      <c r="EU408" s="1"/>
      <c r="EV408" s="1"/>
      <c r="EW408" s="1"/>
      <c r="EX408" s="1"/>
      <c r="EY408" s="1"/>
      <c r="EZ408" s="1"/>
      <c r="FA408" s="1"/>
      <c r="FB408" s="1"/>
      <c r="FC408" s="1"/>
      <c r="FD408" s="1"/>
      <c r="FE408" s="1"/>
      <c r="FF408" s="1"/>
      <c r="FG408" s="1"/>
      <c r="FH408" s="1"/>
      <c r="FI408" s="1"/>
      <c r="FJ408" s="1"/>
      <c r="FK408" s="1"/>
      <c r="FL408" s="1"/>
      <c r="FM408" s="1"/>
      <c r="FN408" s="1"/>
      <c r="FO408" s="1"/>
      <c r="FP408" s="1"/>
      <c r="FQ408" s="1"/>
      <c r="FR408" s="2"/>
      <c r="FS408" s="1"/>
    </row>
    <row r="409" spans="1:175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R409" s="1"/>
      <c r="S409" s="1"/>
      <c r="T409" s="1"/>
      <c r="U409" s="1"/>
      <c r="V409" s="1"/>
      <c r="Y409" s="1"/>
      <c r="Z409" s="2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U409" s="1"/>
      <c r="AW409" s="1"/>
      <c r="AX409" s="1"/>
      <c r="AY409" s="1"/>
      <c r="AZ409" s="1"/>
      <c r="BA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1"/>
      <c r="DY409" s="1"/>
      <c r="DZ409" s="1"/>
      <c r="EA409" s="1"/>
      <c r="EB409" s="1"/>
      <c r="EC409" s="1"/>
      <c r="ED409" s="1"/>
      <c r="EE409" s="1"/>
      <c r="EF409" s="1"/>
      <c r="EG409" s="1"/>
      <c r="EH409" s="1"/>
      <c r="EI409" s="1"/>
      <c r="EJ409" s="1"/>
      <c r="EK409" s="1"/>
      <c r="EL409" s="1"/>
      <c r="EM409" s="1"/>
      <c r="EN409" s="1"/>
      <c r="EO409" s="1"/>
      <c r="EP409" s="1"/>
      <c r="EQ409" s="1"/>
      <c r="ER409" s="1"/>
      <c r="ES409" s="1"/>
      <c r="ET409" s="1"/>
      <c r="EU409" s="1"/>
      <c r="EV409" s="1"/>
      <c r="EW409" s="1"/>
      <c r="EX409" s="1"/>
      <c r="EY409" s="1"/>
      <c r="EZ409" s="1"/>
      <c r="FA409" s="1"/>
      <c r="FB409" s="1"/>
      <c r="FC409" s="1"/>
      <c r="FD409" s="1"/>
      <c r="FE409" s="1"/>
      <c r="FF409" s="1"/>
      <c r="FG409" s="1"/>
      <c r="FH409" s="1"/>
      <c r="FI409" s="1"/>
      <c r="FJ409" s="1"/>
      <c r="FK409" s="1"/>
      <c r="FL409" s="1"/>
      <c r="FM409" s="1"/>
      <c r="FN409" s="1"/>
      <c r="FO409" s="1"/>
      <c r="FP409" s="1"/>
      <c r="FQ409" s="1"/>
      <c r="FR409" s="2"/>
      <c r="FS409" s="1"/>
    </row>
    <row r="410" spans="1:175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R410" s="1"/>
      <c r="S410" s="1"/>
      <c r="T410" s="1"/>
      <c r="U410" s="1"/>
      <c r="V410" s="1"/>
      <c r="Y410" s="1"/>
      <c r="Z410" s="2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U410" s="1"/>
      <c r="AW410" s="1"/>
      <c r="AX410" s="1"/>
      <c r="AY410" s="1"/>
      <c r="AZ410" s="1"/>
      <c r="BA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H410" s="1"/>
      <c r="EI410" s="1"/>
      <c r="EJ410" s="1"/>
      <c r="EK410" s="1"/>
      <c r="EL410" s="1"/>
      <c r="EM410" s="1"/>
      <c r="EN410" s="1"/>
      <c r="EO410" s="1"/>
      <c r="EP410" s="1"/>
      <c r="EQ410" s="1"/>
      <c r="ER410" s="1"/>
      <c r="ES410" s="1"/>
      <c r="ET410" s="1"/>
      <c r="EU410" s="1"/>
      <c r="EV410" s="1"/>
      <c r="EW410" s="1"/>
      <c r="EX410" s="1"/>
      <c r="EY410" s="1"/>
      <c r="EZ410" s="1"/>
      <c r="FA410" s="1"/>
      <c r="FB410" s="1"/>
      <c r="FC410" s="1"/>
      <c r="FD410" s="1"/>
      <c r="FE410" s="1"/>
      <c r="FF410" s="1"/>
      <c r="FG410" s="1"/>
      <c r="FH410" s="1"/>
      <c r="FI410" s="1"/>
      <c r="FJ410" s="1"/>
      <c r="FK410" s="1"/>
      <c r="FL410" s="1"/>
      <c r="FM410" s="1"/>
      <c r="FN410" s="1"/>
      <c r="FO410" s="1"/>
      <c r="FP410" s="1"/>
      <c r="FQ410" s="1"/>
      <c r="FR410" s="2"/>
      <c r="FS410" s="1"/>
    </row>
    <row r="411" spans="1:175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R411" s="1"/>
      <c r="S411" s="1"/>
      <c r="T411" s="1"/>
      <c r="U411" s="1"/>
      <c r="V411" s="1"/>
      <c r="Y411" s="1"/>
      <c r="Z411" s="2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U411" s="1"/>
      <c r="AW411" s="1"/>
      <c r="AX411" s="1"/>
      <c r="AY411" s="1"/>
      <c r="AZ411" s="1"/>
      <c r="BA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1"/>
      <c r="DY411" s="1"/>
      <c r="DZ411" s="1"/>
      <c r="EA411" s="1"/>
      <c r="EB411" s="1"/>
      <c r="EC411" s="1"/>
      <c r="ED411" s="1"/>
      <c r="EE411" s="1"/>
      <c r="EF411" s="1"/>
      <c r="EG411" s="1"/>
      <c r="EH411" s="1"/>
      <c r="EI411" s="1"/>
      <c r="EJ411" s="1"/>
      <c r="EK411" s="1"/>
      <c r="EL411" s="1"/>
      <c r="EM411" s="1"/>
      <c r="EN411" s="1"/>
      <c r="EO411" s="1"/>
      <c r="EP411" s="1"/>
      <c r="EQ411" s="1"/>
      <c r="ER411" s="1"/>
      <c r="ES411" s="1"/>
      <c r="ET411" s="1"/>
      <c r="EU411" s="1"/>
      <c r="EV411" s="1"/>
      <c r="EW411" s="1"/>
      <c r="EX411" s="1"/>
      <c r="EY411" s="1"/>
      <c r="EZ411" s="1"/>
      <c r="FA411" s="1"/>
      <c r="FB411" s="1"/>
      <c r="FC411" s="1"/>
      <c r="FD411" s="1"/>
      <c r="FE411" s="1"/>
      <c r="FF411" s="1"/>
      <c r="FG411" s="1"/>
      <c r="FH411" s="1"/>
      <c r="FI411" s="1"/>
      <c r="FJ411" s="1"/>
      <c r="FK411" s="1"/>
      <c r="FL411" s="1"/>
      <c r="FM411" s="1"/>
      <c r="FN411" s="1"/>
      <c r="FO411" s="1"/>
      <c r="FP411" s="1"/>
      <c r="FQ411" s="1"/>
      <c r="FR411" s="2"/>
      <c r="FS411" s="1"/>
    </row>
    <row r="412" spans="1:175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R412" s="1"/>
      <c r="S412" s="1"/>
      <c r="T412" s="1"/>
      <c r="U412" s="1"/>
      <c r="V412" s="1"/>
      <c r="Y412" s="1"/>
      <c r="Z412" s="2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U412" s="1"/>
      <c r="AW412" s="1"/>
      <c r="AX412" s="1"/>
      <c r="AY412" s="1"/>
      <c r="AZ412" s="1"/>
      <c r="BA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H412" s="1"/>
      <c r="EI412" s="1"/>
      <c r="EJ412" s="1"/>
      <c r="EK412" s="1"/>
      <c r="EL412" s="1"/>
      <c r="EM412" s="1"/>
      <c r="EN412" s="1"/>
      <c r="EO412" s="1"/>
      <c r="EP412" s="1"/>
      <c r="EQ412" s="1"/>
      <c r="ER412" s="1"/>
      <c r="ES412" s="1"/>
      <c r="ET412" s="1"/>
      <c r="EU412" s="1"/>
      <c r="EV412" s="1"/>
      <c r="EW412" s="1"/>
      <c r="EX412" s="1"/>
      <c r="EY412" s="1"/>
      <c r="EZ412" s="1"/>
      <c r="FA412" s="1"/>
      <c r="FB412" s="1"/>
      <c r="FC412" s="1"/>
      <c r="FD412" s="1"/>
      <c r="FE412" s="1"/>
      <c r="FF412" s="1"/>
      <c r="FG412" s="1"/>
      <c r="FH412" s="1"/>
      <c r="FI412" s="1"/>
      <c r="FJ412" s="1"/>
      <c r="FK412" s="1"/>
      <c r="FL412" s="1"/>
      <c r="FM412" s="1"/>
      <c r="FN412" s="1"/>
      <c r="FO412" s="1"/>
      <c r="FP412" s="1"/>
      <c r="FQ412" s="1"/>
      <c r="FR412" s="2"/>
      <c r="FS412" s="1"/>
    </row>
    <row r="413" spans="1:175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R413" s="1"/>
      <c r="S413" s="1"/>
      <c r="T413" s="1"/>
      <c r="U413" s="1"/>
      <c r="V413" s="1"/>
      <c r="Y413" s="1"/>
      <c r="Z413" s="2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U413" s="1"/>
      <c r="AW413" s="1"/>
      <c r="AX413" s="1"/>
      <c r="AY413" s="1"/>
      <c r="AZ413" s="1"/>
      <c r="BA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  <c r="DY413" s="1"/>
      <c r="DZ413" s="1"/>
      <c r="EA413" s="1"/>
      <c r="EB413" s="1"/>
      <c r="EC413" s="1"/>
      <c r="ED413" s="1"/>
      <c r="EE413" s="1"/>
      <c r="EF413" s="1"/>
      <c r="EG413" s="1"/>
      <c r="EH413" s="1"/>
      <c r="EI413" s="1"/>
      <c r="EJ413" s="1"/>
      <c r="EK413" s="1"/>
      <c r="EL413" s="1"/>
      <c r="EM413" s="1"/>
      <c r="EN413" s="1"/>
      <c r="EO413" s="1"/>
      <c r="EP413" s="1"/>
      <c r="EQ413" s="1"/>
      <c r="ER413" s="1"/>
      <c r="ES413" s="1"/>
      <c r="ET413" s="1"/>
      <c r="EU413" s="1"/>
      <c r="EV413" s="1"/>
      <c r="EW413" s="1"/>
      <c r="EX413" s="1"/>
      <c r="EY413" s="1"/>
      <c r="EZ413" s="1"/>
      <c r="FA413" s="1"/>
      <c r="FB413" s="1"/>
      <c r="FC413" s="1"/>
      <c r="FD413" s="1"/>
      <c r="FE413" s="1"/>
      <c r="FF413" s="1"/>
      <c r="FG413" s="1"/>
      <c r="FH413" s="1"/>
      <c r="FI413" s="1"/>
      <c r="FJ413" s="1"/>
      <c r="FK413" s="1"/>
      <c r="FL413" s="1"/>
      <c r="FM413" s="1"/>
      <c r="FN413" s="1"/>
      <c r="FO413" s="1"/>
      <c r="FP413" s="1"/>
      <c r="FQ413" s="1"/>
      <c r="FR413" s="2"/>
      <c r="FS413" s="1"/>
    </row>
    <row r="414" spans="1:175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R414" s="1"/>
      <c r="S414" s="1"/>
      <c r="T414" s="1"/>
      <c r="U414" s="1"/>
      <c r="V414" s="1"/>
      <c r="Y414" s="1"/>
      <c r="Z414" s="2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U414" s="1"/>
      <c r="AW414" s="1"/>
      <c r="AX414" s="1"/>
      <c r="AY414" s="1"/>
      <c r="AZ414" s="1"/>
      <c r="BA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H414" s="1"/>
      <c r="EI414" s="1"/>
      <c r="EJ414" s="1"/>
      <c r="EK414" s="1"/>
      <c r="EL414" s="1"/>
      <c r="EM414" s="1"/>
      <c r="EN414" s="1"/>
      <c r="EO414" s="1"/>
      <c r="EP414" s="1"/>
      <c r="EQ414" s="1"/>
      <c r="ER414" s="1"/>
      <c r="ES414" s="1"/>
      <c r="ET414" s="1"/>
      <c r="EU414" s="1"/>
      <c r="EV414" s="1"/>
      <c r="EW414" s="1"/>
      <c r="EX414" s="1"/>
      <c r="EY414" s="1"/>
      <c r="EZ414" s="1"/>
      <c r="FA414" s="1"/>
      <c r="FB414" s="1"/>
      <c r="FC414" s="1"/>
      <c r="FD414" s="1"/>
      <c r="FE414" s="1"/>
      <c r="FF414" s="1"/>
      <c r="FG414" s="1"/>
      <c r="FH414" s="1"/>
      <c r="FI414" s="1"/>
      <c r="FJ414" s="1"/>
      <c r="FK414" s="1"/>
      <c r="FL414" s="1"/>
      <c r="FM414" s="1"/>
      <c r="FN414" s="1"/>
      <c r="FO414" s="1"/>
      <c r="FP414" s="1"/>
      <c r="FQ414" s="1"/>
      <c r="FR414" s="2"/>
      <c r="FS414" s="1"/>
    </row>
    <row r="415" spans="1:175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R415" s="1"/>
      <c r="S415" s="1"/>
      <c r="T415" s="1"/>
      <c r="U415" s="1"/>
      <c r="V415" s="1"/>
      <c r="Y415" s="1"/>
      <c r="Z415" s="2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U415" s="1"/>
      <c r="AW415" s="1"/>
      <c r="AX415" s="1"/>
      <c r="AY415" s="1"/>
      <c r="AZ415" s="1"/>
      <c r="BA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  <c r="DY415" s="1"/>
      <c r="DZ415" s="1"/>
      <c r="EA415" s="1"/>
      <c r="EB415" s="1"/>
      <c r="EC415" s="1"/>
      <c r="ED415" s="1"/>
      <c r="EE415" s="1"/>
      <c r="EF415" s="1"/>
      <c r="EG415" s="1"/>
      <c r="EH415" s="1"/>
      <c r="EI415" s="1"/>
      <c r="EJ415" s="1"/>
      <c r="EK415" s="1"/>
      <c r="EL415" s="1"/>
      <c r="EM415" s="1"/>
      <c r="EN415" s="1"/>
      <c r="EO415" s="1"/>
      <c r="EP415" s="1"/>
      <c r="EQ415" s="1"/>
      <c r="ER415" s="1"/>
      <c r="ES415" s="1"/>
      <c r="ET415" s="1"/>
      <c r="EU415" s="1"/>
      <c r="EV415" s="1"/>
      <c r="EW415" s="1"/>
      <c r="EX415" s="1"/>
      <c r="EY415" s="1"/>
      <c r="EZ415" s="1"/>
      <c r="FA415" s="1"/>
      <c r="FB415" s="1"/>
      <c r="FC415" s="1"/>
      <c r="FD415" s="1"/>
      <c r="FE415" s="1"/>
      <c r="FF415" s="1"/>
      <c r="FG415" s="1"/>
      <c r="FH415" s="1"/>
      <c r="FI415" s="1"/>
      <c r="FJ415" s="1"/>
      <c r="FK415" s="1"/>
      <c r="FL415" s="1"/>
      <c r="FM415" s="1"/>
      <c r="FN415" s="1"/>
      <c r="FO415" s="1"/>
      <c r="FP415" s="1"/>
      <c r="FQ415" s="1"/>
      <c r="FR415" s="2"/>
      <c r="FS415" s="1"/>
    </row>
    <row r="416" spans="1:175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R416" s="1"/>
      <c r="S416" s="1"/>
      <c r="T416" s="1"/>
      <c r="U416" s="1"/>
      <c r="V416" s="1"/>
      <c r="Y416" s="1"/>
      <c r="Z416" s="2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U416" s="1"/>
      <c r="AW416" s="1"/>
      <c r="AX416" s="1"/>
      <c r="AY416" s="1"/>
      <c r="AZ416" s="1"/>
      <c r="BA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H416" s="1"/>
      <c r="EI416" s="1"/>
      <c r="EJ416" s="1"/>
      <c r="EK416" s="1"/>
      <c r="EL416" s="1"/>
      <c r="EM416" s="1"/>
      <c r="EN416" s="1"/>
      <c r="EO416" s="1"/>
      <c r="EP416" s="1"/>
      <c r="EQ416" s="1"/>
      <c r="ER416" s="1"/>
      <c r="ES416" s="1"/>
      <c r="ET416" s="1"/>
      <c r="EU416" s="1"/>
      <c r="EV416" s="1"/>
      <c r="EW416" s="1"/>
      <c r="EX416" s="1"/>
      <c r="EY416" s="1"/>
      <c r="EZ416" s="1"/>
      <c r="FA416" s="1"/>
      <c r="FB416" s="1"/>
      <c r="FC416" s="1"/>
      <c r="FD416" s="1"/>
      <c r="FE416" s="1"/>
      <c r="FF416" s="1"/>
      <c r="FG416" s="1"/>
      <c r="FH416" s="1"/>
      <c r="FI416" s="1"/>
      <c r="FJ416" s="1"/>
      <c r="FK416" s="1"/>
      <c r="FL416" s="1"/>
      <c r="FM416" s="1"/>
      <c r="FN416" s="1"/>
      <c r="FO416" s="1"/>
      <c r="FP416" s="1"/>
      <c r="FQ416" s="1"/>
      <c r="FR416" s="2"/>
      <c r="FS416" s="1"/>
    </row>
    <row r="417" spans="1:175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R417" s="1"/>
      <c r="S417" s="1"/>
      <c r="T417" s="1"/>
      <c r="U417" s="1"/>
      <c r="V417" s="1"/>
      <c r="Y417" s="1"/>
      <c r="Z417" s="2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U417" s="1"/>
      <c r="AW417" s="1"/>
      <c r="AX417" s="1"/>
      <c r="AY417" s="1"/>
      <c r="AZ417" s="1"/>
      <c r="BA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  <c r="DY417" s="1"/>
      <c r="DZ417" s="1"/>
      <c r="EA417" s="1"/>
      <c r="EB417" s="1"/>
      <c r="EC417" s="1"/>
      <c r="ED417" s="1"/>
      <c r="EE417" s="1"/>
      <c r="EF417" s="1"/>
      <c r="EG417" s="1"/>
      <c r="EH417" s="1"/>
      <c r="EI417" s="1"/>
      <c r="EJ417" s="1"/>
      <c r="EK417" s="1"/>
      <c r="EL417" s="1"/>
      <c r="EM417" s="1"/>
      <c r="EN417" s="1"/>
      <c r="EO417" s="1"/>
      <c r="EP417" s="1"/>
      <c r="EQ417" s="1"/>
      <c r="ER417" s="1"/>
      <c r="ES417" s="1"/>
      <c r="ET417" s="1"/>
      <c r="EU417" s="1"/>
      <c r="EV417" s="1"/>
      <c r="EW417" s="1"/>
      <c r="EX417" s="1"/>
      <c r="EY417" s="1"/>
      <c r="EZ417" s="1"/>
      <c r="FA417" s="1"/>
      <c r="FB417" s="1"/>
      <c r="FC417" s="1"/>
      <c r="FD417" s="1"/>
      <c r="FE417" s="1"/>
      <c r="FF417" s="1"/>
      <c r="FG417" s="1"/>
      <c r="FH417" s="1"/>
      <c r="FI417" s="1"/>
      <c r="FJ417" s="1"/>
      <c r="FK417" s="1"/>
      <c r="FL417" s="1"/>
      <c r="FM417" s="1"/>
      <c r="FN417" s="1"/>
      <c r="FO417" s="1"/>
      <c r="FP417" s="1"/>
      <c r="FQ417" s="1"/>
      <c r="FR417" s="2"/>
      <c r="FS417" s="1"/>
    </row>
    <row r="418" spans="1:175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R418" s="1"/>
      <c r="S418" s="1"/>
      <c r="T418" s="1"/>
      <c r="U418" s="1"/>
      <c r="V418" s="1"/>
      <c r="Y418" s="1"/>
      <c r="Z418" s="2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U418" s="1"/>
      <c r="AW418" s="1"/>
      <c r="AX418" s="1"/>
      <c r="AY418" s="1"/>
      <c r="AZ418" s="1"/>
      <c r="BA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H418" s="1"/>
      <c r="EI418" s="1"/>
      <c r="EJ418" s="1"/>
      <c r="EK418" s="1"/>
      <c r="EL418" s="1"/>
      <c r="EM418" s="1"/>
      <c r="EN418" s="1"/>
      <c r="EO418" s="1"/>
      <c r="EP418" s="1"/>
      <c r="EQ418" s="1"/>
      <c r="ER418" s="1"/>
      <c r="ES418" s="1"/>
      <c r="ET418" s="1"/>
      <c r="EU418" s="1"/>
      <c r="EV418" s="1"/>
      <c r="EW418" s="1"/>
      <c r="EX418" s="1"/>
      <c r="EY418" s="1"/>
      <c r="EZ418" s="1"/>
      <c r="FA418" s="1"/>
      <c r="FB418" s="1"/>
      <c r="FC418" s="1"/>
      <c r="FD418" s="1"/>
      <c r="FE418" s="1"/>
      <c r="FF418" s="1"/>
      <c r="FG418" s="1"/>
      <c r="FH418" s="1"/>
      <c r="FI418" s="1"/>
      <c r="FJ418" s="1"/>
      <c r="FK418" s="1"/>
      <c r="FL418" s="1"/>
      <c r="FM418" s="1"/>
      <c r="FN418" s="1"/>
      <c r="FO418" s="1"/>
      <c r="FP418" s="1"/>
      <c r="FQ418" s="1"/>
      <c r="FR418" s="2"/>
      <c r="FS418" s="1"/>
    </row>
    <row r="419" spans="1:175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R419" s="1"/>
      <c r="S419" s="1"/>
      <c r="T419" s="1"/>
      <c r="U419" s="1"/>
      <c r="V419" s="1"/>
      <c r="Y419" s="1"/>
      <c r="Z419" s="2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U419" s="1"/>
      <c r="AW419" s="1"/>
      <c r="AX419" s="1"/>
      <c r="AY419" s="1"/>
      <c r="AZ419" s="1"/>
      <c r="BA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  <c r="DY419" s="1"/>
      <c r="DZ419" s="1"/>
      <c r="EA419" s="1"/>
      <c r="EB419" s="1"/>
      <c r="EC419" s="1"/>
      <c r="ED419" s="1"/>
      <c r="EE419" s="1"/>
      <c r="EF419" s="1"/>
      <c r="EG419" s="1"/>
      <c r="EH419" s="1"/>
      <c r="EI419" s="1"/>
      <c r="EJ419" s="1"/>
      <c r="EK419" s="1"/>
      <c r="EL419" s="1"/>
      <c r="EM419" s="1"/>
      <c r="EN419" s="1"/>
      <c r="EO419" s="1"/>
      <c r="EP419" s="1"/>
      <c r="EQ419" s="1"/>
      <c r="ER419" s="1"/>
      <c r="ES419" s="1"/>
      <c r="ET419" s="1"/>
      <c r="EU419" s="1"/>
      <c r="EV419" s="1"/>
      <c r="EW419" s="1"/>
      <c r="EX419" s="1"/>
      <c r="EY419" s="1"/>
      <c r="EZ419" s="1"/>
      <c r="FA419" s="1"/>
      <c r="FB419" s="1"/>
      <c r="FC419" s="1"/>
      <c r="FD419" s="1"/>
      <c r="FE419" s="1"/>
      <c r="FF419" s="1"/>
      <c r="FG419" s="1"/>
      <c r="FH419" s="1"/>
      <c r="FI419" s="1"/>
      <c r="FJ419" s="1"/>
      <c r="FK419" s="1"/>
      <c r="FL419" s="1"/>
      <c r="FM419" s="1"/>
      <c r="FN419" s="1"/>
      <c r="FO419" s="1"/>
      <c r="FP419" s="1"/>
      <c r="FQ419" s="1"/>
      <c r="FR419" s="2"/>
      <c r="FS419" s="1"/>
    </row>
    <row r="420" spans="1:175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R420" s="1"/>
      <c r="S420" s="1"/>
      <c r="T420" s="1"/>
      <c r="U420" s="1"/>
      <c r="V420" s="1"/>
      <c r="Y420" s="1"/>
      <c r="Z420" s="2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U420" s="1"/>
      <c r="AW420" s="1"/>
      <c r="AX420" s="1"/>
      <c r="AY420" s="1"/>
      <c r="AZ420" s="1"/>
      <c r="BA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H420" s="1"/>
      <c r="EI420" s="1"/>
      <c r="EJ420" s="1"/>
      <c r="EK420" s="1"/>
      <c r="EL420" s="1"/>
      <c r="EM420" s="1"/>
      <c r="EN420" s="1"/>
      <c r="EO420" s="1"/>
      <c r="EP420" s="1"/>
      <c r="EQ420" s="1"/>
      <c r="ER420" s="1"/>
      <c r="ES420" s="1"/>
      <c r="ET420" s="1"/>
      <c r="EU420" s="1"/>
      <c r="EV420" s="1"/>
      <c r="EW420" s="1"/>
      <c r="EX420" s="1"/>
      <c r="EY420" s="1"/>
      <c r="EZ420" s="1"/>
      <c r="FA420" s="1"/>
      <c r="FB420" s="1"/>
      <c r="FC420" s="1"/>
      <c r="FD420" s="1"/>
      <c r="FE420" s="1"/>
      <c r="FF420" s="1"/>
      <c r="FG420" s="1"/>
      <c r="FH420" s="1"/>
      <c r="FI420" s="1"/>
      <c r="FJ420" s="1"/>
      <c r="FK420" s="1"/>
      <c r="FL420" s="1"/>
      <c r="FM420" s="1"/>
      <c r="FN420" s="1"/>
      <c r="FO420" s="1"/>
      <c r="FP420" s="1"/>
      <c r="FQ420" s="1"/>
      <c r="FR420" s="2"/>
      <c r="FS420" s="1"/>
    </row>
    <row r="421" spans="1:175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R421" s="1"/>
      <c r="S421" s="1"/>
      <c r="T421" s="1"/>
      <c r="U421" s="1"/>
      <c r="V421" s="1"/>
      <c r="Y421" s="1"/>
      <c r="Z421" s="2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U421" s="1"/>
      <c r="AW421" s="1"/>
      <c r="AX421" s="1"/>
      <c r="AY421" s="1"/>
      <c r="AZ421" s="1"/>
      <c r="BA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DW421" s="1"/>
      <c r="DX421" s="1"/>
      <c r="DY421" s="1"/>
      <c r="DZ421" s="1"/>
      <c r="EA421" s="1"/>
      <c r="EB421" s="1"/>
      <c r="EC421" s="1"/>
      <c r="ED421" s="1"/>
      <c r="EE421" s="1"/>
      <c r="EF421" s="1"/>
      <c r="EG421" s="1"/>
      <c r="EH421" s="1"/>
      <c r="EI421" s="1"/>
      <c r="EJ421" s="1"/>
      <c r="EK421" s="1"/>
      <c r="EL421" s="1"/>
      <c r="EM421" s="1"/>
      <c r="EN421" s="1"/>
      <c r="EO421" s="1"/>
      <c r="EP421" s="1"/>
      <c r="EQ421" s="1"/>
      <c r="ER421" s="1"/>
      <c r="ES421" s="1"/>
      <c r="ET421" s="1"/>
      <c r="EU421" s="1"/>
      <c r="EV421" s="1"/>
      <c r="EW421" s="1"/>
      <c r="EX421" s="1"/>
      <c r="EY421" s="1"/>
      <c r="EZ421" s="1"/>
      <c r="FA421" s="1"/>
      <c r="FB421" s="1"/>
      <c r="FC421" s="1"/>
      <c r="FD421" s="1"/>
      <c r="FE421" s="1"/>
      <c r="FF421" s="1"/>
      <c r="FG421" s="1"/>
      <c r="FH421" s="1"/>
      <c r="FI421" s="1"/>
      <c r="FJ421" s="1"/>
      <c r="FK421" s="1"/>
      <c r="FL421" s="1"/>
      <c r="FM421" s="1"/>
      <c r="FN421" s="1"/>
      <c r="FO421" s="1"/>
      <c r="FP421" s="1"/>
      <c r="FQ421" s="1"/>
      <c r="FR421" s="2"/>
      <c r="FS421" s="1"/>
    </row>
    <row r="422" spans="1:175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R422" s="1"/>
      <c r="S422" s="1"/>
      <c r="T422" s="1"/>
      <c r="U422" s="1"/>
      <c r="V422" s="1"/>
      <c r="Y422" s="1"/>
      <c r="Z422" s="2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U422" s="1"/>
      <c r="AW422" s="1"/>
      <c r="AX422" s="1"/>
      <c r="AY422" s="1"/>
      <c r="AZ422" s="1"/>
      <c r="BA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H422" s="1"/>
      <c r="EI422" s="1"/>
      <c r="EJ422" s="1"/>
      <c r="EK422" s="1"/>
      <c r="EL422" s="1"/>
      <c r="EM422" s="1"/>
      <c r="EN422" s="1"/>
      <c r="EO422" s="1"/>
      <c r="EP422" s="1"/>
      <c r="EQ422" s="1"/>
      <c r="ER422" s="1"/>
      <c r="ES422" s="1"/>
      <c r="ET422" s="1"/>
      <c r="EU422" s="1"/>
      <c r="EV422" s="1"/>
      <c r="EW422" s="1"/>
      <c r="EX422" s="1"/>
      <c r="EY422" s="1"/>
      <c r="EZ422" s="1"/>
      <c r="FA422" s="1"/>
      <c r="FB422" s="1"/>
      <c r="FC422" s="1"/>
      <c r="FD422" s="1"/>
      <c r="FE422" s="1"/>
      <c r="FF422" s="1"/>
      <c r="FG422" s="1"/>
      <c r="FH422" s="1"/>
      <c r="FI422" s="1"/>
      <c r="FJ422" s="1"/>
      <c r="FK422" s="1"/>
      <c r="FL422" s="1"/>
      <c r="FM422" s="1"/>
      <c r="FN422" s="1"/>
      <c r="FO422" s="1"/>
      <c r="FP422" s="1"/>
      <c r="FQ422" s="1"/>
      <c r="FR422" s="2"/>
      <c r="FS422" s="1"/>
    </row>
    <row r="423" spans="1:175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R423" s="1"/>
      <c r="S423" s="1"/>
      <c r="T423" s="1"/>
      <c r="U423" s="1"/>
      <c r="V423" s="1"/>
      <c r="Y423" s="1"/>
      <c r="Z423" s="2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U423" s="1"/>
      <c r="AW423" s="1"/>
      <c r="AX423" s="1"/>
      <c r="AY423" s="1"/>
      <c r="AZ423" s="1"/>
      <c r="BA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  <c r="DW423" s="1"/>
      <c r="DX423" s="1"/>
      <c r="DY423" s="1"/>
      <c r="DZ423" s="1"/>
      <c r="EA423" s="1"/>
      <c r="EB423" s="1"/>
      <c r="EC423" s="1"/>
      <c r="ED423" s="1"/>
      <c r="EE423" s="1"/>
      <c r="EF423" s="1"/>
      <c r="EG423" s="1"/>
      <c r="EH423" s="1"/>
      <c r="EI423" s="1"/>
      <c r="EJ423" s="1"/>
      <c r="EK423" s="1"/>
      <c r="EL423" s="1"/>
      <c r="EM423" s="1"/>
      <c r="EN423" s="1"/>
      <c r="EO423" s="1"/>
      <c r="EP423" s="1"/>
      <c r="EQ423" s="1"/>
      <c r="ER423" s="1"/>
      <c r="ES423" s="1"/>
      <c r="ET423" s="1"/>
      <c r="EU423" s="1"/>
      <c r="EV423" s="1"/>
      <c r="EW423" s="1"/>
      <c r="EX423" s="1"/>
      <c r="EY423" s="1"/>
      <c r="EZ423" s="1"/>
      <c r="FA423" s="1"/>
      <c r="FB423" s="1"/>
      <c r="FC423" s="1"/>
      <c r="FD423" s="1"/>
      <c r="FE423" s="1"/>
      <c r="FF423" s="1"/>
      <c r="FG423" s="1"/>
      <c r="FH423" s="1"/>
      <c r="FI423" s="1"/>
      <c r="FJ423" s="1"/>
      <c r="FK423" s="1"/>
      <c r="FL423" s="1"/>
      <c r="FM423" s="1"/>
      <c r="FN423" s="1"/>
      <c r="FO423" s="1"/>
      <c r="FP423" s="1"/>
      <c r="FQ423" s="1"/>
      <c r="FR423" s="2"/>
      <c r="FS423" s="1"/>
    </row>
    <row r="424" spans="1:175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R424" s="1"/>
      <c r="S424" s="1"/>
      <c r="T424" s="1"/>
      <c r="U424" s="1"/>
      <c r="V424" s="1"/>
      <c r="Y424" s="1"/>
      <c r="Z424" s="2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U424" s="1"/>
      <c r="AW424" s="1"/>
      <c r="AX424" s="1"/>
      <c r="AY424" s="1"/>
      <c r="AZ424" s="1"/>
      <c r="BA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H424" s="1"/>
      <c r="EI424" s="1"/>
      <c r="EJ424" s="1"/>
      <c r="EK424" s="1"/>
      <c r="EL424" s="1"/>
      <c r="EM424" s="1"/>
      <c r="EN424" s="1"/>
      <c r="EO424" s="1"/>
      <c r="EP424" s="1"/>
      <c r="EQ424" s="1"/>
      <c r="ER424" s="1"/>
      <c r="ES424" s="1"/>
      <c r="ET424" s="1"/>
      <c r="EU424" s="1"/>
      <c r="EV424" s="1"/>
      <c r="EW424" s="1"/>
      <c r="EX424" s="1"/>
      <c r="EY424" s="1"/>
      <c r="EZ424" s="1"/>
      <c r="FA424" s="1"/>
      <c r="FB424" s="1"/>
      <c r="FC424" s="1"/>
      <c r="FD424" s="1"/>
      <c r="FE424" s="1"/>
      <c r="FF424" s="1"/>
      <c r="FG424" s="1"/>
      <c r="FH424" s="1"/>
      <c r="FI424" s="1"/>
      <c r="FJ424" s="1"/>
      <c r="FK424" s="1"/>
      <c r="FL424" s="1"/>
      <c r="FM424" s="1"/>
      <c r="FN424" s="1"/>
      <c r="FO424" s="1"/>
      <c r="FP424" s="1"/>
      <c r="FQ424" s="1"/>
      <c r="FR424" s="2"/>
      <c r="FS424" s="1"/>
    </row>
    <row r="425" spans="1:175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R425" s="1"/>
      <c r="S425" s="1"/>
      <c r="T425" s="1"/>
      <c r="U425" s="1"/>
      <c r="V425" s="1"/>
      <c r="Y425" s="1"/>
      <c r="Z425" s="2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U425" s="1"/>
      <c r="AW425" s="1"/>
      <c r="AX425" s="1"/>
      <c r="AY425" s="1"/>
      <c r="AZ425" s="1"/>
      <c r="BA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  <c r="DW425" s="1"/>
      <c r="DX425" s="1"/>
      <c r="DY425" s="1"/>
      <c r="DZ425" s="1"/>
      <c r="EA425" s="1"/>
      <c r="EB425" s="1"/>
      <c r="EC425" s="1"/>
      <c r="ED425" s="1"/>
      <c r="EE425" s="1"/>
      <c r="EF425" s="1"/>
      <c r="EG425" s="1"/>
      <c r="EH425" s="1"/>
      <c r="EI425" s="1"/>
      <c r="EJ425" s="1"/>
      <c r="EK425" s="1"/>
      <c r="EL425" s="1"/>
      <c r="EM425" s="1"/>
      <c r="EN425" s="1"/>
      <c r="EO425" s="1"/>
      <c r="EP425" s="1"/>
      <c r="EQ425" s="1"/>
      <c r="ER425" s="1"/>
      <c r="ES425" s="1"/>
      <c r="ET425" s="1"/>
      <c r="EU425" s="1"/>
      <c r="EV425" s="1"/>
      <c r="EW425" s="1"/>
      <c r="EX425" s="1"/>
      <c r="EY425" s="1"/>
      <c r="EZ425" s="1"/>
      <c r="FA425" s="1"/>
      <c r="FB425" s="1"/>
      <c r="FC425" s="1"/>
      <c r="FD425" s="1"/>
      <c r="FE425" s="1"/>
      <c r="FF425" s="1"/>
      <c r="FG425" s="1"/>
      <c r="FH425" s="1"/>
      <c r="FI425" s="1"/>
      <c r="FJ425" s="1"/>
      <c r="FK425" s="1"/>
      <c r="FL425" s="1"/>
      <c r="FM425" s="1"/>
      <c r="FN425" s="1"/>
      <c r="FO425" s="1"/>
      <c r="FP425" s="1"/>
      <c r="FQ425" s="1"/>
      <c r="FR425" s="2"/>
      <c r="FS425" s="1"/>
    </row>
    <row r="426" spans="1:175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R426" s="1"/>
      <c r="S426" s="1"/>
      <c r="T426" s="1"/>
      <c r="U426" s="1"/>
      <c r="V426" s="1"/>
      <c r="Y426" s="1"/>
      <c r="Z426" s="2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U426" s="1"/>
      <c r="AW426" s="1"/>
      <c r="AX426" s="1"/>
      <c r="AY426" s="1"/>
      <c r="AZ426" s="1"/>
      <c r="BA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H426" s="1"/>
      <c r="EI426" s="1"/>
      <c r="EJ426" s="1"/>
      <c r="EK426" s="1"/>
      <c r="EL426" s="1"/>
      <c r="EM426" s="1"/>
      <c r="EN426" s="1"/>
      <c r="EO426" s="1"/>
      <c r="EP426" s="1"/>
      <c r="EQ426" s="1"/>
      <c r="ER426" s="1"/>
      <c r="ES426" s="1"/>
      <c r="ET426" s="1"/>
      <c r="EU426" s="1"/>
      <c r="EV426" s="1"/>
      <c r="EW426" s="1"/>
      <c r="EX426" s="1"/>
      <c r="EY426" s="1"/>
      <c r="EZ426" s="1"/>
      <c r="FA426" s="1"/>
      <c r="FB426" s="1"/>
      <c r="FC426" s="1"/>
      <c r="FD426" s="1"/>
      <c r="FE426" s="1"/>
      <c r="FF426" s="1"/>
      <c r="FG426" s="1"/>
      <c r="FH426" s="1"/>
      <c r="FI426" s="1"/>
      <c r="FJ426" s="1"/>
      <c r="FK426" s="1"/>
      <c r="FL426" s="1"/>
      <c r="FM426" s="1"/>
      <c r="FN426" s="1"/>
      <c r="FO426" s="1"/>
      <c r="FP426" s="1"/>
      <c r="FQ426" s="1"/>
      <c r="FR426" s="2"/>
      <c r="FS426" s="1"/>
    </row>
    <row r="427" spans="1:175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R427" s="1"/>
      <c r="S427" s="1"/>
      <c r="T427" s="1"/>
      <c r="U427" s="1"/>
      <c r="V427" s="1"/>
      <c r="Y427" s="1"/>
      <c r="Z427" s="2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U427" s="1"/>
      <c r="AW427" s="1"/>
      <c r="AX427" s="1"/>
      <c r="AY427" s="1"/>
      <c r="AZ427" s="1"/>
      <c r="BA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  <c r="DV427" s="1"/>
      <c r="DW427" s="1"/>
      <c r="DX427" s="1"/>
      <c r="DY427" s="1"/>
      <c r="DZ427" s="1"/>
      <c r="EA427" s="1"/>
      <c r="EB427" s="1"/>
      <c r="EC427" s="1"/>
      <c r="ED427" s="1"/>
      <c r="EE427" s="1"/>
      <c r="EF427" s="1"/>
      <c r="EG427" s="1"/>
      <c r="EH427" s="1"/>
      <c r="EI427" s="1"/>
      <c r="EJ427" s="1"/>
      <c r="EK427" s="1"/>
      <c r="EL427" s="1"/>
      <c r="EM427" s="1"/>
      <c r="EN427" s="1"/>
      <c r="EO427" s="1"/>
      <c r="EP427" s="1"/>
      <c r="EQ427" s="1"/>
      <c r="ER427" s="1"/>
      <c r="ES427" s="1"/>
      <c r="ET427" s="1"/>
      <c r="EU427" s="1"/>
      <c r="EV427" s="1"/>
      <c r="EW427" s="1"/>
      <c r="EX427" s="1"/>
      <c r="EY427" s="1"/>
      <c r="EZ427" s="1"/>
      <c r="FA427" s="1"/>
      <c r="FB427" s="1"/>
      <c r="FC427" s="1"/>
      <c r="FD427" s="1"/>
      <c r="FE427" s="1"/>
      <c r="FF427" s="1"/>
      <c r="FG427" s="1"/>
      <c r="FH427" s="1"/>
      <c r="FI427" s="1"/>
      <c r="FJ427" s="1"/>
      <c r="FK427" s="1"/>
      <c r="FL427" s="1"/>
      <c r="FM427" s="1"/>
      <c r="FN427" s="1"/>
      <c r="FO427" s="1"/>
      <c r="FP427" s="1"/>
      <c r="FQ427" s="1"/>
      <c r="FR427" s="2"/>
      <c r="FS427" s="1"/>
    </row>
    <row r="428" spans="1:175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R428" s="1"/>
      <c r="S428" s="1"/>
      <c r="T428" s="1"/>
      <c r="U428" s="1"/>
      <c r="V428" s="1"/>
      <c r="Y428" s="1"/>
      <c r="Z428" s="2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U428" s="1"/>
      <c r="AW428" s="1"/>
      <c r="AX428" s="1"/>
      <c r="AY428" s="1"/>
      <c r="AZ428" s="1"/>
      <c r="BA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H428" s="1"/>
      <c r="EI428" s="1"/>
      <c r="EJ428" s="1"/>
      <c r="EK428" s="1"/>
      <c r="EL428" s="1"/>
      <c r="EM428" s="1"/>
      <c r="EN428" s="1"/>
      <c r="EO428" s="1"/>
      <c r="EP428" s="1"/>
      <c r="EQ428" s="1"/>
      <c r="ER428" s="1"/>
      <c r="ES428" s="1"/>
      <c r="ET428" s="1"/>
      <c r="EU428" s="1"/>
      <c r="EV428" s="1"/>
      <c r="EW428" s="1"/>
      <c r="EX428" s="1"/>
      <c r="EY428" s="1"/>
      <c r="EZ428" s="1"/>
      <c r="FA428" s="1"/>
      <c r="FB428" s="1"/>
      <c r="FC428" s="1"/>
      <c r="FD428" s="1"/>
      <c r="FE428" s="1"/>
      <c r="FF428" s="1"/>
      <c r="FG428" s="1"/>
      <c r="FH428" s="1"/>
      <c r="FI428" s="1"/>
      <c r="FJ428" s="1"/>
      <c r="FK428" s="1"/>
      <c r="FL428" s="1"/>
      <c r="FM428" s="1"/>
      <c r="FN428" s="1"/>
      <c r="FO428" s="1"/>
      <c r="FP428" s="1"/>
      <c r="FQ428" s="1"/>
      <c r="FR428" s="2"/>
      <c r="FS428" s="1"/>
    </row>
    <row r="429" spans="1:175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R429" s="1"/>
      <c r="S429" s="1"/>
      <c r="T429" s="1"/>
      <c r="U429" s="1"/>
      <c r="V429" s="1"/>
      <c r="Y429" s="1"/>
      <c r="Z429" s="2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U429" s="1"/>
      <c r="AW429" s="1"/>
      <c r="AX429" s="1"/>
      <c r="AY429" s="1"/>
      <c r="AZ429" s="1"/>
      <c r="BA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  <c r="DW429" s="1"/>
      <c r="DX429" s="1"/>
      <c r="DY429" s="1"/>
      <c r="DZ429" s="1"/>
      <c r="EA429" s="1"/>
      <c r="EB429" s="1"/>
      <c r="EC429" s="1"/>
      <c r="ED429" s="1"/>
      <c r="EE429" s="1"/>
      <c r="EF429" s="1"/>
      <c r="EG429" s="1"/>
      <c r="EH429" s="1"/>
      <c r="EI429" s="1"/>
      <c r="EJ429" s="1"/>
      <c r="EK429" s="1"/>
      <c r="EL429" s="1"/>
      <c r="EM429" s="1"/>
      <c r="EN429" s="1"/>
      <c r="EO429" s="1"/>
      <c r="EP429" s="1"/>
      <c r="EQ429" s="1"/>
      <c r="ER429" s="1"/>
      <c r="ES429" s="1"/>
      <c r="ET429" s="1"/>
      <c r="EU429" s="1"/>
      <c r="EV429" s="1"/>
      <c r="EW429" s="1"/>
      <c r="EX429" s="1"/>
      <c r="EY429" s="1"/>
      <c r="EZ429" s="1"/>
      <c r="FA429" s="1"/>
      <c r="FB429" s="1"/>
      <c r="FC429" s="1"/>
      <c r="FD429" s="1"/>
      <c r="FE429" s="1"/>
      <c r="FF429" s="1"/>
      <c r="FG429" s="1"/>
      <c r="FH429" s="1"/>
      <c r="FI429" s="1"/>
      <c r="FJ429" s="1"/>
      <c r="FK429" s="1"/>
      <c r="FL429" s="1"/>
      <c r="FM429" s="1"/>
      <c r="FN429" s="1"/>
      <c r="FO429" s="1"/>
      <c r="FP429" s="1"/>
      <c r="FQ429" s="1"/>
      <c r="FR429" s="2"/>
      <c r="FS429" s="1"/>
    </row>
    <row r="430" spans="1:175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R430" s="1"/>
      <c r="S430" s="1"/>
      <c r="T430" s="1"/>
      <c r="U430" s="1"/>
      <c r="V430" s="1"/>
      <c r="Y430" s="1"/>
      <c r="Z430" s="2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U430" s="1"/>
      <c r="AW430" s="1"/>
      <c r="AX430" s="1"/>
      <c r="AY430" s="1"/>
      <c r="AZ430" s="1"/>
      <c r="BA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H430" s="1"/>
      <c r="EI430" s="1"/>
      <c r="EJ430" s="1"/>
      <c r="EK430" s="1"/>
      <c r="EL430" s="1"/>
      <c r="EM430" s="1"/>
      <c r="EN430" s="1"/>
      <c r="EO430" s="1"/>
      <c r="EP430" s="1"/>
      <c r="EQ430" s="1"/>
      <c r="ER430" s="1"/>
      <c r="ES430" s="1"/>
      <c r="ET430" s="1"/>
      <c r="EU430" s="1"/>
      <c r="EV430" s="1"/>
      <c r="EW430" s="1"/>
      <c r="EX430" s="1"/>
      <c r="EY430" s="1"/>
      <c r="EZ430" s="1"/>
      <c r="FA430" s="1"/>
      <c r="FB430" s="1"/>
      <c r="FC430" s="1"/>
      <c r="FD430" s="1"/>
      <c r="FE430" s="1"/>
      <c r="FF430" s="1"/>
      <c r="FG430" s="1"/>
      <c r="FH430" s="1"/>
      <c r="FI430" s="1"/>
      <c r="FJ430" s="1"/>
      <c r="FK430" s="1"/>
      <c r="FL430" s="1"/>
      <c r="FM430" s="1"/>
      <c r="FN430" s="1"/>
      <c r="FO430" s="1"/>
      <c r="FP430" s="1"/>
      <c r="FQ430" s="1"/>
      <c r="FR430" s="2"/>
      <c r="FS430" s="1"/>
    </row>
    <row r="431" spans="1:175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R431" s="1"/>
      <c r="S431" s="1"/>
      <c r="T431" s="1"/>
      <c r="U431" s="1"/>
      <c r="V431" s="1"/>
      <c r="Y431" s="1"/>
      <c r="Z431" s="2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U431" s="1"/>
      <c r="AW431" s="1"/>
      <c r="AX431" s="1"/>
      <c r="AY431" s="1"/>
      <c r="AZ431" s="1"/>
      <c r="BA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  <c r="DV431" s="1"/>
      <c r="DW431" s="1"/>
      <c r="DX431" s="1"/>
      <c r="DY431" s="1"/>
      <c r="DZ431" s="1"/>
      <c r="EA431" s="1"/>
      <c r="EB431" s="1"/>
      <c r="EC431" s="1"/>
      <c r="ED431" s="1"/>
      <c r="EE431" s="1"/>
      <c r="EF431" s="1"/>
      <c r="EG431" s="1"/>
      <c r="EH431" s="1"/>
      <c r="EI431" s="1"/>
      <c r="EJ431" s="1"/>
      <c r="EK431" s="1"/>
      <c r="EL431" s="1"/>
      <c r="EM431" s="1"/>
      <c r="EN431" s="1"/>
      <c r="EO431" s="1"/>
      <c r="EP431" s="1"/>
      <c r="EQ431" s="1"/>
      <c r="ER431" s="1"/>
      <c r="ES431" s="1"/>
      <c r="ET431" s="1"/>
      <c r="EU431" s="1"/>
      <c r="EV431" s="1"/>
      <c r="EW431" s="1"/>
      <c r="EX431" s="1"/>
      <c r="EY431" s="1"/>
      <c r="EZ431" s="1"/>
      <c r="FA431" s="1"/>
      <c r="FB431" s="1"/>
      <c r="FC431" s="1"/>
      <c r="FD431" s="1"/>
      <c r="FE431" s="1"/>
      <c r="FF431" s="1"/>
      <c r="FG431" s="1"/>
      <c r="FH431" s="1"/>
      <c r="FI431" s="1"/>
      <c r="FJ431" s="1"/>
      <c r="FK431" s="1"/>
      <c r="FL431" s="1"/>
      <c r="FM431" s="1"/>
      <c r="FN431" s="1"/>
      <c r="FO431" s="1"/>
      <c r="FP431" s="1"/>
      <c r="FQ431" s="1"/>
      <c r="FR431" s="2"/>
      <c r="FS431" s="1"/>
    </row>
    <row r="432" spans="1:175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R432" s="1"/>
      <c r="S432" s="1"/>
      <c r="T432" s="1"/>
      <c r="U432" s="1"/>
      <c r="V432" s="1"/>
      <c r="Y432" s="1"/>
      <c r="Z432" s="2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U432" s="1"/>
      <c r="AW432" s="1"/>
      <c r="AX432" s="1"/>
      <c r="AY432" s="1"/>
      <c r="AZ432" s="1"/>
      <c r="BA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H432" s="1"/>
      <c r="EI432" s="1"/>
      <c r="EJ432" s="1"/>
      <c r="EK432" s="1"/>
      <c r="EL432" s="1"/>
      <c r="EM432" s="1"/>
      <c r="EN432" s="1"/>
      <c r="EO432" s="1"/>
      <c r="EP432" s="1"/>
      <c r="EQ432" s="1"/>
      <c r="ER432" s="1"/>
      <c r="ES432" s="1"/>
      <c r="ET432" s="1"/>
      <c r="EU432" s="1"/>
      <c r="EV432" s="1"/>
      <c r="EW432" s="1"/>
      <c r="EX432" s="1"/>
      <c r="EY432" s="1"/>
      <c r="EZ432" s="1"/>
      <c r="FA432" s="1"/>
      <c r="FB432" s="1"/>
      <c r="FC432" s="1"/>
      <c r="FD432" s="1"/>
      <c r="FE432" s="1"/>
      <c r="FF432" s="1"/>
      <c r="FG432" s="1"/>
      <c r="FH432" s="1"/>
      <c r="FI432" s="1"/>
      <c r="FJ432" s="1"/>
      <c r="FK432" s="1"/>
      <c r="FL432" s="1"/>
      <c r="FM432" s="1"/>
      <c r="FN432" s="1"/>
      <c r="FO432" s="1"/>
      <c r="FP432" s="1"/>
      <c r="FQ432" s="1"/>
      <c r="FR432" s="2"/>
      <c r="FS432" s="1"/>
    </row>
    <row r="433" spans="1:175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R433" s="1"/>
      <c r="S433" s="1"/>
      <c r="T433" s="1"/>
      <c r="U433" s="1"/>
      <c r="V433" s="1"/>
      <c r="Y433" s="1"/>
      <c r="Z433" s="2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U433" s="1"/>
      <c r="AW433" s="1"/>
      <c r="AX433" s="1"/>
      <c r="AY433" s="1"/>
      <c r="AZ433" s="1"/>
      <c r="BA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  <c r="DT433" s="1"/>
      <c r="DU433" s="1"/>
      <c r="DV433" s="1"/>
      <c r="DW433" s="1"/>
      <c r="DX433" s="1"/>
      <c r="DY433" s="1"/>
      <c r="DZ433" s="1"/>
      <c r="EA433" s="1"/>
      <c r="EB433" s="1"/>
      <c r="EC433" s="1"/>
      <c r="ED433" s="1"/>
      <c r="EE433" s="1"/>
      <c r="EF433" s="1"/>
      <c r="EG433" s="1"/>
      <c r="EH433" s="1"/>
      <c r="EI433" s="1"/>
      <c r="EJ433" s="1"/>
      <c r="EK433" s="1"/>
      <c r="EL433" s="1"/>
      <c r="EM433" s="1"/>
      <c r="EN433" s="1"/>
      <c r="EO433" s="1"/>
      <c r="EP433" s="1"/>
      <c r="EQ433" s="1"/>
      <c r="ER433" s="1"/>
      <c r="ES433" s="1"/>
      <c r="ET433" s="1"/>
      <c r="EU433" s="1"/>
      <c r="EV433" s="1"/>
      <c r="EW433" s="1"/>
      <c r="EX433" s="1"/>
      <c r="EY433" s="1"/>
      <c r="EZ433" s="1"/>
      <c r="FA433" s="1"/>
      <c r="FB433" s="1"/>
      <c r="FC433" s="1"/>
      <c r="FD433" s="1"/>
      <c r="FE433" s="1"/>
      <c r="FF433" s="1"/>
      <c r="FG433" s="1"/>
      <c r="FH433" s="1"/>
      <c r="FI433" s="1"/>
      <c r="FJ433" s="1"/>
      <c r="FK433" s="1"/>
      <c r="FL433" s="1"/>
      <c r="FM433" s="1"/>
      <c r="FN433" s="1"/>
      <c r="FO433" s="1"/>
      <c r="FP433" s="1"/>
      <c r="FQ433" s="1"/>
      <c r="FR433" s="2"/>
      <c r="FS433" s="1"/>
    </row>
    <row r="434" spans="1:175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R434" s="1"/>
      <c r="S434" s="1"/>
      <c r="T434" s="1"/>
      <c r="U434" s="1"/>
      <c r="V434" s="1"/>
      <c r="Y434" s="1"/>
      <c r="Z434" s="2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U434" s="1"/>
      <c r="AW434" s="1"/>
      <c r="AX434" s="1"/>
      <c r="AY434" s="1"/>
      <c r="AZ434" s="1"/>
      <c r="BA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H434" s="1"/>
      <c r="EI434" s="1"/>
      <c r="EJ434" s="1"/>
      <c r="EK434" s="1"/>
      <c r="EL434" s="1"/>
      <c r="EM434" s="1"/>
      <c r="EN434" s="1"/>
      <c r="EO434" s="1"/>
      <c r="EP434" s="1"/>
      <c r="EQ434" s="1"/>
      <c r="ER434" s="1"/>
      <c r="ES434" s="1"/>
      <c r="ET434" s="1"/>
      <c r="EU434" s="1"/>
      <c r="EV434" s="1"/>
      <c r="EW434" s="1"/>
      <c r="EX434" s="1"/>
      <c r="EY434" s="1"/>
      <c r="EZ434" s="1"/>
      <c r="FA434" s="1"/>
      <c r="FB434" s="1"/>
      <c r="FC434" s="1"/>
      <c r="FD434" s="1"/>
      <c r="FE434" s="1"/>
      <c r="FF434" s="1"/>
      <c r="FG434" s="1"/>
      <c r="FH434" s="1"/>
      <c r="FI434" s="1"/>
      <c r="FJ434" s="1"/>
      <c r="FK434" s="1"/>
      <c r="FL434" s="1"/>
      <c r="FM434" s="1"/>
      <c r="FN434" s="1"/>
      <c r="FO434" s="1"/>
      <c r="FP434" s="1"/>
      <c r="FQ434" s="1"/>
      <c r="FR434" s="2"/>
      <c r="FS434" s="1"/>
    </row>
    <row r="435" spans="1:175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R435" s="1"/>
      <c r="S435" s="1"/>
      <c r="T435" s="1"/>
      <c r="U435" s="1"/>
      <c r="V435" s="1"/>
      <c r="Y435" s="1"/>
      <c r="Z435" s="2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U435" s="1"/>
      <c r="AW435" s="1"/>
      <c r="AX435" s="1"/>
      <c r="AY435" s="1"/>
      <c r="AZ435" s="1"/>
      <c r="BA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R435" s="1"/>
      <c r="DS435" s="1"/>
      <c r="DT435" s="1"/>
      <c r="DU435" s="1"/>
      <c r="DV435" s="1"/>
      <c r="DW435" s="1"/>
      <c r="DX435" s="1"/>
      <c r="DY435" s="1"/>
      <c r="DZ435" s="1"/>
      <c r="EA435" s="1"/>
      <c r="EB435" s="1"/>
      <c r="EC435" s="1"/>
      <c r="ED435" s="1"/>
      <c r="EE435" s="1"/>
      <c r="EF435" s="1"/>
      <c r="EG435" s="1"/>
      <c r="EH435" s="1"/>
      <c r="EI435" s="1"/>
      <c r="EJ435" s="1"/>
      <c r="EK435" s="1"/>
      <c r="EL435" s="1"/>
      <c r="EM435" s="1"/>
      <c r="EN435" s="1"/>
      <c r="EO435" s="1"/>
      <c r="EP435" s="1"/>
      <c r="EQ435" s="1"/>
      <c r="ER435" s="1"/>
      <c r="ES435" s="1"/>
      <c r="ET435" s="1"/>
      <c r="EU435" s="1"/>
      <c r="EV435" s="1"/>
      <c r="EW435" s="1"/>
      <c r="EX435" s="1"/>
      <c r="EY435" s="1"/>
      <c r="EZ435" s="1"/>
      <c r="FA435" s="1"/>
      <c r="FB435" s="1"/>
      <c r="FC435" s="1"/>
      <c r="FD435" s="1"/>
      <c r="FE435" s="1"/>
      <c r="FF435" s="1"/>
      <c r="FG435" s="1"/>
      <c r="FH435" s="1"/>
      <c r="FI435" s="1"/>
      <c r="FJ435" s="1"/>
      <c r="FK435" s="1"/>
      <c r="FL435" s="1"/>
      <c r="FM435" s="1"/>
      <c r="FN435" s="1"/>
      <c r="FO435" s="1"/>
      <c r="FP435" s="1"/>
      <c r="FQ435" s="1"/>
      <c r="FR435" s="2"/>
      <c r="FS435" s="1"/>
    </row>
    <row r="436" spans="1:175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R436" s="1"/>
      <c r="S436" s="1"/>
      <c r="T436" s="1"/>
      <c r="U436" s="1"/>
      <c r="V436" s="1"/>
      <c r="Y436" s="1"/>
      <c r="Z436" s="2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U436" s="1"/>
      <c r="AW436" s="1"/>
      <c r="AX436" s="1"/>
      <c r="AY436" s="1"/>
      <c r="AZ436" s="1"/>
      <c r="BA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H436" s="1"/>
      <c r="EI436" s="1"/>
      <c r="EJ436" s="1"/>
      <c r="EK436" s="1"/>
      <c r="EL436" s="1"/>
      <c r="EM436" s="1"/>
      <c r="EN436" s="1"/>
      <c r="EO436" s="1"/>
      <c r="EP436" s="1"/>
      <c r="EQ436" s="1"/>
      <c r="ER436" s="1"/>
      <c r="ES436" s="1"/>
      <c r="ET436" s="1"/>
      <c r="EU436" s="1"/>
      <c r="EV436" s="1"/>
      <c r="EW436" s="1"/>
      <c r="EX436" s="1"/>
      <c r="EY436" s="1"/>
      <c r="EZ436" s="1"/>
      <c r="FA436" s="1"/>
      <c r="FB436" s="1"/>
      <c r="FC436" s="1"/>
      <c r="FD436" s="1"/>
      <c r="FE436" s="1"/>
      <c r="FF436" s="1"/>
      <c r="FG436" s="1"/>
      <c r="FH436" s="1"/>
      <c r="FI436" s="1"/>
      <c r="FJ436" s="1"/>
      <c r="FK436" s="1"/>
      <c r="FL436" s="1"/>
      <c r="FM436" s="1"/>
      <c r="FN436" s="1"/>
      <c r="FO436" s="1"/>
      <c r="FP436" s="1"/>
      <c r="FQ436" s="1"/>
      <c r="FR436" s="2"/>
      <c r="FS436" s="1"/>
    </row>
    <row r="437" spans="1:175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R437" s="1"/>
      <c r="S437" s="1"/>
      <c r="T437" s="1"/>
      <c r="U437" s="1"/>
      <c r="V437" s="1"/>
      <c r="Y437" s="1"/>
      <c r="Z437" s="2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U437" s="1"/>
      <c r="AW437" s="1"/>
      <c r="AX437" s="1"/>
      <c r="AY437" s="1"/>
      <c r="AZ437" s="1"/>
      <c r="BA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1"/>
      <c r="DR437" s="1"/>
      <c r="DS437" s="1"/>
      <c r="DT437" s="1"/>
      <c r="DU437" s="1"/>
      <c r="DV437" s="1"/>
      <c r="DW437" s="1"/>
      <c r="DX437" s="1"/>
      <c r="DY437" s="1"/>
      <c r="DZ437" s="1"/>
      <c r="EA437" s="1"/>
      <c r="EB437" s="1"/>
      <c r="EC437" s="1"/>
      <c r="ED437" s="1"/>
      <c r="EE437" s="1"/>
      <c r="EF437" s="1"/>
      <c r="EG437" s="1"/>
      <c r="EH437" s="1"/>
      <c r="EI437" s="1"/>
      <c r="EJ437" s="1"/>
      <c r="EK437" s="1"/>
      <c r="EL437" s="1"/>
      <c r="EM437" s="1"/>
      <c r="EN437" s="1"/>
      <c r="EO437" s="1"/>
      <c r="EP437" s="1"/>
      <c r="EQ437" s="1"/>
      <c r="ER437" s="1"/>
      <c r="ES437" s="1"/>
      <c r="ET437" s="1"/>
      <c r="EU437" s="1"/>
      <c r="EV437" s="1"/>
      <c r="EW437" s="1"/>
      <c r="EX437" s="1"/>
      <c r="EY437" s="1"/>
      <c r="EZ437" s="1"/>
      <c r="FA437" s="1"/>
      <c r="FB437" s="1"/>
      <c r="FC437" s="1"/>
      <c r="FD437" s="1"/>
      <c r="FE437" s="1"/>
      <c r="FF437" s="1"/>
      <c r="FG437" s="1"/>
      <c r="FH437" s="1"/>
      <c r="FI437" s="1"/>
      <c r="FJ437" s="1"/>
      <c r="FK437" s="1"/>
      <c r="FL437" s="1"/>
      <c r="FM437" s="1"/>
      <c r="FN437" s="1"/>
      <c r="FO437" s="1"/>
      <c r="FP437" s="1"/>
      <c r="FQ437" s="1"/>
      <c r="FR437" s="2"/>
      <c r="FS437" s="1"/>
    </row>
    <row r="438" spans="1:175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R438" s="1"/>
      <c r="S438" s="1"/>
      <c r="T438" s="1"/>
      <c r="U438" s="1"/>
      <c r="V438" s="1"/>
      <c r="Y438" s="1"/>
      <c r="Z438" s="2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U438" s="1"/>
      <c r="AW438" s="1"/>
      <c r="AX438" s="1"/>
      <c r="AY438" s="1"/>
      <c r="AZ438" s="1"/>
      <c r="BA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H438" s="1"/>
      <c r="EI438" s="1"/>
      <c r="EJ438" s="1"/>
      <c r="EK438" s="1"/>
      <c r="EL438" s="1"/>
      <c r="EM438" s="1"/>
      <c r="EN438" s="1"/>
      <c r="EO438" s="1"/>
      <c r="EP438" s="1"/>
      <c r="EQ438" s="1"/>
      <c r="ER438" s="1"/>
      <c r="ES438" s="1"/>
      <c r="ET438" s="1"/>
      <c r="EU438" s="1"/>
      <c r="EV438" s="1"/>
      <c r="EW438" s="1"/>
      <c r="EX438" s="1"/>
      <c r="EY438" s="1"/>
      <c r="EZ438" s="1"/>
      <c r="FA438" s="1"/>
      <c r="FB438" s="1"/>
      <c r="FC438" s="1"/>
      <c r="FD438" s="1"/>
      <c r="FE438" s="1"/>
      <c r="FF438" s="1"/>
      <c r="FG438" s="1"/>
      <c r="FH438" s="1"/>
      <c r="FI438" s="1"/>
      <c r="FJ438" s="1"/>
      <c r="FK438" s="1"/>
      <c r="FL438" s="1"/>
      <c r="FM438" s="1"/>
      <c r="FN438" s="1"/>
      <c r="FO438" s="1"/>
      <c r="FP438" s="1"/>
      <c r="FQ438" s="1"/>
      <c r="FR438" s="2"/>
      <c r="FS438" s="1"/>
    </row>
    <row r="439" spans="1:175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R439" s="1"/>
      <c r="S439" s="1"/>
      <c r="T439" s="1"/>
      <c r="U439" s="1"/>
      <c r="V439" s="1"/>
      <c r="Y439" s="1"/>
      <c r="Z439" s="2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U439" s="1"/>
      <c r="AW439" s="1"/>
      <c r="AX439" s="1"/>
      <c r="AY439" s="1"/>
      <c r="AZ439" s="1"/>
      <c r="BA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1"/>
      <c r="DR439" s="1"/>
      <c r="DS439" s="1"/>
      <c r="DT439" s="1"/>
      <c r="DU439" s="1"/>
      <c r="DV439" s="1"/>
      <c r="DW439" s="1"/>
      <c r="DX439" s="1"/>
      <c r="DY439" s="1"/>
      <c r="DZ439" s="1"/>
      <c r="EA439" s="1"/>
      <c r="EB439" s="1"/>
      <c r="EC439" s="1"/>
      <c r="ED439" s="1"/>
      <c r="EE439" s="1"/>
      <c r="EF439" s="1"/>
      <c r="EG439" s="1"/>
      <c r="EH439" s="1"/>
      <c r="EI439" s="1"/>
      <c r="EJ439" s="1"/>
      <c r="EK439" s="1"/>
      <c r="EL439" s="1"/>
      <c r="EM439" s="1"/>
      <c r="EN439" s="1"/>
      <c r="EO439" s="1"/>
      <c r="EP439" s="1"/>
      <c r="EQ439" s="1"/>
      <c r="ER439" s="1"/>
      <c r="ES439" s="1"/>
      <c r="ET439" s="1"/>
      <c r="EU439" s="1"/>
      <c r="EV439" s="1"/>
      <c r="EW439" s="1"/>
      <c r="EX439" s="1"/>
      <c r="EY439" s="1"/>
      <c r="EZ439" s="1"/>
      <c r="FA439" s="1"/>
      <c r="FB439" s="1"/>
      <c r="FC439" s="1"/>
      <c r="FD439" s="1"/>
      <c r="FE439" s="1"/>
      <c r="FF439" s="1"/>
      <c r="FG439" s="1"/>
      <c r="FH439" s="1"/>
      <c r="FI439" s="1"/>
      <c r="FJ439" s="1"/>
      <c r="FK439" s="1"/>
      <c r="FL439" s="1"/>
      <c r="FM439" s="1"/>
      <c r="FN439" s="1"/>
      <c r="FO439" s="1"/>
      <c r="FP439" s="1"/>
      <c r="FQ439" s="1"/>
      <c r="FR439" s="2"/>
      <c r="FS439" s="1"/>
    </row>
    <row r="440" spans="1:175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R440" s="1"/>
      <c r="S440" s="1"/>
      <c r="T440" s="1"/>
      <c r="U440" s="1"/>
      <c r="V440" s="1"/>
      <c r="Y440" s="1"/>
      <c r="Z440" s="2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U440" s="1"/>
      <c r="AW440" s="1"/>
      <c r="AX440" s="1"/>
      <c r="AY440" s="1"/>
      <c r="AZ440" s="1"/>
      <c r="BA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H440" s="1"/>
      <c r="EI440" s="1"/>
      <c r="EJ440" s="1"/>
      <c r="EK440" s="1"/>
      <c r="EL440" s="1"/>
      <c r="EM440" s="1"/>
      <c r="EN440" s="1"/>
      <c r="EO440" s="1"/>
      <c r="EP440" s="1"/>
      <c r="EQ440" s="1"/>
      <c r="ER440" s="1"/>
      <c r="ES440" s="1"/>
      <c r="ET440" s="1"/>
      <c r="EU440" s="1"/>
      <c r="EV440" s="1"/>
      <c r="EW440" s="1"/>
      <c r="EX440" s="1"/>
      <c r="EY440" s="1"/>
      <c r="EZ440" s="1"/>
      <c r="FA440" s="1"/>
      <c r="FB440" s="1"/>
      <c r="FC440" s="1"/>
      <c r="FD440" s="1"/>
      <c r="FE440" s="1"/>
      <c r="FF440" s="1"/>
      <c r="FG440" s="1"/>
      <c r="FH440" s="1"/>
      <c r="FI440" s="1"/>
      <c r="FJ440" s="1"/>
      <c r="FK440" s="1"/>
      <c r="FL440" s="1"/>
      <c r="FM440" s="1"/>
      <c r="FN440" s="1"/>
      <c r="FO440" s="1"/>
      <c r="FP440" s="1"/>
      <c r="FQ440" s="1"/>
      <c r="FR440" s="2"/>
      <c r="FS440" s="1"/>
    </row>
    <row r="441" spans="1:175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R441" s="1"/>
      <c r="S441" s="1"/>
      <c r="T441" s="1"/>
      <c r="U441" s="1"/>
      <c r="V441" s="1"/>
      <c r="Y441" s="1"/>
      <c r="Z441" s="2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U441" s="1"/>
      <c r="AW441" s="1"/>
      <c r="AX441" s="1"/>
      <c r="AY441" s="1"/>
      <c r="AZ441" s="1"/>
      <c r="BA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1"/>
      <c r="DR441" s="1"/>
      <c r="DS441" s="1"/>
      <c r="DT441" s="1"/>
      <c r="DU441" s="1"/>
      <c r="DV441" s="1"/>
      <c r="DW441" s="1"/>
      <c r="DX441" s="1"/>
      <c r="DY441" s="1"/>
      <c r="DZ441" s="1"/>
      <c r="EA441" s="1"/>
      <c r="EB441" s="1"/>
      <c r="EC441" s="1"/>
      <c r="ED441" s="1"/>
      <c r="EE441" s="1"/>
      <c r="EF441" s="1"/>
      <c r="EG441" s="1"/>
      <c r="EH441" s="1"/>
      <c r="EI441" s="1"/>
      <c r="EJ441" s="1"/>
      <c r="EK441" s="1"/>
      <c r="EL441" s="1"/>
      <c r="EM441" s="1"/>
      <c r="EN441" s="1"/>
      <c r="EO441" s="1"/>
      <c r="EP441" s="1"/>
      <c r="EQ441" s="1"/>
      <c r="ER441" s="1"/>
      <c r="ES441" s="1"/>
      <c r="ET441" s="1"/>
      <c r="EU441" s="1"/>
      <c r="EV441" s="1"/>
      <c r="EW441" s="1"/>
      <c r="EX441" s="1"/>
      <c r="EY441" s="1"/>
      <c r="EZ441" s="1"/>
      <c r="FA441" s="1"/>
      <c r="FB441" s="1"/>
      <c r="FC441" s="1"/>
      <c r="FD441" s="1"/>
      <c r="FE441" s="1"/>
      <c r="FF441" s="1"/>
      <c r="FG441" s="1"/>
      <c r="FH441" s="1"/>
      <c r="FI441" s="1"/>
      <c r="FJ441" s="1"/>
      <c r="FK441" s="1"/>
      <c r="FL441" s="1"/>
      <c r="FM441" s="1"/>
      <c r="FN441" s="1"/>
      <c r="FO441" s="1"/>
      <c r="FP441" s="1"/>
      <c r="FQ441" s="1"/>
      <c r="FR441" s="2"/>
      <c r="FS441" s="1"/>
    </row>
    <row r="442" spans="1:175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R442" s="1"/>
      <c r="S442" s="1"/>
      <c r="T442" s="1"/>
      <c r="U442" s="1"/>
      <c r="V442" s="1"/>
      <c r="Y442" s="1"/>
      <c r="Z442" s="2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U442" s="1"/>
      <c r="AW442" s="1"/>
      <c r="AX442" s="1"/>
      <c r="AY442" s="1"/>
      <c r="AZ442" s="1"/>
      <c r="BA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H442" s="1"/>
      <c r="EI442" s="1"/>
      <c r="EJ442" s="1"/>
      <c r="EK442" s="1"/>
      <c r="EL442" s="1"/>
      <c r="EM442" s="1"/>
      <c r="EN442" s="1"/>
      <c r="EO442" s="1"/>
      <c r="EP442" s="1"/>
      <c r="EQ442" s="1"/>
      <c r="ER442" s="1"/>
      <c r="ES442" s="1"/>
      <c r="ET442" s="1"/>
      <c r="EU442" s="1"/>
      <c r="EV442" s="1"/>
      <c r="EW442" s="1"/>
      <c r="EX442" s="1"/>
      <c r="EY442" s="1"/>
      <c r="EZ442" s="1"/>
      <c r="FA442" s="1"/>
      <c r="FB442" s="1"/>
      <c r="FC442" s="1"/>
      <c r="FD442" s="1"/>
      <c r="FE442" s="1"/>
      <c r="FF442" s="1"/>
      <c r="FG442" s="1"/>
      <c r="FH442" s="1"/>
      <c r="FI442" s="1"/>
      <c r="FJ442" s="1"/>
      <c r="FK442" s="1"/>
      <c r="FL442" s="1"/>
      <c r="FM442" s="1"/>
      <c r="FN442" s="1"/>
      <c r="FO442" s="1"/>
      <c r="FP442" s="1"/>
      <c r="FQ442" s="1"/>
      <c r="FR442" s="2"/>
      <c r="FS442" s="1"/>
    </row>
    <row r="443" spans="1:175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R443" s="1"/>
      <c r="S443" s="1"/>
      <c r="T443" s="1"/>
      <c r="U443" s="1"/>
      <c r="V443" s="1"/>
      <c r="Y443" s="1"/>
      <c r="Z443" s="2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U443" s="1"/>
      <c r="AW443" s="1"/>
      <c r="AX443" s="1"/>
      <c r="AY443" s="1"/>
      <c r="AZ443" s="1"/>
      <c r="BA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/>
      <c r="DQ443" s="1"/>
      <c r="DR443" s="1"/>
      <c r="DS443" s="1"/>
      <c r="DT443" s="1"/>
      <c r="DU443" s="1"/>
      <c r="DV443" s="1"/>
      <c r="DW443" s="1"/>
      <c r="DX443" s="1"/>
      <c r="DY443" s="1"/>
      <c r="DZ443" s="1"/>
      <c r="EA443" s="1"/>
      <c r="EB443" s="1"/>
      <c r="EC443" s="1"/>
      <c r="ED443" s="1"/>
      <c r="EE443" s="1"/>
      <c r="EF443" s="1"/>
      <c r="EG443" s="1"/>
      <c r="EH443" s="1"/>
      <c r="EI443" s="1"/>
      <c r="EJ443" s="1"/>
      <c r="EK443" s="1"/>
      <c r="EL443" s="1"/>
      <c r="EM443" s="1"/>
      <c r="EN443" s="1"/>
      <c r="EO443" s="1"/>
      <c r="EP443" s="1"/>
      <c r="EQ443" s="1"/>
      <c r="ER443" s="1"/>
      <c r="ES443" s="1"/>
      <c r="ET443" s="1"/>
      <c r="EU443" s="1"/>
      <c r="EV443" s="1"/>
      <c r="EW443" s="1"/>
      <c r="EX443" s="1"/>
      <c r="EY443" s="1"/>
      <c r="EZ443" s="1"/>
      <c r="FA443" s="1"/>
      <c r="FB443" s="1"/>
      <c r="FC443" s="1"/>
      <c r="FD443" s="1"/>
      <c r="FE443" s="1"/>
      <c r="FF443" s="1"/>
      <c r="FG443" s="1"/>
      <c r="FH443" s="1"/>
      <c r="FI443" s="1"/>
      <c r="FJ443" s="1"/>
      <c r="FK443" s="1"/>
      <c r="FL443" s="1"/>
      <c r="FM443" s="1"/>
      <c r="FN443" s="1"/>
      <c r="FO443" s="1"/>
      <c r="FP443" s="1"/>
      <c r="FQ443" s="1"/>
      <c r="FR443" s="2"/>
      <c r="FS443" s="1"/>
    </row>
    <row r="444" spans="1:175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R444" s="1"/>
      <c r="S444" s="1"/>
      <c r="T444" s="1"/>
      <c r="U444" s="1"/>
      <c r="V444" s="1"/>
      <c r="Y444" s="1"/>
      <c r="Z444" s="2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U444" s="1"/>
      <c r="AW444" s="1"/>
      <c r="AX444" s="1"/>
      <c r="AY444" s="1"/>
      <c r="AZ444" s="1"/>
      <c r="BA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H444" s="1"/>
      <c r="EI444" s="1"/>
      <c r="EJ444" s="1"/>
      <c r="EK444" s="1"/>
      <c r="EL444" s="1"/>
      <c r="EM444" s="1"/>
      <c r="EN444" s="1"/>
      <c r="EO444" s="1"/>
      <c r="EP444" s="1"/>
      <c r="EQ444" s="1"/>
      <c r="ER444" s="1"/>
      <c r="ES444" s="1"/>
      <c r="ET444" s="1"/>
      <c r="EU444" s="1"/>
      <c r="EV444" s="1"/>
      <c r="EW444" s="1"/>
      <c r="EX444" s="1"/>
      <c r="EY444" s="1"/>
      <c r="EZ444" s="1"/>
      <c r="FA444" s="1"/>
      <c r="FB444" s="1"/>
      <c r="FC444" s="1"/>
      <c r="FD444" s="1"/>
      <c r="FE444" s="1"/>
      <c r="FF444" s="1"/>
      <c r="FG444" s="1"/>
      <c r="FH444" s="1"/>
      <c r="FI444" s="1"/>
      <c r="FJ444" s="1"/>
      <c r="FK444" s="1"/>
      <c r="FL444" s="1"/>
      <c r="FM444" s="1"/>
      <c r="FN444" s="1"/>
      <c r="FO444" s="1"/>
      <c r="FP444" s="1"/>
      <c r="FQ444" s="1"/>
      <c r="FR444" s="2"/>
      <c r="FS444" s="1"/>
    </row>
    <row r="445" spans="1:175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R445" s="1"/>
      <c r="S445" s="1"/>
      <c r="T445" s="1"/>
      <c r="U445" s="1"/>
      <c r="V445" s="1"/>
      <c r="Y445" s="1"/>
      <c r="Z445" s="2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U445" s="1"/>
      <c r="AW445" s="1"/>
      <c r="AX445" s="1"/>
      <c r="AY445" s="1"/>
      <c r="AZ445" s="1"/>
      <c r="BA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1"/>
      <c r="DR445" s="1"/>
      <c r="DS445" s="1"/>
      <c r="DT445" s="1"/>
      <c r="DU445" s="1"/>
      <c r="DV445" s="1"/>
      <c r="DW445" s="1"/>
      <c r="DX445" s="1"/>
      <c r="DY445" s="1"/>
      <c r="DZ445" s="1"/>
      <c r="EA445" s="1"/>
      <c r="EB445" s="1"/>
      <c r="EC445" s="1"/>
      <c r="ED445" s="1"/>
      <c r="EE445" s="1"/>
      <c r="EF445" s="1"/>
      <c r="EG445" s="1"/>
      <c r="EH445" s="1"/>
      <c r="EI445" s="1"/>
      <c r="EJ445" s="1"/>
      <c r="EK445" s="1"/>
      <c r="EL445" s="1"/>
      <c r="EM445" s="1"/>
      <c r="EN445" s="1"/>
      <c r="EO445" s="1"/>
      <c r="EP445" s="1"/>
      <c r="EQ445" s="1"/>
      <c r="ER445" s="1"/>
      <c r="ES445" s="1"/>
      <c r="ET445" s="1"/>
      <c r="EU445" s="1"/>
      <c r="EV445" s="1"/>
      <c r="EW445" s="1"/>
      <c r="EX445" s="1"/>
      <c r="EY445" s="1"/>
      <c r="EZ445" s="1"/>
      <c r="FA445" s="1"/>
      <c r="FB445" s="1"/>
      <c r="FC445" s="1"/>
      <c r="FD445" s="1"/>
      <c r="FE445" s="1"/>
      <c r="FF445" s="1"/>
      <c r="FG445" s="1"/>
      <c r="FH445" s="1"/>
      <c r="FI445" s="1"/>
      <c r="FJ445" s="1"/>
      <c r="FK445" s="1"/>
      <c r="FL445" s="1"/>
      <c r="FM445" s="1"/>
      <c r="FN445" s="1"/>
      <c r="FO445" s="1"/>
      <c r="FP445" s="1"/>
      <c r="FQ445" s="1"/>
      <c r="FR445" s="2"/>
      <c r="FS445" s="1"/>
    </row>
    <row r="446" spans="1:175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R446" s="1"/>
      <c r="S446" s="1"/>
      <c r="T446" s="1"/>
      <c r="U446" s="1"/>
      <c r="V446" s="1"/>
      <c r="Y446" s="1"/>
      <c r="Z446" s="2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U446" s="1"/>
      <c r="AW446" s="1"/>
      <c r="AX446" s="1"/>
      <c r="AY446" s="1"/>
      <c r="AZ446" s="1"/>
      <c r="BA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H446" s="1"/>
      <c r="EI446" s="1"/>
      <c r="EJ446" s="1"/>
      <c r="EK446" s="1"/>
      <c r="EL446" s="1"/>
      <c r="EM446" s="1"/>
      <c r="EN446" s="1"/>
      <c r="EO446" s="1"/>
      <c r="EP446" s="1"/>
      <c r="EQ446" s="1"/>
      <c r="ER446" s="1"/>
      <c r="ES446" s="1"/>
      <c r="ET446" s="1"/>
      <c r="EU446" s="1"/>
      <c r="EV446" s="1"/>
      <c r="EW446" s="1"/>
      <c r="EX446" s="1"/>
      <c r="EY446" s="1"/>
      <c r="EZ446" s="1"/>
      <c r="FA446" s="1"/>
      <c r="FB446" s="1"/>
      <c r="FC446" s="1"/>
      <c r="FD446" s="1"/>
      <c r="FE446" s="1"/>
      <c r="FF446" s="1"/>
      <c r="FG446" s="1"/>
      <c r="FH446" s="1"/>
      <c r="FI446" s="1"/>
      <c r="FJ446" s="1"/>
      <c r="FK446" s="1"/>
      <c r="FL446" s="1"/>
      <c r="FM446" s="1"/>
      <c r="FN446" s="1"/>
      <c r="FO446" s="1"/>
      <c r="FP446" s="1"/>
      <c r="FQ446" s="1"/>
      <c r="FR446" s="2"/>
      <c r="FS446" s="1"/>
    </row>
    <row r="447" spans="1:175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R447" s="1"/>
      <c r="S447" s="1"/>
      <c r="T447" s="1"/>
      <c r="U447" s="1"/>
      <c r="V447" s="1"/>
      <c r="Y447" s="1"/>
      <c r="Z447" s="2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U447" s="1"/>
      <c r="AW447" s="1"/>
      <c r="AX447" s="1"/>
      <c r="AY447" s="1"/>
      <c r="AZ447" s="1"/>
      <c r="BA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  <c r="DP447" s="1"/>
      <c r="DQ447" s="1"/>
      <c r="DR447" s="1"/>
      <c r="DS447" s="1"/>
      <c r="DT447" s="1"/>
      <c r="DU447" s="1"/>
      <c r="DV447" s="1"/>
      <c r="DW447" s="1"/>
      <c r="DX447" s="1"/>
      <c r="DY447" s="1"/>
      <c r="DZ447" s="1"/>
      <c r="EA447" s="1"/>
      <c r="EB447" s="1"/>
      <c r="EC447" s="1"/>
      <c r="ED447" s="1"/>
      <c r="EE447" s="1"/>
      <c r="EF447" s="1"/>
      <c r="EG447" s="1"/>
      <c r="EH447" s="1"/>
      <c r="EI447" s="1"/>
      <c r="EJ447" s="1"/>
      <c r="EK447" s="1"/>
      <c r="EL447" s="1"/>
      <c r="EM447" s="1"/>
      <c r="EN447" s="1"/>
      <c r="EO447" s="1"/>
      <c r="EP447" s="1"/>
      <c r="EQ447" s="1"/>
      <c r="ER447" s="1"/>
      <c r="ES447" s="1"/>
      <c r="ET447" s="1"/>
      <c r="EU447" s="1"/>
      <c r="EV447" s="1"/>
      <c r="EW447" s="1"/>
      <c r="EX447" s="1"/>
      <c r="EY447" s="1"/>
      <c r="EZ447" s="1"/>
      <c r="FA447" s="1"/>
      <c r="FB447" s="1"/>
      <c r="FC447" s="1"/>
      <c r="FD447" s="1"/>
      <c r="FE447" s="1"/>
      <c r="FF447" s="1"/>
      <c r="FG447" s="1"/>
      <c r="FH447" s="1"/>
      <c r="FI447" s="1"/>
      <c r="FJ447" s="1"/>
      <c r="FK447" s="1"/>
      <c r="FL447" s="1"/>
      <c r="FM447" s="1"/>
      <c r="FN447" s="1"/>
      <c r="FO447" s="1"/>
      <c r="FP447" s="1"/>
      <c r="FQ447" s="1"/>
      <c r="FR447" s="2"/>
      <c r="FS447" s="1"/>
    </row>
    <row r="448" spans="1:175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R448" s="1"/>
      <c r="S448" s="1"/>
      <c r="T448" s="1"/>
      <c r="U448" s="1"/>
      <c r="V448" s="1"/>
      <c r="Y448" s="1"/>
      <c r="Z448" s="2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U448" s="1"/>
      <c r="AW448" s="1"/>
      <c r="AX448" s="1"/>
      <c r="AY448" s="1"/>
      <c r="AZ448" s="1"/>
      <c r="BA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H448" s="1"/>
      <c r="EI448" s="1"/>
      <c r="EJ448" s="1"/>
      <c r="EK448" s="1"/>
      <c r="EL448" s="1"/>
      <c r="EM448" s="1"/>
      <c r="EN448" s="1"/>
      <c r="EO448" s="1"/>
      <c r="EP448" s="1"/>
      <c r="EQ448" s="1"/>
      <c r="ER448" s="1"/>
      <c r="ES448" s="1"/>
      <c r="ET448" s="1"/>
      <c r="EU448" s="1"/>
      <c r="EV448" s="1"/>
      <c r="EW448" s="1"/>
      <c r="EX448" s="1"/>
      <c r="EY448" s="1"/>
      <c r="EZ448" s="1"/>
      <c r="FA448" s="1"/>
      <c r="FB448" s="1"/>
      <c r="FC448" s="1"/>
      <c r="FD448" s="1"/>
      <c r="FE448" s="1"/>
      <c r="FF448" s="1"/>
      <c r="FG448" s="1"/>
      <c r="FH448" s="1"/>
      <c r="FI448" s="1"/>
      <c r="FJ448" s="1"/>
      <c r="FK448" s="1"/>
      <c r="FL448" s="1"/>
      <c r="FM448" s="1"/>
      <c r="FN448" s="1"/>
      <c r="FO448" s="1"/>
      <c r="FP448" s="1"/>
      <c r="FQ448" s="1"/>
      <c r="FR448" s="2"/>
      <c r="FS448" s="1"/>
    </row>
    <row r="449" spans="1:175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R449" s="1"/>
      <c r="S449" s="1"/>
      <c r="T449" s="1"/>
      <c r="U449" s="1"/>
      <c r="V449" s="1"/>
      <c r="Y449" s="1"/>
      <c r="Z449" s="2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U449" s="1"/>
      <c r="AW449" s="1"/>
      <c r="AX449" s="1"/>
      <c r="AY449" s="1"/>
      <c r="AZ449" s="1"/>
      <c r="BA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1"/>
      <c r="DR449" s="1"/>
      <c r="DS449" s="1"/>
      <c r="DT449" s="1"/>
      <c r="DU449" s="1"/>
      <c r="DV449" s="1"/>
      <c r="DW449" s="1"/>
      <c r="DX449" s="1"/>
      <c r="DY449" s="1"/>
      <c r="DZ449" s="1"/>
      <c r="EA449" s="1"/>
      <c r="EB449" s="1"/>
      <c r="EC449" s="1"/>
      <c r="ED449" s="1"/>
      <c r="EE449" s="1"/>
      <c r="EF449" s="1"/>
      <c r="EG449" s="1"/>
      <c r="EH449" s="1"/>
      <c r="EI449" s="1"/>
      <c r="EJ449" s="1"/>
      <c r="EK449" s="1"/>
      <c r="EL449" s="1"/>
      <c r="EM449" s="1"/>
      <c r="EN449" s="1"/>
      <c r="EO449" s="1"/>
      <c r="EP449" s="1"/>
      <c r="EQ449" s="1"/>
      <c r="ER449" s="1"/>
      <c r="ES449" s="1"/>
      <c r="ET449" s="1"/>
      <c r="EU449" s="1"/>
      <c r="EV449" s="1"/>
      <c r="EW449" s="1"/>
      <c r="EX449" s="1"/>
      <c r="EY449" s="1"/>
      <c r="EZ449" s="1"/>
      <c r="FA449" s="1"/>
      <c r="FB449" s="1"/>
      <c r="FC449" s="1"/>
      <c r="FD449" s="1"/>
      <c r="FE449" s="1"/>
      <c r="FF449" s="1"/>
      <c r="FG449" s="1"/>
      <c r="FH449" s="1"/>
      <c r="FI449" s="1"/>
      <c r="FJ449" s="1"/>
      <c r="FK449" s="1"/>
      <c r="FL449" s="1"/>
      <c r="FM449" s="1"/>
      <c r="FN449" s="1"/>
      <c r="FO449" s="1"/>
      <c r="FP449" s="1"/>
      <c r="FQ449" s="1"/>
      <c r="FR449" s="2"/>
      <c r="FS449" s="1"/>
    </row>
    <row r="450" spans="1:175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R450" s="1"/>
      <c r="S450" s="1"/>
      <c r="T450" s="1"/>
      <c r="U450" s="1"/>
      <c r="V450" s="1"/>
      <c r="Y450" s="1"/>
      <c r="Z450" s="2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U450" s="1"/>
      <c r="AW450" s="1"/>
      <c r="AX450" s="1"/>
      <c r="AY450" s="1"/>
      <c r="AZ450" s="1"/>
      <c r="BA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H450" s="1"/>
      <c r="EI450" s="1"/>
      <c r="EJ450" s="1"/>
      <c r="EK450" s="1"/>
      <c r="EL450" s="1"/>
      <c r="EM450" s="1"/>
      <c r="EN450" s="1"/>
      <c r="EO450" s="1"/>
      <c r="EP450" s="1"/>
      <c r="EQ450" s="1"/>
      <c r="ER450" s="1"/>
      <c r="ES450" s="1"/>
      <c r="ET450" s="1"/>
      <c r="EU450" s="1"/>
      <c r="EV450" s="1"/>
      <c r="EW450" s="1"/>
      <c r="EX450" s="1"/>
      <c r="EY450" s="1"/>
      <c r="EZ450" s="1"/>
      <c r="FA450" s="1"/>
      <c r="FB450" s="1"/>
      <c r="FC450" s="1"/>
      <c r="FD450" s="1"/>
      <c r="FE450" s="1"/>
      <c r="FF450" s="1"/>
      <c r="FG450" s="1"/>
      <c r="FH450" s="1"/>
      <c r="FI450" s="1"/>
      <c r="FJ450" s="1"/>
      <c r="FK450" s="1"/>
      <c r="FL450" s="1"/>
      <c r="FM450" s="1"/>
      <c r="FN450" s="1"/>
      <c r="FO450" s="1"/>
      <c r="FP450" s="1"/>
      <c r="FQ450" s="1"/>
      <c r="FR450" s="2"/>
      <c r="FS450" s="1"/>
    </row>
    <row r="451" spans="1:175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R451" s="1"/>
      <c r="S451" s="1"/>
      <c r="T451" s="1"/>
      <c r="U451" s="1"/>
      <c r="V451" s="1"/>
      <c r="Y451" s="1"/>
      <c r="Z451" s="2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U451" s="1"/>
      <c r="AW451" s="1"/>
      <c r="AX451" s="1"/>
      <c r="AY451" s="1"/>
      <c r="AZ451" s="1"/>
      <c r="BA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  <c r="DP451" s="1"/>
      <c r="DQ451" s="1"/>
      <c r="DR451" s="1"/>
      <c r="DS451" s="1"/>
      <c r="DT451" s="1"/>
      <c r="DU451" s="1"/>
      <c r="DV451" s="1"/>
      <c r="DW451" s="1"/>
      <c r="DX451" s="1"/>
      <c r="DY451" s="1"/>
      <c r="DZ451" s="1"/>
      <c r="EA451" s="1"/>
      <c r="EB451" s="1"/>
      <c r="EC451" s="1"/>
      <c r="ED451" s="1"/>
      <c r="EE451" s="1"/>
      <c r="EF451" s="1"/>
      <c r="EG451" s="1"/>
      <c r="EH451" s="1"/>
      <c r="EI451" s="1"/>
      <c r="EJ451" s="1"/>
      <c r="EK451" s="1"/>
      <c r="EL451" s="1"/>
      <c r="EM451" s="1"/>
      <c r="EN451" s="1"/>
      <c r="EO451" s="1"/>
      <c r="EP451" s="1"/>
      <c r="EQ451" s="1"/>
      <c r="ER451" s="1"/>
      <c r="ES451" s="1"/>
      <c r="ET451" s="1"/>
      <c r="EU451" s="1"/>
      <c r="EV451" s="1"/>
      <c r="EW451" s="1"/>
      <c r="EX451" s="1"/>
      <c r="EY451" s="1"/>
      <c r="EZ451" s="1"/>
      <c r="FA451" s="1"/>
      <c r="FB451" s="1"/>
      <c r="FC451" s="1"/>
      <c r="FD451" s="1"/>
      <c r="FE451" s="1"/>
      <c r="FF451" s="1"/>
      <c r="FG451" s="1"/>
      <c r="FH451" s="1"/>
      <c r="FI451" s="1"/>
      <c r="FJ451" s="1"/>
      <c r="FK451" s="1"/>
      <c r="FL451" s="1"/>
      <c r="FM451" s="1"/>
      <c r="FN451" s="1"/>
      <c r="FO451" s="1"/>
      <c r="FP451" s="1"/>
      <c r="FQ451" s="1"/>
      <c r="FR451" s="2"/>
      <c r="FS451" s="1"/>
    </row>
    <row r="452" spans="1:175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R452" s="1"/>
      <c r="S452" s="1"/>
      <c r="T452" s="1"/>
      <c r="U452" s="1"/>
      <c r="V452" s="1"/>
      <c r="Y452" s="1"/>
      <c r="Z452" s="2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U452" s="1"/>
      <c r="AW452" s="1"/>
      <c r="AX452" s="1"/>
      <c r="AY452" s="1"/>
      <c r="AZ452" s="1"/>
      <c r="BA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H452" s="1"/>
      <c r="EI452" s="1"/>
      <c r="EJ452" s="1"/>
      <c r="EK452" s="1"/>
      <c r="EL452" s="1"/>
      <c r="EM452" s="1"/>
      <c r="EN452" s="1"/>
      <c r="EO452" s="1"/>
      <c r="EP452" s="1"/>
      <c r="EQ452" s="1"/>
      <c r="ER452" s="1"/>
      <c r="ES452" s="1"/>
      <c r="ET452" s="1"/>
      <c r="EU452" s="1"/>
      <c r="EV452" s="1"/>
      <c r="EW452" s="1"/>
      <c r="EX452" s="1"/>
      <c r="EY452" s="1"/>
      <c r="EZ452" s="1"/>
      <c r="FA452" s="1"/>
      <c r="FB452" s="1"/>
      <c r="FC452" s="1"/>
      <c r="FD452" s="1"/>
      <c r="FE452" s="1"/>
      <c r="FF452" s="1"/>
      <c r="FG452" s="1"/>
      <c r="FH452" s="1"/>
      <c r="FI452" s="1"/>
      <c r="FJ452" s="1"/>
      <c r="FK452" s="1"/>
      <c r="FL452" s="1"/>
      <c r="FM452" s="1"/>
      <c r="FN452" s="1"/>
      <c r="FO452" s="1"/>
      <c r="FP452" s="1"/>
      <c r="FQ452" s="1"/>
      <c r="FR452" s="2"/>
      <c r="FS452" s="1"/>
    </row>
    <row r="453" spans="1:175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R453" s="1"/>
      <c r="S453" s="1"/>
      <c r="T453" s="1"/>
      <c r="U453" s="1"/>
      <c r="V453" s="1"/>
      <c r="Y453" s="1"/>
      <c r="Z453" s="2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U453" s="1"/>
      <c r="AW453" s="1"/>
      <c r="AX453" s="1"/>
      <c r="AY453" s="1"/>
      <c r="AZ453" s="1"/>
      <c r="BA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1"/>
      <c r="DR453" s="1"/>
      <c r="DS453" s="1"/>
      <c r="DT453" s="1"/>
      <c r="DU453" s="1"/>
      <c r="DV453" s="1"/>
      <c r="DW453" s="1"/>
      <c r="DX453" s="1"/>
      <c r="DY453" s="1"/>
      <c r="DZ453" s="1"/>
      <c r="EA453" s="1"/>
      <c r="EB453" s="1"/>
      <c r="EC453" s="1"/>
      <c r="ED453" s="1"/>
      <c r="EE453" s="1"/>
      <c r="EF453" s="1"/>
      <c r="EG453" s="1"/>
      <c r="EH453" s="1"/>
      <c r="EI453" s="1"/>
      <c r="EJ453" s="1"/>
      <c r="EK453" s="1"/>
      <c r="EL453" s="1"/>
      <c r="EM453" s="1"/>
      <c r="EN453" s="1"/>
      <c r="EO453" s="1"/>
      <c r="EP453" s="1"/>
      <c r="EQ453" s="1"/>
      <c r="ER453" s="1"/>
      <c r="ES453" s="1"/>
      <c r="ET453" s="1"/>
      <c r="EU453" s="1"/>
      <c r="EV453" s="1"/>
      <c r="EW453" s="1"/>
      <c r="EX453" s="1"/>
      <c r="EY453" s="1"/>
      <c r="EZ453" s="1"/>
      <c r="FA453" s="1"/>
      <c r="FB453" s="1"/>
      <c r="FC453" s="1"/>
      <c r="FD453" s="1"/>
      <c r="FE453" s="1"/>
      <c r="FF453" s="1"/>
      <c r="FG453" s="1"/>
      <c r="FH453" s="1"/>
      <c r="FI453" s="1"/>
      <c r="FJ453" s="1"/>
      <c r="FK453" s="1"/>
      <c r="FL453" s="1"/>
      <c r="FM453" s="1"/>
      <c r="FN453" s="1"/>
      <c r="FO453" s="1"/>
      <c r="FP453" s="1"/>
      <c r="FQ453" s="1"/>
      <c r="FR453" s="2"/>
      <c r="FS453" s="1"/>
    </row>
    <row r="454" spans="1:175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R454" s="1"/>
      <c r="S454" s="1"/>
      <c r="T454" s="1"/>
      <c r="U454" s="1"/>
      <c r="V454" s="1"/>
      <c r="Y454" s="1"/>
      <c r="Z454" s="2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U454" s="1"/>
      <c r="AW454" s="1"/>
      <c r="AX454" s="1"/>
      <c r="AY454" s="1"/>
      <c r="AZ454" s="1"/>
      <c r="BA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H454" s="1"/>
      <c r="EI454" s="1"/>
      <c r="EJ454" s="1"/>
      <c r="EK454" s="1"/>
      <c r="EL454" s="1"/>
      <c r="EM454" s="1"/>
      <c r="EN454" s="1"/>
      <c r="EO454" s="1"/>
      <c r="EP454" s="1"/>
      <c r="EQ454" s="1"/>
      <c r="ER454" s="1"/>
      <c r="ES454" s="1"/>
      <c r="ET454" s="1"/>
      <c r="EU454" s="1"/>
      <c r="EV454" s="1"/>
      <c r="EW454" s="1"/>
      <c r="EX454" s="1"/>
      <c r="EY454" s="1"/>
      <c r="EZ454" s="1"/>
      <c r="FA454" s="1"/>
      <c r="FB454" s="1"/>
      <c r="FC454" s="1"/>
      <c r="FD454" s="1"/>
      <c r="FE454" s="1"/>
      <c r="FF454" s="1"/>
      <c r="FG454" s="1"/>
      <c r="FH454" s="1"/>
      <c r="FI454" s="1"/>
      <c r="FJ454" s="1"/>
      <c r="FK454" s="1"/>
      <c r="FL454" s="1"/>
      <c r="FM454" s="1"/>
      <c r="FN454" s="1"/>
      <c r="FO454" s="1"/>
      <c r="FP454" s="1"/>
      <c r="FQ454" s="1"/>
      <c r="FR454" s="2"/>
      <c r="FS454" s="1"/>
    </row>
    <row r="455" spans="1:175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R455" s="1"/>
      <c r="S455" s="1"/>
      <c r="T455" s="1"/>
      <c r="U455" s="1"/>
      <c r="V455" s="1"/>
      <c r="Y455" s="1"/>
      <c r="Z455" s="2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U455" s="1"/>
      <c r="AW455" s="1"/>
      <c r="AX455" s="1"/>
      <c r="AY455" s="1"/>
      <c r="AZ455" s="1"/>
      <c r="BA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  <c r="DP455" s="1"/>
      <c r="DQ455" s="1"/>
      <c r="DR455" s="1"/>
      <c r="DS455" s="1"/>
      <c r="DT455" s="1"/>
      <c r="DU455" s="1"/>
      <c r="DV455" s="1"/>
      <c r="DW455" s="1"/>
      <c r="DX455" s="1"/>
      <c r="DY455" s="1"/>
      <c r="DZ455" s="1"/>
      <c r="EA455" s="1"/>
      <c r="EB455" s="1"/>
      <c r="EC455" s="1"/>
      <c r="ED455" s="1"/>
      <c r="EE455" s="1"/>
      <c r="EF455" s="1"/>
      <c r="EG455" s="1"/>
      <c r="EH455" s="1"/>
      <c r="EI455" s="1"/>
      <c r="EJ455" s="1"/>
      <c r="EK455" s="1"/>
      <c r="EL455" s="1"/>
      <c r="EM455" s="1"/>
      <c r="EN455" s="1"/>
      <c r="EO455" s="1"/>
      <c r="EP455" s="1"/>
      <c r="EQ455" s="1"/>
      <c r="ER455" s="1"/>
      <c r="ES455" s="1"/>
      <c r="ET455" s="1"/>
      <c r="EU455" s="1"/>
      <c r="EV455" s="1"/>
      <c r="EW455" s="1"/>
      <c r="EX455" s="1"/>
      <c r="EY455" s="1"/>
      <c r="EZ455" s="1"/>
      <c r="FA455" s="1"/>
      <c r="FB455" s="1"/>
      <c r="FC455" s="1"/>
      <c r="FD455" s="1"/>
      <c r="FE455" s="1"/>
      <c r="FF455" s="1"/>
      <c r="FG455" s="1"/>
      <c r="FH455" s="1"/>
      <c r="FI455" s="1"/>
      <c r="FJ455" s="1"/>
      <c r="FK455" s="1"/>
      <c r="FL455" s="1"/>
      <c r="FM455" s="1"/>
      <c r="FN455" s="1"/>
      <c r="FO455" s="1"/>
      <c r="FP455" s="1"/>
      <c r="FQ455" s="1"/>
      <c r="FR455" s="2"/>
      <c r="FS455" s="1"/>
    </row>
    <row r="456" spans="1:175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R456" s="1"/>
      <c r="S456" s="1"/>
      <c r="T456" s="1"/>
      <c r="U456" s="1"/>
      <c r="V456" s="1"/>
      <c r="Y456" s="1"/>
      <c r="Z456" s="2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U456" s="1"/>
      <c r="AW456" s="1"/>
      <c r="AX456" s="1"/>
      <c r="AY456" s="1"/>
      <c r="AZ456" s="1"/>
      <c r="BA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H456" s="1"/>
      <c r="EI456" s="1"/>
      <c r="EJ456" s="1"/>
      <c r="EK456" s="1"/>
      <c r="EL456" s="1"/>
      <c r="EM456" s="1"/>
      <c r="EN456" s="1"/>
      <c r="EO456" s="1"/>
      <c r="EP456" s="1"/>
      <c r="EQ456" s="1"/>
      <c r="ER456" s="1"/>
      <c r="ES456" s="1"/>
      <c r="ET456" s="1"/>
      <c r="EU456" s="1"/>
      <c r="EV456" s="1"/>
      <c r="EW456" s="1"/>
      <c r="EX456" s="1"/>
      <c r="EY456" s="1"/>
      <c r="EZ456" s="1"/>
      <c r="FA456" s="1"/>
      <c r="FB456" s="1"/>
      <c r="FC456" s="1"/>
      <c r="FD456" s="1"/>
      <c r="FE456" s="1"/>
      <c r="FF456" s="1"/>
      <c r="FG456" s="1"/>
      <c r="FH456" s="1"/>
      <c r="FI456" s="1"/>
      <c r="FJ456" s="1"/>
      <c r="FK456" s="1"/>
      <c r="FL456" s="1"/>
      <c r="FM456" s="1"/>
      <c r="FN456" s="1"/>
      <c r="FO456" s="1"/>
      <c r="FP456" s="1"/>
      <c r="FQ456" s="1"/>
      <c r="FR456" s="2"/>
      <c r="FS456" s="1"/>
    </row>
    <row r="457" spans="1:175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R457" s="1"/>
      <c r="S457" s="1"/>
      <c r="T457" s="1"/>
      <c r="U457" s="1"/>
      <c r="V457" s="1"/>
      <c r="Y457" s="1"/>
      <c r="Z457" s="2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U457" s="1"/>
      <c r="AW457" s="1"/>
      <c r="AX457" s="1"/>
      <c r="AY457" s="1"/>
      <c r="AZ457" s="1"/>
      <c r="BA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  <c r="DP457" s="1"/>
      <c r="DQ457" s="1"/>
      <c r="DR457" s="1"/>
      <c r="DS457" s="1"/>
      <c r="DT457" s="1"/>
      <c r="DU457" s="1"/>
      <c r="DV457" s="1"/>
      <c r="DW457" s="1"/>
      <c r="DX457" s="1"/>
      <c r="DY457" s="1"/>
      <c r="DZ457" s="1"/>
      <c r="EA457" s="1"/>
      <c r="EB457" s="1"/>
      <c r="EC457" s="1"/>
      <c r="ED457" s="1"/>
      <c r="EE457" s="1"/>
      <c r="EF457" s="1"/>
      <c r="EG457" s="1"/>
      <c r="EH457" s="1"/>
      <c r="EI457" s="1"/>
      <c r="EJ457" s="1"/>
      <c r="EK457" s="1"/>
      <c r="EL457" s="1"/>
      <c r="EM457" s="1"/>
      <c r="EN457" s="1"/>
      <c r="EO457" s="1"/>
      <c r="EP457" s="1"/>
      <c r="EQ457" s="1"/>
      <c r="ER457" s="1"/>
      <c r="ES457" s="1"/>
      <c r="ET457" s="1"/>
      <c r="EU457" s="1"/>
      <c r="EV457" s="1"/>
      <c r="EW457" s="1"/>
      <c r="EX457" s="1"/>
      <c r="EY457" s="1"/>
      <c r="EZ457" s="1"/>
      <c r="FA457" s="1"/>
      <c r="FB457" s="1"/>
      <c r="FC457" s="1"/>
      <c r="FD457" s="1"/>
      <c r="FE457" s="1"/>
      <c r="FF457" s="1"/>
      <c r="FG457" s="1"/>
      <c r="FH457" s="1"/>
      <c r="FI457" s="1"/>
      <c r="FJ457" s="1"/>
      <c r="FK457" s="1"/>
      <c r="FL457" s="1"/>
      <c r="FM457" s="1"/>
      <c r="FN457" s="1"/>
      <c r="FO457" s="1"/>
      <c r="FP457" s="1"/>
      <c r="FQ457" s="1"/>
      <c r="FR457" s="2"/>
      <c r="FS457" s="1"/>
    </row>
    <row r="458" spans="1:175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R458" s="1"/>
      <c r="S458" s="1"/>
      <c r="T458" s="1"/>
      <c r="U458" s="1"/>
      <c r="V458" s="1"/>
      <c r="Y458" s="1"/>
      <c r="Z458" s="2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U458" s="1"/>
      <c r="AW458" s="1"/>
      <c r="AX458" s="1"/>
      <c r="AY458" s="1"/>
      <c r="AZ458" s="1"/>
      <c r="BA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H458" s="1"/>
      <c r="EI458" s="1"/>
      <c r="EJ458" s="1"/>
      <c r="EK458" s="1"/>
      <c r="EL458" s="1"/>
      <c r="EM458" s="1"/>
      <c r="EN458" s="1"/>
      <c r="EO458" s="1"/>
      <c r="EP458" s="1"/>
      <c r="EQ458" s="1"/>
      <c r="ER458" s="1"/>
      <c r="ES458" s="1"/>
      <c r="ET458" s="1"/>
      <c r="EU458" s="1"/>
      <c r="EV458" s="1"/>
      <c r="EW458" s="1"/>
      <c r="EX458" s="1"/>
      <c r="EY458" s="1"/>
      <c r="EZ458" s="1"/>
      <c r="FA458" s="1"/>
      <c r="FB458" s="1"/>
      <c r="FC458" s="1"/>
      <c r="FD458" s="1"/>
      <c r="FE458" s="1"/>
      <c r="FF458" s="1"/>
      <c r="FG458" s="1"/>
      <c r="FH458" s="1"/>
      <c r="FI458" s="1"/>
      <c r="FJ458" s="1"/>
      <c r="FK458" s="1"/>
      <c r="FL458" s="1"/>
      <c r="FM458" s="1"/>
      <c r="FN458" s="1"/>
      <c r="FO458" s="1"/>
      <c r="FP458" s="1"/>
      <c r="FQ458" s="1"/>
      <c r="FR458" s="2"/>
      <c r="FS458" s="1"/>
    </row>
    <row r="459" spans="1:175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R459" s="1"/>
      <c r="S459" s="1"/>
      <c r="T459" s="1"/>
      <c r="U459" s="1"/>
      <c r="V459" s="1"/>
      <c r="Y459" s="1"/>
      <c r="Z459" s="2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U459" s="1"/>
      <c r="AW459" s="1"/>
      <c r="AX459" s="1"/>
      <c r="AY459" s="1"/>
      <c r="AZ459" s="1"/>
      <c r="BA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1"/>
      <c r="DR459" s="1"/>
      <c r="DS459" s="1"/>
      <c r="DT459" s="1"/>
      <c r="DU459" s="1"/>
      <c r="DV459" s="1"/>
      <c r="DW459" s="1"/>
      <c r="DX459" s="1"/>
      <c r="DY459" s="1"/>
      <c r="DZ459" s="1"/>
      <c r="EA459" s="1"/>
      <c r="EB459" s="1"/>
      <c r="EC459" s="1"/>
      <c r="ED459" s="1"/>
      <c r="EE459" s="1"/>
      <c r="EF459" s="1"/>
      <c r="EG459" s="1"/>
      <c r="EH459" s="1"/>
      <c r="EI459" s="1"/>
      <c r="EJ459" s="1"/>
      <c r="EK459" s="1"/>
      <c r="EL459" s="1"/>
      <c r="EM459" s="1"/>
      <c r="EN459" s="1"/>
      <c r="EO459" s="1"/>
      <c r="EP459" s="1"/>
      <c r="EQ459" s="1"/>
      <c r="ER459" s="1"/>
      <c r="ES459" s="1"/>
      <c r="ET459" s="1"/>
      <c r="EU459" s="1"/>
      <c r="EV459" s="1"/>
      <c r="EW459" s="1"/>
      <c r="EX459" s="1"/>
      <c r="EY459" s="1"/>
      <c r="EZ459" s="1"/>
      <c r="FA459" s="1"/>
      <c r="FB459" s="1"/>
      <c r="FC459" s="1"/>
      <c r="FD459" s="1"/>
      <c r="FE459" s="1"/>
      <c r="FF459" s="1"/>
      <c r="FG459" s="1"/>
      <c r="FH459" s="1"/>
      <c r="FI459" s="1"/>
      <c r="FJ459" s="1"/>
      <c r="FK459" s="1"/>
      <c r="FL459" s="1"/>
      <c r="FM459" s="1"/>
      <c r="FN459" s="1"/>
      <c r="FO459" s="1"/>
      <c r="FP459" s="1"/>
      <c r="FQ459" s="1"/>
      <c r="FR459" s="2"/>
      <c r="FS459" s="1"/>
    </row>
    <row r="460" spans="1:175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R460" s="1"/>
      <c r="S460" s="1"/>
      <c r="T460" s="1"/>
      <c r="U460" s="1"/>
      <c r="V460" s="1"/>
      <c r="Y460" s="1"/>
      <c r="Z460" s="2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U460" s="1"/>
      <c r="AW460" s="1"/>
      <c r="AX460" s="1"/>
      <c r="AY460" s="1"/>
      <c r="AZ460" s="1"/>
      <c r="BA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H460" s="1"/>
      <c r="EI460" s="1"/>
      <c r="EJ460" s="1"/>
      <c r="EK460" s="1"/>
      <c r="EL460" s="1"/>
      <c r="EM460" s="1"/>
      <c r="EN460" s="1"/>
      <c r="EO460" s="1"/>
      <c r="EP460" s="1"/>
      <c r="EQ460" s="1"/>
      <c r="ER460" s="1"/>
      <c r="ES460" s="1"/>
      <c r="ET460" s="1"/>
      <c r="EU460" s="1"/>
      <c r="EV460" s="1"/>
      <c r="EW460" s="1"/>
      <c r="EX460" s="1"/>
      <c r="EY460" s="1"/>
      <c r="EZ460" s="1"/>
      <c r="FA460" s="1"/>
      <c r="FB460" s="1"/>
      <c r="FC460" s="1"/>
      <c r="FD460" s="1"/>
      <c r="FE460" s="1"/>
      <c r="FF460" s="1"/>
      <c r="FG460" s="1"/>
      <c r="FH460" s="1"/>
      <c r="FI460" s="1"/>
      <c r="FJ460" s="1"/>
      <c r="FK460" s="1"/>
      <c r="FL460" s="1"/>
      <c r="FM460" s="1"/>
      <c r="FN460" s="1"/>
      <c r="FO460" s="1"/>
      <c r="FP460" s="1"/>
      <c r="FQ460" s="1"/>
      <c r="FR460" s="2"/>
      <c r="FS460" s="1"/>
    </row>
    <row r="461" spans="1:175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R461" s="1"/>
      <c r="S461" s="1"/>
      <c r="T461" s="1"/>
      <c r="U461" s="1"/>
      <c r="V461" s="1"/>
      <c r="Y461" s="1"/>
      <c r="Z461" s="2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U461" s="1"/>
      <c r="AW461" s="1"/>
      <c r="AX461" s="1"/>
      <c r="AY461" s="1"/>
      <c r="AZ461" s="1"/>
      <c r="BA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1"/>
      <c r="DR461" s="1"/>
      <c r="DS461" s="1"/>
      <c r="DT461" s="1"/>
      <c r="DU461" s="1"/>
      <c r="DV461" s="1"/>
      <c r="DW461" s="1"/>
      <c r="DX461" s="1"/>
      <c r="DY461" s="1"/>
      <c r="DZ461" s="1"/>
      <c r="EA461" s="1"/>
      <c r="EB461" s="1"/>
      <c r="EC461" s="1"/>
      <c r="ED461" s="1"/>
      <c r="EE461" s="1"/>
      <c r="EF461" s="1"/>
      <c r="EG461" s="1"/>
      <c r="EH461" s="1"/>
      <c r="EI461" s="1"/>
      <c r="EJ461" s="1"/>
      <c r="EK461" s="1"/>
      <c r="EL461" s="1"/>
      <c r="EM461" s="1"/>
      <c r="EN461" s="1"/>
      <c r="EO461" s="1"/>
      <c r="EP461" s="1"/>
      <c r="EQ461" s="1"/>
      <c r="ER461" s="1"/>
      <c r="ES461" s="1"/>
      <c r="ET461" s="1"/>
      <c r="EU461" s="1"/>
      <c r="EV461" s="1"/>
      <c r="EW461" s="1"/>
      <c r="EX461" s="1"/>
      <c r="EY461" s="1"/>
      <c r="EZ461" s="1"/>
      <c r="FA461" s="1"/>
      <c r="FB461" s="1"/>
      <c r="FC461" s="1"/>
      <c r="FD461" s="1"/>
      <c r="FE461" s="1"/>
      <c r="FF461" s="1"/>
      <c r="FG461" s="1"/>
      <c r="FH461" s="1"/>
      <c r="FI461" s="1"/>
      <c r="FJ461" s="1"/>
      <c r="FK461" s="1"/>
      <c r="FL461" s="1"/>
      <c r="FM461" s="1"/>
      <c r="FN461" s="1"/>
      <c r="FO461" s="1"/>
      <c r="FP461" s="1"/>
      <c r="FQ461" s="1"/>
      <c r="FR461" s="2"/>
      <c r="FS461" s="1"/>
    </row>
    <row r="462" spans="1:175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R462" s="1"/>
      <c r="S462" s="1"/>
      <c r="T462" s="1"/>
      <c r="U462" s="1"/>
      <c r="V462" s="1"/>
      <c r="Y462" s="1"/>
      <c r="Z462" s="2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U462" s="1"/>
      <c r="AW462" s="1"/>
      <c r="AX462" s="1"/>
      <c r="AY462" s="1"/>
      <c r="AZ462" s="1"/>
      <c r="BA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H462" s="1"/>
      <c r="EI462" s="1"/>
      <c r="EJ462" s="1"/>
      <c r="EK462" s="1"/>
      <c r="EL462" s="1"/>
      <c r="EM462" s="1"/>
      <c r="EN462" s="1"/>
      <c r="EO462" s="1"/>
      <c r="EP462" s="1"/>
      <c r="EQ462" s="1"/>
      <c r="ER462" s="1"/>
      <c r="ES462" s="1"/>
      <c r="ET462" s="1"/>
      <c r="EU462" s="1"/>
      <c r="EV462" s="1"/>
      <c r="EW462" s="1"/>
      <c r="EX462" s="1"/>
      <c r="EY462" s="1"/>
      <c r="EZ462" s="1"/>
      <c r="FA462" s="1"/>
      <c r="FB462" s="1"/>
      <c r="FC462" s="1"/>
      <c r="FD462" s="1"/>
      <c r="FE462" s="1"/>
      <c r="FF462" s="1"/>
      <c r="FG462" s="1"/>
      <c r="FH462" s="1"/>
      <c r="FI462" s="1"/>
      <c r="FJ462" s="1"/>
      <c r="FK462" s="1"/>
      <c r="FL462" s="1"/>
      <c r="FM462" s="1"/>
      <c r="FN462" s="1"/>
      <c r="FO462" s="1"/>
      <c r="FP462" s="1"/>
      <c r="FQ462" s="1"/>
      <c r="FR462" s="2"/>
      <c r="FS462" s="1"/>
    </row>
    <row r="463" spans="1:175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R463" s="1"/>
      <c r="S463" s="1"/>
      <c r="T463" s="1"/>
      <c r="U463" s="1"/>
      <c r="V463" s="1"/>
      <c r="Y463" s="1"/>
      <c r="Z463" s="2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U463" s="1"/>
      <c r="AW463" s="1"/>
      <c r="AX463" s="1"/>
      <c r="AY463" s="1"/>
      <c r="AZ463" s="1"/>
      <c r="BA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1"/>
      <c r="DR463" s="1"/>
      <c r="DS463" s="1"/>
      <c r="DT463" s="1"/>
      <c r="DU463" s="1"/>
      <c r="DV463" s="1"/>
      <c r="DW463" s="1"/>
      <c r="DX463" s="1"/>
      <c r="DY463" s="1"/>
      <c r="DZ463" s="1"/>
      <c r="EA463" s="1"/>
      <c r="EB463" s="1"/>
      <c r="EC463" s="1"/>
      <c r="ED463" s="1"/>
      <c r="EE463" s="1"/>
      <c r="EF463" s="1"/>
      <c r="EG463" s="1"/>
      <c r="EH463" s="1"/>
      <c r="EI463" s="1"/>
      <c r="EJ463" s="1"/>
      <c r="EK463" s="1"/>
      <c r="EL463" s="1"/>
      <c r="EM463" s="1"/>
      <c r="EN463" s="1"/>
      <c r="EO463" s="1"/>
      <c r="EP463" s="1"/>
      <c r="EQ463" s="1"/>
      <c r="ER463" s="1"/>
      <c r="ES463" s="1"/>
      <c r="ET463" s="1"/>
      <c r="EU463" s="1"/>
      <c r="EV463" s="1"/>
      <c r="EW463" s="1"/>
      <c r="EX463" s="1"/>
      <c r="EY463" s="1"/>
      <c r="EZ463" s="1"/>
      <c r="FA463" s="1"/>
      <c r="FB463" s="1"/>
      <c r="FC463" s="1"/>
      <c r="FD463" s="1"/>
      <c r="FE463" s="1"/>
      <c r="FF463" s="1"/>
      <c r="FG463" s="1"/>
      <c r="FH463" s="1"/>
      <c r="FI463" s="1"/>
      <c r="FJ463" s="1"/>
      <c r="FK463" s="1"/>
      <c r="FL463" s="1"/>
      <c r="FM463" s="1"/>
      <c r="FN463" s="1"/>
      <c r="FO463" s="1"/>
      <c r="FP463" s="1"/>
      <c r="FQ463" s="1"/>
      <c r="FR463" s="2"/>
      <c r="FS463" s="1"/>
    </row>
    <row r="464" spans="1:175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R464" s="1"/>
      <c r="S464" s="1"/>
      <c r="T464" s="1"/>
      <c r="U464" s="1"/>
      <c r="V464" s="1"/>
      <c r="Y464" s="1"/>
      <c r="Z464" s="2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U464" s="1"/>
      <c r="AW464" s="1"/>
      <c r="AX464" s="1"/>
      <c r="AY464" s="1"/>
      <c r="AZ464" s="1"/>
      <c r="BA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H464" s="1"/>
      <c r="EI464" s="1"/>
      <c r="EJ464" s="1"/>
      <c r="EK464" s="1"/>
      <c r="EL464" s="1"/>
      <c r="EM464" s="1"/>
      <c r="EN464" s="1"/>
      <c r="EO464" s="1"/>
      <c r="EP464" s="1"/>
      <c r="EQ464" s="1"/>
      <c r="ER464" s="1"/>
      <c r="ES464" s="1"/>
      <c r="ET464" s="1"/>
      <c r="EU464" s="1"/>
      <c r="EV464" s="1"/>
      <c r="EW464" s="1"/>
      <c r="EX464" s="1"/>
      <c r="EY464" s="1"/>
      <c r="EZ464" s="1"/>
      <c r="FA464" s="1"/>
      <c r="FB464" s="1"/>
      <c r="FC464" s="1"/>
      <c r="FD464" s="1"/>
      <c r="FE464" s="1"/>
      <c r="FF464" s="1"/>
      <c r="FG464" s="1"/>
      <c r="FH464" s="1"/>
      <c r="FI464" s="1"/>
      <c r="FJ464" s="1"/>
      <c r="FK464" s="1"/>
      <c r="FL464" s="1"/>
      <c r="FM464" s="1"/>
      <c r="FN464" s="1"/>
      <c r="FO464" s="1"/>
      <c r="FP464" s="1"/>
      <c r="FQ464" s="1"/>
      <c r="FR464" s="2"/>
      <c r="FS464" s="1"/>
    </row>
    <row r="465" spans="1:175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R465" s="1"/>
      <c r="S465" s="1"/>
      <c r="T465" s="1"/>
      <c r="U465" s="1"/>
      <c r="V465" s="1"/>
      <c r="Y465" s="1"/>
      <c r="Z465" s="2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U465" s="1"/>
      <c r="AW465" s="1"/>
      <c r="AX465" s="1"/>
      <c r="AY465" s="1"/>
      <c r="AZ465" s="1"/>
      <c r="BA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  <c r="DP465" s="1"/>
      <c r="DQ465" s="1"/>
      <c r="DR465" s="1"/>
      <c r="DS465" s="1"/>
      <c r="DT465" s="1"/>
      <c r="DU465" s="1"/>
      <c r="DV465" s="1"/>
      <c r="DW465" s="1"/>
      <c r="DX465" s="1"/>
      <c r="DY465" s="1"/>
      <c r="DZ465" s="1"/>
      <c r="EA465" s="1"/>
      <c r="EB465" s="1"/>
      <c r="EC465" s="1"/>
      <c r="ED465" s="1"/>
      <c r="EE465" s="1"/>
      <c r="EF465" s="1"/>
      <c r="EG465" s="1"/>
      <c r="EH465" s="1"/>
      <c r="EI465" s="1"/>
      <c r="EJ465" s="1"/>
      <c r="EK465" s="1"/>
      <c r="EL465" s="1"/>
      <c r="EM465" s="1"/>
      <c r="EN465" s="1"/>
      <c r="EO465" s="1"/>
      <c r="EP465" s="1"/>
      <c r="EQ465" s="1"/>
      <c r="ER465" s="1"/>
      <c r="ES465" s="1"/>
      <c r="ET465" s="1"/>
      <c r="EU465" s="1"/>
      <c r="EV465" s="1"/>
      <c r="EW465" s="1"/>
      <c r="EX465" s="1"/>
      <c r="EY465" s="1"/>
      <c r="EZ465" s="1"/>
      <c r="FA465" s="1"/>
      <c r="FB465" s="1"/>
      <c r="FC465" s="1"/>
      <c r="FD465" s="1"/>
      <c r="FE465" s="1"/>
      <c r="FF465" s="1"/>
      <c r="FG465" s="1"/>
      <c r="FH465" s="1"/>
      <c r="FI465" s="1"/>
      <c r="FJ465" s="1"/>
      <c r="FK465" s="1"/>
      <c r="FL465" s="1"/>
      <c r="FM465" s="1"/>
      <c r="FN465" s="1"/>
      <c r="FO465" s="1"/>
      <c r="FP465" s="1"/>
      <c r="FQ465" s="1"/>
      <c r="FR465" s="2"/>
      <c r="FS465" s="1"/>
    </row>
    <row r="466" spans="1:175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R466" s="1"/>
      <c r="S466" s="1"/>
      <c r="T466" s="1"/>
      <c r="U466" s="1"/>
      <c r="V466" s="1"/>
      <c r="Y466" s="1"/>
      <c r="Z466" s="2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U466" s="1"/>
      <c r="AW466" s="1"/>
      <c r="AX466" s="1"/>
      <c r="AY466" s="1"/>
      <c r="AZ466" s="1"/>
      <c r="BA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H466" s="1"/>
      <c r="EI466" s="1"/>
      <c r="EJ466" s="1"/>
      <c r="EK466" s="1"/>
      <c r="EL466" s="1"/>
      <c r="EM466" s="1"/>
      <c r="EN466" s="1"/>
      <c r="EO466" s="1"/>
      <c r="EP466" s="1"/>
      <c r="EQ466" s="1"/>
      <c r="ER466" s="1"/>
      <c r="ES466" s="1"/>
      <c r="ET466" s="1"/>
      <c r="EU466" s="1"/>
      <c r="EV466" s="1"/>
      <c r="EW466" s="1"/>
      <c r="EX466" s="1"/>
      <c r="EY466" s="1"/>
      <c r="EZ466" s="1"/>
      <c r="FA466" s="1"/>
      <c r="FB466" s="1"/>
      <c r="FC466" s="1"/>
      <c r="FD466" s="1"/>
      <c r="FE466" s="1"/>
      <c r="FF466" s="1"/>
      <c r="FG466" s="1"/>
      <c r="FH466" s="1"/>
      <c r="FI466" s="1"/>
      <c r="FJ466" s="1"/>
      <c r="FK466" s="1"/>
      <c r="FL466" s="1"/>
      <c r="FM466" s="1"/>
      <c r="FN466" s="1"/>
      <c r="FO466" s="1"/>
      <c r="FP466" s="1"/>
      <c r="FQ466" s="1"/>
      <c r="FR466" s="2"/>
      <c r="FS466" s="1"/>
    </row>
    <row r="467" spans="1:175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R467" s="1"/>
      <c r="S467" s="1"/>
      <c r="T467" s="1"/>
      <c r="U467" s="1"/>
      <c r="V467" s="1"/>
      <c r="Y467" s="1"/>
      <c r="Z467" s="2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U467" s="1"/>
      <c r="AW467" s="1"/>
      <c r="AX467" s="1"/>
      <c r="AY467" s="1"/>
      <c r="AZ467" s="1"/>
      <c r="BA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  <c r="DP467" s="1"/>
      <c r="DQ467" s="1"/>
      <c r="DR467" s="1"/>
      <c r="DS467" s="1"/>
      <c r="DT467" s="1"/>
      <c r="DU467" s="1"/>
      <c r="DV467" s="1"/>
      <c r="DW467" s="1"/>
      <c r="DX467" s="1"/>
      <c r="DY467" s="1"/>
      <c r="DZ467" s="1"/>
      <c r="EA467" s="1"/>
      <c r="EB467" s="1"/>
      <c r="EC467" s="1"/>
      <c r="ED467" s="1"/>
      <c r="EE467" s="1"/>
      <c r="EF467" s="1"/>
      <c r="EG467" s="1"/>
      <c r="EH467" s="1"/>
      <c r="EI467" s="1"/>
      <c r="EJ467" s="1"/>
      <c r="EK467" s="1"/>
      <c r="EL467" s="1"/>
      <c r="EM467" s="1"/>
      <c r="EN467" s="1"/>
      <c r="EO467" s="1"/>
      <c r="EP467" s="1"/>
      <c r="EQ467" s="1"/>
      <c r="ER467" s="1"/>
      <c r="ES467" s="1"/>
      <c r="ET467" s="1"/>
      <c r="EU467" s="1"/>
      <c r="EV467" s="1"/>
      <c r="EW467" s="1"/>
      <c r="EX467" s="1"/>
      <c r="EY467" s="1"/>
      <c r="EZ467" s="1"/>
      <c r="FA467" s="1"/>
      <c r="FB467" s="1"/>
      <c r="FC467" s="1"/>
      <c r="FD467" s="1"/>
      <c r="FE467" s="1"/>
      <c r="FF467" s="1"/>
      <c r="FG467" s="1"/>
      <c r="FH467" s="1"/>
      <c r="FI467" s="1"/>
      <c r="FJ467" s="1"/>
      <c r="FK467" s="1"/>
      <c r="FL467" s="1"/>
      <c r="FM467" s="1"/>
      <c r="FN467" s="1"/>
      <c r="FO467" s="1"/>
      <c r="FP467" s="1"/>
      <c r="FQ467" s="1"/>
      <c r="FR467" s="2"/>
      <c r="FS467" s="1"/>
    </row>
    <row r="468" spans="1:175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R468" s="1"/>
      <c r="S468" s="1"/>
      <c r="T468" s="1"/>
      <c r="U468" s="1"/>
      <c r="V468" s="1"/>
      <c r="Y468" s="1"/>
      <c r="Z468" s="2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U468" s="1"/>
      <c r="AW468" s="1"/>
      <c r="AX468" s="1"/>
      <c r="AY468" s="1"/>
      <c r="AZ468" s="1"/>
      <c r="BA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H468" s="1"/>
      <c r="EI468" s="1"/>
      <c r="EJ468" s="1"/>
      <c r="EK468" s="1"/>
      <c r="EL468" s="1"/>
      <c r="EM468" s="1"/>
      <c r="EN468" s="1"/>
      <c r="EO468" s="1"/>
      <c r="EP468" s="1"/>
      <c r="EQ468" s="1"/>
      <c r="ER468" s="1"/>
      <c r="ES468" s="1"/>
      <c r="ET468" s="1"/>
      <c r="EU468" s="1"/>
      <c r="EV468" s="1"/>
      <c r="EW468" s="1"/>
      <c r="EX468" s="1"/>
      <c r="EY468" s="1"/>
      <c r="EZ468" s="1"/>
      <c r="FA468" s="1"/>
      <c r="FB468" s="1"/>
      <c r="FC468" s="1"/>
      <c r="FD468" s="1"/>
      <c r="FE468" s="1"/>
      <c r="FF468" s="1"/>
      <c r="FG468" s="1"/>
      <c r="FH468" s="1"/>
      <c r="FI468" s="1"/>
      <c r="FJ468" s="1"/>
      <c r="FK468" s="1"/>
      <c r="FL468" s="1"/>
      <c r="FM468" s="1"/>
      <c r="FN468" s="1"/>
      <c r="FO468" s="1"/>
      <c r="FP468" s="1"/>
      <c r="FQ468" s="1"/>
      <c r="FR468" s="2"/>
      <c r="FS468" s="1"/>
    </row>
    <row r="469" spans="1:175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R469" s="1"/>
      <c r="S469" s="1"/>
      <c r="T469" s="1"/>
      <c r="U469" s="1"/>
      <c r="V469" s="1"/>
      <c r="Y469" s="1"/>
      <c r="Z469" s="2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U469" s="1"/>
      <c r="AW469" s="1"/>
      <c r="AX469" s="1"/>
      <c r="AY469" s="1"/>
      <c r="AZ469" s="1"/>
      <c r="BA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1"/>
      <c r="DR469" s="1"/>
      <c r="DS469" s="1"/>
      <c r="DT469" s="1"/>
      <c r="DU469" s="1"/>
      <c r="DV469" s="1"/>
      <c r="DW469" s="1"/>
      <c r="DX469" s="1"/>
      <c r="DY469" s="1"/>
      <c r="DZ469" s="1"/>
      <c r="EA469" s="1"/>
      <c r="EB469" s="1"/>
      <c r="EC469" s="1"/>
      <c r="ED469" s="1"/>
      <c r="EE469" s="1"/>
      <c r="EF469" s="1"/>
      <c r="EG469" s="1"/>
      <c r="EH469" s="1"/>
      <c r="EI469" s="1"/>
      <c r="EJ469" s="1"/>
      <c r="EK469" s="1"/>
      <c r="EL469" s="1"/>
      <c r="EM469" s="1"/>
      <c r="EN469" s="1"/>
      <c r="EO469" s="1"/>
      <c r="EP469" s="1"/>
      <c r="EQ469" s="1"/>
      <c r="ER469" s="1"/>
      <c r="ES469" s="1"/>
      <c r="ET469" s="1"/>
      <c r="EU469" s="1"/>
      <c r="EV469" s="1"/>
      <c r="EW469" s="1"/>
      <c r="EX469" s="1"/>
      <c r="EY469" s="1"/>
      <c r="EZ469" s="1"/>
      <c r="FA469" s="1"/>
      <c r="FB469" s="1"/>
      <c r="FC469" s="1"/>
      <c r="FD469" s="1"/>
      <c r="FE469" s="1"/>
      <c r="FF469" s="1"/>
      <c r="FG469" s="1"/>
      <c r="FH469" s="1"/>
      <c r="FI469" s="1"/>
      <c r="FJ469" s="1"/>
      <c r="FK469" s="1"/>
      <c r="FL469" s="1"/>
      <c r="FM469" s="1"/>
      <c r="FN469" s="1"/>
      <c r="FO469" s="1"/>
      <c r="FP469" s="1"/>
      <c r="FQ469" s="1"/>
      <c r="FR469" s="2"/>
      <c r="FS469" s="1"/>
    </row>
    <row r="470" spans="1:175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R470" s="1"/>
      <c r="S470" s="1"/>
      <c r="T470" s="1"/>
      <c r="U470" s="1"/>
      <c r="V470" s="1"/>
      <c r="Y470" s="1"/>
      <c r="Z470" s="2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U470" s="1"/>
      <c r="AW470" s="1"/>
      <c r="AX470" s="1"/>
      <c r="AY470" s="1"/>
      <c r="AZ470" s="1"/>
      <c r="BA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H470" s="1"/>
      <c r="EI470" s="1"/>
      <c r="EJ470" s="1"/>
      <c r="EK470" s="1"/>
      <c r="EL470" s="1"/>
      <c r="EM470" s="1"/>
      <c r="EN470" s="1"/>
      <c r="EO470" s="1"/>
      <c r="EP470" s="1"/>
      <c r="EQ470" s="1"/>
      <c r="ER470" s="1"/>
      <c r="ES470" s="1"/>
      <c r="ET470" s="1"/>
      <c r="EU470" s="1"/>
      <c r="EV470" s="1"/>
      <c r="EW470" s="1"/>
      <c r="EX470" s="1"/>
      <c r="EY470" s="1"/>
      <c r="EZ470" s="1"/>
      <c r="FA470" s="1"/>
      <c r="FB470" s="1"/>
      <c r="FC470" s="1"/>
      <c r="FD470" s="1"/>
      <c r="FE470" s="1"/>
      <c r="FF470" s="1"/>
      <c r="FG470" s="1"/>
      <c r="FH470" s="1"/>
      <c r="FI470" s="1"/>
      <c r="FJ470" s="1"/>
      <c r="FK470" s="1"/>
      <c r="FL470" s="1"/>
      <c r="FM470" s="1"/>
      <c r="FN470" s="1"/>
      <c r="FO470" s="1"/>
      <c r="FP470" s="1"/>
      <c r="FQ470" s="1"/>
      <c r="FR470" s="2"/>
      <c r="FS470" s="1"/>
    </row>
    <row r="471" spans="1:175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R471" s="1"/>
      <c r="S471" s="1"/>
      <c r="T471" s="1"/>
      <c r="U471" s="1"/>
      <c r="V471" s="1"/>
      <c r="Y471" s="1"/>
      <c r="Z471" s="2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U471" s="1"/>
      <c r="AW471" s="1"/>
      <c r="AX471" s="1"/>
      <c r="AY471" s="1"/>
      <c r="AZ471" s="1"/>
      <c r="BA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/>
      <c r="DQ471" s="1"/>
      <c r="DR471" s="1"/>
      <c r="DS471" s="1"/>
      <c r="DT471" s="1"/>
      <c r="DU471" s="1"/>
      <c r="DV471" s="1"/>
      <c r="DW471" s="1"/>
      <c r="DX471" s="1"/>
      <c r="DY471" s="1"/>
      <c r="DZ471" s="1"/>
      <c r="EA471" s="1"/>
      <c r="EB471" s="1"/>
      <c r="EC471" s="1"/>
      <c r="ED471" s="1"/>
      <c r="EE471" s="1"/>
      <c r="EF471" s="1"/>
      <c r="EG471" s="1"/>
      <c r="EH471" s="1"/>
      <c r="EI471" s="1"/>
      <c r="EJ471" s="1"/>
      <c r="EK471" s="1"/>
      <c r="EL471" s="1"/>
      <c r="EM471" s="1"/>
      <c r="EN471" s="1"/>
      <c r="EO471" s="1"/>
      <c r="EP471" s="1"/>
      <c r="EQ471" s="1"/>
      <c r="ER471" s="1"/>
      <c r="ES471" s="1"/>
      <c r="ET471" s="1"/>
      <c r="EU471" s="1"/>
      <c r="EV471" s="1"/>
      <c r="EW471" s="1"/>
      <c r="EX471" s="1"/>
      <c r="EY471" s="1"/>
      <c r="EZ471" s="1"/>
      <c r="FA471" s="1"/>
      <c r="FB471" s="1"/>
      <c r="FC471" s="1"/>
      <c r="FD471" s="1"/>
      <c r="FE471" s="1"/>
      <c r="FF471" s="1"/>
      <c r="FG471" s="1"/>
      <c r="FH471" s="1"/>
      <c r="FI471" s="1"/>
      <c r="FJ471" s="1"/>
      <c r="FK471" s="1"/>
      <c r="FL471" s="1"/>
      <c r="FM471" s="1"/>
      <c r="FN471" s="1"/>
      <c r="FO471" s="1"/>
      <c r="FP471" s="1"/>
      <c r="FQ471" s="1"/>
      <c r="FR471" s="2"/>
      <c r="FS471" s="1"/>
    </row>
    <row r="472" spans="1:175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R472" s="1"/>
      <c r="S472" s="1"/>
      <c r="T472" s="1"/>
      <c r="U472" s="1"/>
      <c r="V472" s="1"/>
      <c r="Y472" s="1"/>
      <c r="Z472" s="2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U472" s="1"/>
      <c r="AW472" s="1"/>
      <c r="AX472" s="1"/>
      <c r="AY472" s="1"/>
      <c r="AZ472" s="1"/>
      <c r="BA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H472" s="1"/>
      <c r="EI472" s="1"/>
      <c r="EJ472" s="1"/>
      <c r="EK472" s="1"/>
      <c r="EL472" s="1"/>
      <c r="EM472" s="1"/>
      <c r="EN472" s="1"/>
      <c r="EO472" s="1"/>
      <c r="EP472" s="1"/>
      <c r="EQ472" s="1"/>
      <c r="ER472" s="1"/>
      <c r="ES472" s="1"/>
      <c r="ET472" s="1"/>
      <c r="EU472" s="1"/>
      <c r="EV472" s="1"/>
      <c r="EW472" s="1"/>
      <c r="EX472" s="1"/>
      <c r="EY472" s="1"/>
      <c r="EZ472" s="1"/>
      <c r="FA472" s="1"/>
      <c r="FB472" s="1"/>
      <c r="FC472" s="1"/>
      <c r="FD472" s="1"/>
      <c r="FE472" s="1"/>
      <c r="FF472" s="1"/>
      <c r="FG472" s="1"/>
      <c r="FH472" s="1"/>
      <c r="FI472" s="1"/>
      <c r="FJ472" s="1"/>
      <c r="FK472" s="1"/>
      <c r="FL472" s="1"/>
      <c r="FM472" s="1"/>
      <c r="FN472" s="1"/>
      <c r="FO472" s="1"/>
      <c r="FP472" s="1"/>
      <c r="FQ472" s="1"/>
      <c r="FR472" s="2"/>
      <c r="FS472" s="1"/>
    </row>
    <row r="473" spans="1:175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R473" s="1"/>
      <c r="S473" s="1"/>
      <c r="T473" s="1"/>
      <c r="U473" s="1"/>
      <c r="V473" s="1"/>
      <c r="Y473" s="1"/>
      <c r="Z473" s="2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U473" s="1"/>
      <c r="AW473" s="1"/>
      <c r="AX473" s="1"/>
      <c r="AY473" s="1"/>
      <c r="AZ473" s="1"/>
      <c r="BA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1"/>
      <c r="DR473" s="1"/>
      <c r="DS473" s="1"/>
      <c r="DT473" s="1"/>
      <c r="DU473" s="1"/>
      <c r="DV473" s="1"/>
      <c r="DW473" s="1"/>
      <c r="DX473" s="1"/>
      <c r="DY473" s="1"/>
      <c r="DZ473" s="1"/>
      <c r="EA473" s="1"/>
      <c r="EB473" s="1"/>
      <c r="EC473" s="1"/>
      <c r="ED473" s="1"/>
      <c r="EE473" s="1"/>
      <c r="EF473" s="1"/>
      <c r="EG473" s="1"/>
      <c r="EH473" s="1"/>
      <c r="EI473" s="1"/>
      <c r="EJ473" s="1"/>
      <c r="EK473" s="1"/>
      <c r="EL473" s="1"/>
      <c r="EM473" s="1"/>
      <c r="EN473" s="1"/>
      <c r="EO473" s="1"/>
      <c r="EP473" s="1"/>
      <c r="EQ473" s="1"/>
      <c r="ER473" s="1"/>
      <c r="ES473" s="1"/>
      <c r="ET473" s="1"/>
      <c r="EU473" s="1"/>
      <c r="EV473" s="1"/>
      <c r="EW473" s="1"/>
      <c r="EX473" s="1"/>
      <c r="EY473" s="1"/>
      <c r="EZ473" s="1"/>
      <c r="FA473" s="1"/>
      <c r="FB473" s="1"/>
      <c r="FC473" s="1"/>
      <c r="FD473" s="1"/>
      <c r="FE473" s="1"/>
      <c r="FF473" s="1"/>
      <c r="FG473" s="1"/>
      <c r="FH473" s="1"/>
      <c r="FI473" s="1"/>
      <c r="FJ473" s="1"/>
      <c r="FK473" s="1"/>
      <c r="FL473" s="1"/>
      <c r="FM473" s="1"/>
      <c r="FN473" s="1"/>
      <c r="FO473" s="1"/>
      <c r="FP473" s="1"/>
      <c r="FQ473" s="1"/>
      <c r="FR473" s="2"/>
      <c r="FS473" s="1"/>
    </row>
    <row r="474" spans="1:175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R474" s="1"/>
      <c r="S474" s="1"/>
      <c r="T474" s="1"/>
      <c r="U474" s="1"/>
      <c r="V474" s="1"/>
      <c r="Y474" s="1"/>
      <c r="Z474" s="2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U474" s="1"/>
      <c r="AW474" s="1"/>
      <c r="AX474" s="1"/>
      <c r="AY474" s="1"/>
      <c r="AZ474" s="1"/>
      <c r="BA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H474" s="1"/>
      <c r="EI474" s="1"/>
      <c r="EJ474" s="1"/>
      <c r="EK474" s="1"/>
      <c r="EL474" s="1"/>
      <c r="EM474" s="1"/>
      <c r="EN474" s="1"/>
      <c r="EO474" s="1"/>
      <c r="EP474" s="1"/>
      <c r="EQ474" s="1"/>
      <c r="ER474" s="1"/>
      <c r="ES474" s="1"/>
      <c r="ET474" s="1"/>
      <c r="EU474" s="1"/>
      <c r="EV474" s="1"/>
      <c r="EW474" s="1"/>
      <c r="EX474" s="1"/>
      <c r="EY474" s="1"/>
      <c r="EZ474" s="1"/>
      <c r="FA474" s="1"/>
      <c r="FB474" s="1"/>
      <c r="FC474" s="1"/>
      <c r="FD474" s="1"/>
      <c r="FE474" s="1"/>
      <c r="FF474" s="1"/>
      <c r="FG474" s="1"/>
      <c r="FH474" s="1"/>
      <c r="FI474" s="1"/>
      <c r="FJ474" s="1"/>
      <c r="FK474" s="1"/>
      <c r="FL474" s="1"/>
      <c r="FM474" s="1"/>
      <c r="FN474" s="1"/>
      <c r="FO474" s="1"/>
      <c r="FP474" s="1"/>
      <c r="FQ474" s="1"/>
      <c r="FR474" s="2"/>
      <c r="FS474" s="1"/>
    </row>
    <row r="475" spans="1:175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R475" s="1"/>
      <c r="S475" s="1"/>
      <c r="T475" s="1"/>
      <c r="U475" s="1"/>
      <c r="V475" s="1"/>
      <c r="Y475" s="1"/>
      <c r="Z475" s="2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U475" s="1"/>
      <c r="AW475" s="1"/>
      <c r="AX475" s="1"/>
      <c r="AY475" s="1"/>
      <c r="AZ475" s="1"/>
      <c r="BA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DR475" s="1"/>
      <c r="DS475" s="1"/>
      <c r="DT475" s="1"/>
      <c r="DU475" s="1"/>
      <c r="DV475" s="1"/>
      <c r="DW475" s="1"/>
      <c r="DX475" s="1"/>
      <c r="DY475" s="1"/>
      <c r="DZ475" s="1"/>
      <c r="EA475" s="1"/>
      <c r="EB475" s="1"/>
      <c r="EC475" s="1"/>
      <c r="ED475" s="1"/>
      <c r="EE475" s="1"/>
      <c r="EF475" s="1"/>
      <c r="EG475" s="1"/>
      <c r="EH475" s="1"/>
      <c r="EI475" s="1"/>
      <c r="EJ475" s="1"/>
      <c r="EK475" s="1"/>
      <c r="EL475" s="1"/>
      <c r="EM475" s="1"/>
      <c r="EN475" s="1"/>
      <c r="EO475" s="1"/>
      <c r="EP475" s="1"/>
      <c r="EQ475" s="1"/>
      <c r="ER475" s="1"/>
      <c r="ES475" s="1"/>
      <c r="ET475" s="1"/>
      <c r="EU475" s="1"/>
      <c r="EV475" s="1"/>
      <c r="EW475" s="1"/>
      <c r="EX475" s="1"/>
      <c r="EY475" s="1"/>
      <c r="EZ475" s="1"/>
      <c r="FA475" s="1"/>
      <c r="FB475" s="1"/>
      <c r="FC475" s="1"/>
      <c r="FD475" s="1"/>
      <c r="FE475" s="1"/>
      <c r="FF475" s="1"/>
      <c r="FG475" s="1"/>
      <c r="FH475" s="1"/>
      <c r="FI475" s="1"/>
      <c r="FJ475" s="1"/>
      <c r="FK475" s="1"/>
      <c r="FL475" s="1"/>
      <c r="FM475" s="1"/>
      <c r="FN475" s="1"/>
      <c r="FO475" s="1"/>
      <c r="FP475" s="1"/>
      <c r="FQ475" s="1"/>
      <c r="FR475" s="2"/>
      <c r="FS475" s="1"/>
    </row>
    <row r="476" spans="1:175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R476" s="1"/>
      <c r="S476" s="1"/>
      <c r="T476" s="1"/>
      <c r="U476" s="1"/>
      <c r="V476" s="1"/>
      <c r="Y476" s="1"/>
      <c r="Z476" s="2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U476" s="1"/>
      <c r="AW476" s="1"/>
      <c r="AX476" s="1"/>
      <c r="AY476" s="1"/>
      <c r="AZ476" s="1"/>
      <c r="BA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H476" s="1"/>
      <c r="EI476" s="1"/>
      <c r="EJ476" s="1"/>
      <c r="EK476" s="1"/>
      <c r="EL476" s="1"/>
      <c r="EM476" s="1"/>
      <c r="EN476" s="1"/>
      <c r="EO476" s="1"/>
      <c r="EP476" s="1"/>
      <c r="EQ476" s="1"/>
      <c r="ER476" s="1"/>
      <c r="ES476" s="1"/>
      <c r="ET476" s="1"/>
      <c r="EU476" s="1"/>
      <c r="EV476" s="1"/>
      <c r="EW476" s="1"/>
      <c r="EX476" s="1"/>
      <c r="EY476" s="1"/>
      <c r="EZ476" s="1"/>
      <c r="FA476" s="1"/>
      <c r="FB476" s="1"/>
      <c r="FC476" s="1"/>
      <c r="FD476" s="1"/>
      <c r="FE476" s="1"/>
      <c r="FF476" s="1"/>
      <c r="FG476" s="1"/>
      <c r="FH476" s="1"/>
      <c r="FI476" s="1"/>
      <c r="FJ476" s="1"/>
      <c r="FK476" s="1"/>
      <c r="FL476" s="1"/>
      <c r="FM476" s="1"/>
      <c r="FN476" s="1"/>
      <c r="FO476" s="1"/>
      <c r="FP476" s="1"/>
      <c r="FQ476" s="1"/>
      <c r="FR476" s="2"/>
      <c r="FS476" s="1"/>
    </row>
    <row r="477" spans="1:175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R477" s="1"/>
      <c r="S477" s="1"/>
      <c r="T477" s="1"/>
      <c r="U477" s="1"/>
      <c r="V477" s="1"/>
      <c r="Y477" s="1"/>
      <c r="Z477" s="2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U477" s="1"/>
      <c r="AW477" s="1"/>
      <c r="AX477" s="1"/>
      <c r="AY477" s="1"/>
      <c r="AZ477" s="1"/>
      <c r="BA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1"/>
      <c r="DR477" s="1"/>
      <c r="DS477" s="1"/>
      <c r="DT477" s="1"/>
      <c r="DU477" s="1"/>
      <c r="DV477" s="1"/>
      <c r="DW477" s="1"/>
      <c r="DX477" s="1"/>
      <c r="DY477" s="1"/>
      <c r="DZ477" s="1"/>
      <c r="EA477" s="1"/>
      <c r="EB477" s="1"/>
      <c r="EC477" s="1"/>
      <c r="ED477" s="1"/>
      <c r="EE477" s="1"/>
      <c r="EF477" s="1"/>
      <c r="EG477" s="1"/>
      <c r="EH477" s="1"/>
      <c r="EI477" s="1"/>
      <c r="EJ477" s="1"/>
      <c r="EK477" s="1"/>
      <c r="EL477" s="1"/>
      <c r="EM477" s="1"/>
      <c r="EN477" s="1"/>
      <c r="EO477" s="1"/>
      <c r="EP477" s="1"/>
      <c r="EQ477" s="1"/>
      <c r="ER477" s="1"/>
      <c r="ES477" s="1"/>
      <c r="ET477" s="1"/>
      <c r="EU477" s="1"/>
      <c r="EV477" s="1"/>
      <c r="EW477" s="1"/>
      <c r="EX477" s="1"/>
      <c r="EY477" s="1"/>
      <c r="EZ477" s="1"/>
      <c r="FA477" s="1"/>
      <c r="FB477" s="1"/>
      <c r="FC477" s="1"/>
      <c r="FD477" s="1"/>
      <c r="FE477" s="1"/>
      <c r="FF477" s="1"/>
      <c r="FG477" s="1"/>
      <c r="FH477" s="1"/>
      <c r="FI477" s="1"/>
      <c r="FJ477" s="1"/>
      <c r="FK477" s="1"/>
      <c r="FL477" s="1"/>
      <c r="FM477" s="1"/>
      <c r="FN477" s="1"/>
      <c r="FO477" s="1"/>
      <c r="FP477" s="1"/>
      <c r="FQ477" s="1"/>
      <c r="FR477" s="2"/>
      <c r="FS477" s="1"/>
    </row>
    <row r="478" spans="1:175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R478" s="1"/>
      <c r="S478" s="1"/>
      <c r="T478" s="1"/>
      <c r="U478" s="1"/>
      <c r="V478" s="1"/>
      <c r="Y478" s="1"/>
      <c r="Z478" s="2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U478" s="1"/>
      <c r="AW478" s="1"/>
      <c r="AX478" s="1"/>
      <c r="AY478" s="1"/>
      <c r="AZ478" s="1"/>
      <c r="BA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H478" s="1"/>
      <c r="EI478" s="1"/>
      <c r="EJ478" s="1"/>
      <c r="EK478" s="1"/>
      <c r="EL478" s="1"/>
      <c r="EM478" s="1"/>
      <c r="EN478" s="1"/>
      <c r="EO478" s="1"/>
      <c r="EP478" s="1"/>
      <c r="EQ478" s="1"/>
      <c r="ER478" s="1"/>
      <c r="ES478" s="1"/>
      <c r="ET478" s="1"/>
      <c r="EU478" s="1"/>
      <c r="EV478" s="1"/>
      <c r="EW478" s="1"/>
      <c r="EX478" s="1"/>
      <c r="EY478" s="1"/>
      <c r="EZ478" s="1"/>
      <c r="FA478" s="1"/>
      <c r="FB478" s="1"/>
      <c r="FC478" s="1"/>
      <c r="FD478" s="1"/>
      <c r="FE478" s="1"/>
      <c r="FF478" s="1"/>
      <c r="FG478" s="1"/>
      <c r="FH478" s="1"/>
      <c r="FI478" s="1"/>
      <c r="FJ478" s="1"/>
      <c r="FK478" s="1"/>
      <c r="FL478" s="1"/>
      <c r="FM478" s="1"/>
      <c r="FN478" s="1"/>
      <c r="FO478" s="1"/>
      <c r="FP478" s="1"/>
      <c r="FQ478" s="1"/>
      <c r="FR478" s="2"/>
      <c r="FS478" s="1"/>
    </row>
    <row r="479" spans="1:175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R479" s="1"/>
      <c r="S479" s="1"/>
      <c r="T479" s="1"/>
      <c r="U479" s="1"/>
      <c r="V479" s="1"/>
      <c r="Y479" s="1"/>
      <c r="Z479" s="2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U479" s="1"/>
      <c r="AW479" s="1"/>
      <c r="AX479" s="1"/>
      <c r="AY479" s="1"/>
      <c r="AZ479" s="1"/>
      <c r="BA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1"/>
      <c r="DR479" s="1"/>
      <c r="DS479" s="1"/>
      <c r="DT479" s="1"/>
      <c r="DU479" s="1"/>
      <c r="DV479" s="1"/>
      <c r="DW479" s="1"/>
      <c r="DX479" s="1"/>
      <c r="DY479" s="1"/>
      <c r="DZ479" s="1"/>
      <c r="EA479" s="1"/>
      <c r="EB479" s="1"/>
      <c r="EC479" s="1"/>
      <c r="ED479" s="1"/>
      <c r="EE479" s="1"/>
      <c r="EF479" s="1"/>
      <c r="EG479" s="1"/>
      <c r="EH479" s="1"/>
      <c r="EI479" s="1"/>
      <c r="EJ479" s="1"/>
      <c r="EK479" s="1"/>
      <c r="EL479" s="1"/>
      <c r="EM479" s="1"/>
      <c r="EN479" s="1"/>
      <c r="EO479" s="1"/>
      <c r="EP479" s="1"/>
      <c r="EQ479" s="1"/>
      <c r="ER479" s="1"/>
      <c r="ES479" s="1"/>
      <c r="ET479" s="1"/>
      <c r="EU479" s="1"/>
      <c r="EV479" s="1"/>
      <c r="EW479" s="1"/>
      <c r="EX479" s="1"/>
      <c r="EY479" s="1"/>
      <c r="EZ479" s="1"/>
      <c r="FA479" s="1"/>
      <c r="FB479" s="1"/>
      <c r="FC479" s="1"/>
      <c r="FD479" s="1"/>
      <c r="FE479" s="1"/>
      <c r="FF479" s="1"/>
      <c r="FG479" s="1"/>
      <c r="FH479" s="1"/>
      <c r="FI479" s="1"/>
      <c r="FJ479" s="1"/>
      <c r="FK479" s="1"/>
      <c r="FL479" s="1"/>
      <c r="FM479" s="1"/>
      <c r="FN479" s="1"/>
      <c r="FO479" s="1"/>
      <c r="FP479" s="1"/>
      <c r="FQ479" s="1"/>
      <c r="FR479" s="2"/>
      <c r="FS479" s="1"/>
    </row>
    <row r="480" spans="1:175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R480" s="1"/>
      <c r="S480" s="1"/>
      <c r="T480" s="1"/>
      <c r="U480" s="1"/>
      <c r="V480" s="1"/>
      <c r="Y480" s="1"/>
      <c r="Z480" s="2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U480" s="1"/>
      <c r="AW480" s="1"/>
      <c r="AX480" s="1"/>
      <c r="AY480" s="1"/>
      <c r="AZ480" s="1"/>
      <c r="BA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H480" s="1"/>
      <c r="EI480" s="1"/>
      <c r="EJ480" s="1"/>
      <c r="EK480" s="1"/>
      <c r="EL480" s="1"/>
      <c r="EM480" s="1"/>
      <c r="EN480" s="1"/>
      <c r="EO480" s="1"/>
      <c r="EP480" s="1"/>
      <c r="EQ480" s="1"/>
      <c r="ER480" s="1"/>
      <c r="ES480" s="1"/>
      <c r="ET480" s="1"/>
      <c r="EU480" s="1"/>
      <c r="EV480" s="1"/>
      <c r="EW480" s="1"/>
      <c r="EX480" s="1"/>
      <c r="EY480" s="1"/>
      <c r="EZ480" s="1"/>
      <c r="FA480" s="1"/>
      <c r="FB480" s="1"/>
      <c r="FC480" s="1"/>
      <c r="FD480" s="1"/>
      <c r="FE480" s="1"/>
      <c r="FF480" s="1"/>
      <c r="FG480" s="1"/>
      <c r="FH480" s="1"/>
      <c r="FI480" s="1"/>
      <c r="FJ480" s="1"/>
      <c r="FK480" s="1"/>
      <c r="FL480" s="1"/>
      <c r="FM480" s="1"/>
      <c r="FN480" s="1"/>
      <c r="FO480" s="1"/>
      <c r="FP480" s="1"/>
      <c r="FQ480" s="1"/>
      <c r="FR480" s="2"/>
      <c r="FS480" s="1"/>
    </row>
    <row r="481" spans="1:175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R481" s="1"/>
      <c r="S481" s="1"/>
      <c r="T481" s="1"/>
      <c r="U481" s="1"/>
      <c r="V481" s="1"/>
      <c r="Y481" s="1"/>
      <c r="Z481" s="2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U481" s="1"/>
      <c r="AW481" s="1"/>
      <c r="AX481" s="1"/>
      <c r="AY481" s="1"/>
      <c r="AZ481" s="1"/>
      <c r="BA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  <c r="DP481" s="1"/>
      <c r="DQ481" s="1"/>
      <c r="DR481" s="1"/>
      <c r="DS481" s="1"/>
      <c r="DT481" s="1"/>
      <c r="DU481" s="1"/>
      <c r="DV481" s="1"/>
      <c r="DW481" s="1"/>
      <c r="DX481" s="1"/>
      <c r="DY481" s="1"/>
      <c r="DZ481" s="1"/>
      <c r="EA481" s="1"/>
      <c r="EB481" s="1"/>
      <c r="EC481" s="1"/>
      <c r="ED481" s="1"/>
      <c r="EE481" s="1"/>
      <c r="EF481" s="1"/>
      <c r="EG481" s="1"/>
      <c r="EH481" s="1"/>
      <c r="EI481" s="1"/>
      <c r="EJ481" s="1"/>
      <c r="EK481" s="1"/>
      <c r="EL481" s="1"/>
      <c r="EM481" s="1"/>
      <c r="EN481" s="1"/>
      <c r="EO481" s="1"/>
      <c r="EP481" s="1"/>
      <c r="EQ481" s="1"/>
      <c r="ER481" s="1"/>
      <c r="ES481" s="1"/>
      <c r="ET481" s="1"/>
      <c r="EU481" s="1"/>
      <c r="EV481" s="1"/>
      <c r="EW481" s="1"/>
      <c r="EX481" s="1"/>
      <c r="EY481" s="1"/>
      <c r="EZ481" s="1"/>
      <c r="FA481" s="1"/>
      <c r="FB481" s="1"/>
      <c r="FC481" s="1"/>
      <c r="FD481" s="1"/>
      <c r="FE481" s="1"/>
      <c r="FF481" s="1"/>
      <c r="FG481" s="1"/>
      <c r="FH481" s="1"/>
      <c r="FI481" s="1"/>
      <c r="FJ481" s="1"/>
      <c r="FK481" s="1"/>
      <c r="FL481" s="1"/>
      <c r="FM481" s="1"/>
      <c r="FN481" s="1"/>
      <c r="FO481" s="1"/>
      <c r="FP481" s="1"/>
      <c r="FQ481" s="1"/>
      <c r="FR481" s="2"/>
      <c r="FS481" s="1"/>
    </row>
    <row r="482" spans="1:175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R482" s="1"/>
      <c r="S482" s="1"/>
      <c r="T482" s="1"/>
      <c r="U482" s="1"/>
      <c r="V482" s="1"/>
      <c r="Y482" s="1"/>
      <c r="Z482" s="2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U482" s="1"/>
      <c r="AW482" s="1"/>
      <c r="AX482" s="1"/>
      <c r="AY482" s="1"/>
      <c r="AZ482" s="1"/>
      <c r="BA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H482" s="1"/>
      <c r="EI482" s="1"/>
      <c r="EJ482" s="1"/>
      <c r="EK482" s="1"/>
      <c r="EL482" s="1"/>
      <c r="EM482" s="1"/>
      <c r="EN482" s="1"/>
      <c r="EO482" s="1"/>
      <c r="EP482" s="1"/>
      <c r="EQ482" s="1"/>
      <c r="ER482" s="1"/>
      <c r="ES482" s="1"/>
      <c r="ET482" s="1"/>
      <c r="EU482" s="1"/>
      <c r="EV482" s="1"/>
      <c r="EW482" s="1"/>
      <c r="EX482" s="1"/>
      <c r="EY482" s="1"/>
      <c r="EZ482" s="1"/>
      <c r="FA482" s="1"/>
      <c r="FB482" s="1"/>
      <c r="FC482" s="1"/>
      <c r="FD482" s="1"/>
      <c r="FE482" s="1"/>
      <c r="FF482" s="1"/>
      <c r="FG482" s="1"/>
      <c r="FH482" s="1"/>
      <c r="FI482" s="1"/>
      <c r="FJ482" s="1"/>
      <c r="FK482" s="1"/>
      <c r="FL482" s="1"/>
      <c r="FM482" s="1"/>
      <c r="FN482" s="1"/>
      <c r="FO482" s="1"/>
      <c r="FP482" s="1"/>
      <c r="FQ482" s="1"/>
      <c r="FR482" s="2"/>
      <c r="FS482" s="1"/>
    </row>
    <row r="483" spans="1:175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R483" s="1"/>
      <c r="S483" s="1"/>
      <c r="T483" s="1"/>
      <c r="U483" s="1"/>
      <c r="V483" s="1"/>
      <c r="Y483" s="1"/>
      <c r="Z483" s="2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U483" s="1"/>
      <c r="AW483" s="1"/>
      <c r="AX483" s="1"/>
      <c r="AY483" s="1"/>
      <c r="AZ483" s="1"/>
      <c r="BA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  <c r="DP483" s="1"/>
      <c r="DQ483" s="1"/>
      <c r="DR483" s="1"/>
      <c r="DS483" s="1"/>
      <c r="DT483" s="1"/>
      <c r="DU483" s="1"/>
      <c r="DV483" s="1"/>
      <c r="DW483" s="1"/>
      <c r="DX483" s="1"/>
      <c r="DY483" s="1"/>
      <c r="DZ483" s="1"/>
      <c r="EA483" s="1"/>
      <c r="EB483" s="1"/>
      <c r="EC483" s="1"/>
      <c r="ED483" s="1"/>
      <c r="EE483" s="1"/>
      <c r="EF483" s="1"/>
      <c r="EG483" s="1"/>
      <c r="EH483" s="1"/>
      <c r="EI483" s="1"/>
      <c r="EJ483" s="1"/>
      <c r="EK483" s="1"/>
      <c r="EL483" s="1"/>
      <c r="EM483" s="1"/>
      <c r="EN483" s="1"/>
      <c r="EO483" s="1"/>
      <c r="EP483" s="1"/>
      <c r="EQ483" s="1"/>
      <c r="ER483" s="1"/>
      <c r="ES483" s="1"/>
      <c r="ET483" s="1"/>
      <c r="EU483" s="1"/>
      <c r="EV483" s="1"/>
      <c r="EW483" s="1"/>
      <c r="EX483" s="1"/>
      <c r="EY483" s="1"/>
      <c r="EZ483" s="1"/>
      <c r="FA483" s="1"/>
      <c r="FB483" s="1"/>
      <c r="FC483" s="1"/>
      <c r="FD483" s="1"/>
      <c r="FE483" s="1"/>
      <c r="FF483" s="1"/>
      <c r="FG483" s="1"/>
      <c r="FH483" s="1"/>
      <c r="FI483" s="1"/>
      <c r="FJ483" s="1"/>
      <c r="FK483" s="1"/>
      <c r="FL483" s="1"/>
      <c r="FM483" s="1"/>
      <c r="FN483" s="1"/>
      <c r="FO483" s="1"/>
      <c r="FP483" s="1"/>
      <c r="FQ483" s="1"/>
      <c r="FR483" s="2"/>
      <c r="FS483" s="1"/>
    </row>
    <row r="484" spans="1:175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R484" s="1"/>
      <c r="S484" s="1"/>
      <c r="T484" s="1"/>
      <c r="U484" s="1"/>
      <c r="V484" s="1"/>
      <c r="Y484" s="1"/>
      <c r="Z484" s="2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U484" s="1"/>
      <c r="AW484" s="1"/>
      <c r="AX484" s="1"/>
      <c r="AY484" s="1"/>
      <c r="AZ484" s="1"/>
      <c r="BA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H484" s="1"/>
      <c r="EI484" s="1"/>
      <c r="EJ484" s="1"/>
      <c r="EK484" s="1"/>
      <c r="EL484" s="1"/>
      <c r="EM484" s="1"/>
      <c r="EN484" s="1"/>
      <c r="EO484" s="1"/>
      <c r="EP484" s="1"/>
      <c r="EQ484" s="1"/>
      <c r="ER484" s="1"/>
      <c r="ES484" s="1"/>
      <c r="ET484" s="1"/>
      <c r="EU484" s="1"/>
      <c r="EV484" s="1"/>
      <c r="EW484" s="1"/>
      <c r="EX484" s="1"/>
      <c r="EY484" s="1"/>
      <c r="EZ484" s="1"/>
      <c r="FA484" s="1"/>
      <c r="FB484" s="1"/>
      <c r="FC484" s="1"/>
      <c r="FD484" s="1"/>
      <c r="FE484" s="1"/>
      <c r="FF484" s="1"/>
      <c r="FG484" s="1"/>
      <c r="FH484" s="1"/>
      <c r="FI484" s="1"/>
      <c r="FJ484" s="1"/>
      <c r="FK484" s="1"/>
      <c r="FL484" s="1"/>
      <c r="FM484" s="1"/>
      <c r="FN484" s="1"/>
      <c r="FO484" s="1"/>
      <c r="FP484" s="1"/>
      <c r="FQ484" s="1"/>
      <c r="FR484" s="2"/>
      <c r="FS484" s="1"/>
    </row>
    <row r="485" spans="1:175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R485" s="1"/>
      <c r="S485" s="1"/>
      <c r="T485" s="1"/>
      <c r="U485" s="1"/>
      <c r="V485" s="1"/>
      <c r="Y485" s="1"/>
      <c r="Z485" s="2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U485" s="1"/>
      <c r="AW485" s="1"/>
      <c r="AX485" s="1"/>
      <c r="AY485" s="1"/>
      <c r="AZ485" s="1"/>
      <c r="BA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  <c r="DP485" s="1"/>
      <c r="DQ485" s="1"/>
      <c r="DR485" s="1"/>
      <c r="DS485" s="1"/>
      <c r="DT485" s="1"/>
      <c r="DU485" s="1"/>
      <c r="DV485" s="1"/>
      <c r="DW485" s="1"/>
      <c r="DX485" s="1"/>
      <c r="DY485" s="1"/>
      <c r="DZ485" s="1"/>
      <c r="EA485" s="1"/>
      <c r="EB485" s="1"/>
      <c r="EC485" s="1"/>
      <c r="ED485" s="1"/>
      <c r="EE485" s="1"/>
      <c r="EF485" s="1"/>
      <c r="EG485" s="1"/>
      <c r="EH485" s="1"/>
      <c r="EI485" s="1"/>
      <c r="EJ485" s="1"/>
      <c r="EK485" s="1"/>
      <c r="EL485" s="1"/>
      <c r="EM485" s="1"/>
      <c r="EN485" s="1"/>
      <c r="EO485" s="1"/>
      <c r="EP485" s="1"/>
      <c r="EQ485" s="1"/>
      <c r="ER485" s="1"/>
      <c r="ES485" s="1"/>
      <c r="ET485" s="1"/>
      <c r="EU485" s="1"/>
      <c r="EV485" s="1"/>
      <c r="EW485" s="1"/>
      <c r="EX485" s="1"/>
      <c r="EY485" s="1"/>
      <c r="EZ485" s="1"/>
      <c r="FA485" s="1"/>
      <c r="FB485" s="1"/>
      <c r="FC485" s="1"/>
      <c r="FD485" s="1"/>
      <c r="FE485" s="1"/>
      <c r="FF485" s="1"/>
      <c r="FG485" s="1"/>
      <c r="FH485" s="1"/>
      <c r="FI485" s="1"/>
      <c r="FJ485" s="1"/>
      <c r="FK485" s="1"/>
      <c r="FL485" s="1"/>
      <c r="FM485" s="1"/>
      <c r="FN485" s="1"/>
      <c r="FO485" s="1"/>
      <c r="FP485" s="1"/>
      <c r="FQ485" s="1"/>
      <c r="FR485" s="2"/>
      <c r="FS485" s="1"/>
    </row>
    <row r="486" spans="1:175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R486" s="1"/>
      <c r="S486" s="1"/>
      <c r="T486" s="1"/>
      <c r="U486" s="1"/>
      <c r="V486" s="1"/>
      <c r="Y486" s="1"/>
      <c r="Z486" s="2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U486" s="1"/>
      <c r="AW486" s="1"/>
      <c r="AX486" s="1"/>
      <c r="AY486" s="1"/>
      <c r="AZ486" s="1"/>
      <c r="BA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H486" s="1"/>
      <c r="EI486" s="1"/>
      <c r="EJ486" s="1"/>
      <c r="EK486" s="1"/>
      <c r="EL486" s="1"/>
      <c r="EM486" s="1"/>
      <c r="EN486" s="1"/>
      <c r="EO486" s="1"/>
      <c r="EP486" s="1"/>
      <c r="EQ486" s="1"/>
      <c r="ER486" s="1"/>
      <c r="ES486" s="1"/>
      <c r="ET486" s="1"/>
      <c r="EU486" s="1"/>
      <c r="EV486" s="1"/>
      <c r="EW486" s="1"/>
      <c r="EX486" s="1"/>
      <c r="EY486" s="1"/>
      <c r="EZ486" s="1"/>
      <c r="FA486" s="1"/>
      <c r="FB486" s="1"/>
      <c r="FC486" s="1"/>
      <c r="FD486" s="1"/>
      <c r="FE486" s="1"/>
      <c r="FF486" s="1"/>
      <c r="FG486" s="1"/>
      <c r="FH486" s="1"/>
      <c r="FI486" s="1"/>
      <c r="FJ486" s="1"/>
      <c r="FK486" s="1"/>
      <c r="FL486" s="1"/>
      <c r="FM486" s="1"/>
      <c r="FN486" s="1"/>
      <c r="FO486" s="1"/>
      <c r="FP486" s="1"/>
      <c r="FQ486" s="1"/>
      <c r="FR486" s="2"/>
      <c r="FS486" s="1"/>
    </row>
    <row r="487" spans="1:175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R487" s="1"/>
      <c r="S487" s="1"/>
      <c r="T487" s="1"/>
      <c r="U487" s="1"/>
      <c r="V487" s="1"/>
      <c r="Y487" s="1"/>
      <c r="Z487" s="2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U487" s="1"/>
      <c r="AW487" s="1"/>
      <c r="AX487" s="1"/>
      <c r="AY487" s="1"/>
      <c r="AZ487" s="1"/>
      <c r="BA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  <c r="DM487" s="1"/>
      <c r="DN487" s="1"/>
      <c r="DO487" s="1"/>
      <c r="DP487" s="1"/>
      <c r="DQ487" s="1"/>
      <c r="DR487" s="1"/>
      <c r="DS487" s="1"/>
      <c r="DT487" s="1"/>
      <c r="DU487" s="1"/>
      <c r="DV487" s="1"/>
      <c r="DW487" s="1"/>
      <c r="DX487" s="1"/>
      <c r="DY487" s="1"/>
      <c r="DZ487" s="1"/>
      <c r="EA487" s="1"/>
      <c r="EB487" s="1"/>
      <c r="EC487" s="1"/>
      <c r="ED487" s="1"/>
      <c r="EE487" s="1"/>
      <c r="EF487" s="1"/>
      <c r="EG487" s="1"/>
      <c r="EH487" s="1"/>
      <c r="EI487" s="1"/>
      <c r="EJ487" s="1"/>
      <c r="EK487" s="1"/>
      <c r="EL487" s="1"/>
      <c r="EM487" s="1"/>
      <c r="EN487" s="1"/>
      <c r="EO487" s="1"/>
      <c r="EP487" s="1"/>
      <c r="EQ487" s="1"/>
      <c r="ER487" s="1"/>
      <c r="ES487" s="1"/>
      <c r="ET487" s="1"/>
      <c r="EU487" s="1"/>
      <c r="EV487" s="1"/>
      <c r="EW487" s="1"/>
      <c r="EX487" s="1"/>
      <c r="EY487" s="1"/>
      <c r="EZ487" s="1"/>
      <c r="FA487" s="1"/>
      <c r="FB487" s="1"/>
      <c r="FC487" s="1"/>
      <c r="FD487" s="1"/>
      <c r="FE487" s="1"/>
      <c r="FF487" s="1"/>
      <c r="FG487" s="1"/>
      <c r="FH487" s="1"/>
      <c r="FI487" s="1"/>
      <c r="FJ487" s="1"/>
      <c r="FK487" s="1"/>
      <c r="FL487" s="1"/>
      <c r="FM487" s="1"/>
      <c r="FN487" s="1"/>
      <c r="FO487" s="1"/>
      <c r="FP487" s="1"/>
      <c r="FQ487" s="1"/>
      <c r="FR487" s="2"/>
      <c r="FS487" s="1"/>
    </row>
    <row r="488" spans="1:175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R488" s="1"/>
      <c r="S488" s="1"/>
      <c r="T488" s="1"/>
      <c r="U488" s="1"/>
      <c r="V488" s="1"/>
      <c r="Y488" s="1"/>
      <c r="Z488" s="2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U488" s="1"/>
      <c r="AW488" s="1"/>
      <c r="AX488" s="1"/>
      <c r="AY488" s="1"/>
      <c r="AZ488" s="1"/>
      <c r="BA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H488" s="1"/>
      <c r="EI488" s="1"/>
      <c r="EJ488" s="1"/>
      <c r="EK488" s="1"/>
      <c r="EL488" s="1"/>
      <c r="EM488" s="1"/>
      <c r="EN488" s="1"/>
      <c r="EO488" s="1"/>
      <c r="EP488" s="1"/>
      <c r="EQ488" s="1"/>
      <c r="ER488" s="1"/>
      <c r="ES488" s="1"/>
      <c r="ET488" s="1"/>
      <c r="EU488" s="1"/>
      <c r="EV488" s="1"/>
      <c r="EW488" s="1"/>
      <c r="EX488" s="1"/>
      <c r="EY488" s="1"/>
      <c r="EZ488" s="1"/>
      <c r="FA488" s="1"/>
      <c r="FB488" s="1"/>
      <c r="FC488" s="1"/>
      <c r="FD488" s="1"/>
      <c r="FE488" s="1"/>
      <c r="FF488" s="1"/>
      <c r="FG488" s="1"/>
      <c r="FH488" s="1"/>
      <c r="FI488" s="1"/>
      <c r="FJ488" s="1"/>
      <c r="FK488" s="1"/>
      <c r="FL488" s="1"/>
      <c r="FM488" s="1"/>
      <c r="FN488" s="1"/>
      <c r="FO488" s="1"/>
      <c r="FP488" s="1"/>
      <c r="FQ488" s="1"/>
      <c r="FR488" s="2"/>
      <c r="FS488" s="1"/>
    </row>
    <row r="489" spans="1:175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R489" s="1"/>
      <c r="S489" s="1"/>
      <c r="T489" s="1"/>
      <c r="U489" s="1"/>
      <c r="V489" s="1"/>
      <c r="Y489" s="1"/>
      <c r="Z489" s="2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U489" s="1"/>
      <c r="AW489" s="1"/>
      <c r="AX489" s="1"/>
      <c r="AY489" s="1"/>
      <c r="AZ489" s="1"/>
      <c r="BA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  <c r="DN489" s="1"/>
      <c r="DO489" s="1"/>
      <c r="DP489" s="1"/>
      <c r="DQ489" s="1"/>
      <c r="DR489" s="1"/>
      <c r="DS489" s="1"/>
      <c r="DT489" s="1"/>
      <c r="DU489" s="1"/>
      <c r="DV489" s="1"/>
      <c r="DW489" s="1"/>
      <c r="DX489" s="1"/>
      <c r="DY489" s="1"/>
      <c r="DZ489" s="1"/>
      <c r="EA489" s="1"/>
      <c r="EB489" s="1"/>
      <c r="EC489" s="1"/>
      <c r="ED489" s="1"/>
      <c r="EE489" s="1"/>
      <c r="EF489" s="1"/>
      <c r="EG489" s="1"/>
      <c r="EH489" s="1"/>
      <c r="EI489" s="1"/>
      <c r="EJ489" s="1"/>
      <c r="EK489" s="1"/>
      <c r="EL489" s="1"/>
      <c r="EM489" s="1"/>
      <c r="EN489" s="1"/>
      <c r="EO489" s="1"/>
      <c r="EP489" s="1"/>
      <c r="EQ489" s="1"/>
      <c r="ER489" s="1"/>
      <c r="ES489" s="1"/>
      <c r="ET489" s="1"/>
      <c r="EU489" s="1"/>
      <c r="EV489" s="1"/>
      <c r="EW489" s="1"/>
      <c r="EX489" s="1"/>
      <c r="EY489" s="1"/>
      <c r="EZ489" s="1"/>
      <c r="FA489" s="1"/>
      <c r="FB489" s="1"/>
      <c r="FC489" s="1"/>
      <c r="FD489" s="1"/>
      <c r="FE489" s="1"/>
      <c r="FF489" s="1"/>
      <c r="FG489" s="1"/>
      <c r="FH489" s="1"/>
      <c r="FI489" s="1"/>
      <c r="FJ489" s="1"/>
      <c r="FK489" s="1"/>
      <c r="FL489" s="1"/>
      <c r="FM489" s="1"/>
      <c r="FN489" s="1"/>
      <c r="FO489" s="1"/>
      <c r="FP489" s="1"/>
      <c r="FQ489" s="1"/>
      <c r="FR489" s="2"/>
      <c r="FS489" s="1"/>
    </row>
    <row r="490" spans="1:175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R490" s="1"/>
      <c r="S490" s="1"/>
      <c r="T490" s="1"/>
      <c r="U490" s="1"/>
      <c r="V490" s="1"/>
      <c r="Y490" s="1"/>
      <c r="Z490" s="2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U490" s="1"/>
      <c r="AW490" s="1"/>
      <c r="AX490" s="1"/>
      <c r="AY490" s="1"/>
      <c r="AZ490" s="1"/>
      <c r="BA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H490" s="1"/>
      <c r="EI490" s="1"/>
      <c r="EJ490" s="1"/>
      <c r="EK490" s="1"/>
      <c r="EL490" s="1"/>
      <c r="EM490" s="1"/>
      <c r="EN490" s="1"/>
      <c r="EO490" s="1"/>
      <c r="EP490" s="1"/>
      <c r="EQ490" s="1"/>
      <c r="ER490" s="1"/>
      <c r="ES490" s="1"/>
      <c r="ET490" s="1"/>
      <c r="EU490" s="1"/>
      <c r="EV490" s="1"/>
      <c r="EW490" s="1"/>
      <c r="EX490" s="1"/>
      <c r="EY490" s="1"/>
      <c r="EZ490" s="1"/>
      <c r="FA490" s="1"/>
      <c r="FB490" s="1"/>
      <c r="FC490" s="1"/>
      <c r="FD490" s="1"/>
      <c r="FE490" s="1"/>
      <c r="FF490" s="1"/>
      <c r="FG490" s="1"/>
      <c r="FH490" s="1"/>
      <c r="FI490" s="1"/>
      <c r="FJ490" s="1"/>
      <c r="FK490" s="1"/>
      <c r="FL490" s="1"/>
      <c r="FM490" s="1"/>
      <c r="FN490" s="1"/>
      <c r="FO490" s="1"/>
      <c r="FP490" s="1"/>
      <c r="FQ490" s="1"/>
      <c r="FR490" s="2"/>
      <c r="FS490" s="1"/>
    </row>
    <row r="491" spans="1:175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R491" s="1"/>
      <c r="S491" s="1"/>
      <c r="T491" s="1"/>
      <c r="U491" s="1"/>
      <c r="V491" s="1"/>
      <c r="Y491" s="1"/>
      <c r="Z491" s="2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U491" s="1"/>
      <c r="AW491" s="1"/>
      <c r="AX491" s="1"/>
      <c r="AY491" s="1"/>
      <c r="AZ491" s="1"/>
      <c r="BA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1"/>
      <c r="DR491" s="1"/>
      <c r="DS491" s="1"/>
      <c r="DT491" s="1"/>
      <c r="DU491" s="1"/>
      <c r="DV491" s="1"/>
      <c r="DW491" s="1"/>
      <c r="DX491" s="1"/>
      <c r="DY491" s="1"/>
      <c r="DZ491" s="1"/>
      <c r="EA491" s="1"/>
      <c r="EB491" s="1"/>
      <c r="EC491" s="1"/>
      <c r="ED491" s="1"/>
      <c r="EE491" s="1"/>
      <c r="EF491" s="1"/>
      <c r="EG491" s="1"/>
      <c r="EH491" s="1"/>
      <c r="EI491" s="1"/>
      <c r="EJ491" s="1"/>
      <c r="EK491" s="1"/>
      <c r="EL491" s="1"/>
      <c r="EM491" s="1"/>
      <c r="EN491" s="1"/>
      <c r="EO491" s="1"/>
      <c r="EP491" s="1"/>
      <c r="EQ491" s="1"/>
      <c r="ER491" s="1"/>
      <c r="ES491" s="1"/>
      <c r="ET491" s="1"/>
      <c r="EU491" s="1"/>
      <c r="EV491" s="1"/>
      <c r="EW491" s="1"/>
      <c r="EX491" s="1"/>
      <c r="EY491" s="1"/>
      <c r="EZ491" s="1"/>
      <c r="FA491" s="1"/>
      <c r="FB491" s="1"/>
      <c r="FC491" s="1"/>
      <c r="FD491" s="1"/>
      <c r="FE491" s="1"/>
      <c r="FF491" s="1"/>
      <c r="FG491" s="1"/>
      <c r="FH491" s="1"/>
      <c r="FI491" s="1"/>
      <c r="FJ491" s="1"/>
      <c r="FK491" s="1"/>
      <c r="FL491" s="1"/>
      <c r="FM491" s="1"/>
      <c r="FN491" s="1"/>
      <c r="FO491" s="1"/>
      <c r="FP491" s="1"/>
      <c r="FQ491" s="1"/>
      <c r="FR491" s="2"/>
      <c r="FS491" s="1"/>
    </row>
    <row r="492" spans="1:175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R492" s="1"/>
      <c r="S492" s="1"/>
      <c r="T492" s="1"/>
      <c r="U492" s="1"/>
      <c r="V492" s="1"/>
      <c r="Y492" s="1"/>
      <c r="Z492" s="2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U492" s="1"/>
      <c r="AW492" s="1"/>
      <c r="AX492" s="1"/>
      <c r="AY492" s="1"/>
      <c r="AZ492" s="1"/>
      <c r="BA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  <c r="EG492" s="1"/>
      <c r="EH492" s="1"/>
      <c r="EI492" s="1"/>
      <c r="EJ492" s="1"/>
      <c r="EK492" s="1"/>
      <c r="EL492" s="1"/>
      <c r="EM492" s="1"/>
      <c r="EN492" s="1"/>
      <c r="EO492" s="1"/>
      <c r="EP492" s="1"/>
      <c r="EQ492" s="1"/>
      <c r="ER492" s="1"/>
      <c r="ES492" s="1"/>
      <c r="ET492" s="1"/>
      <c r="EU492" s="1"/>
      <c r="EV492" s="1"/>
      <c r="EW492" s="1"/>
      <c r="EX492" s="1"/>
      <c r="EY492" s="1"/>
      <c r="EZ492" s="1"/>
      <c r="FA492" s="1"/>
      <c r="FB492" s="1"/>
      <c r="FC492" s="1"/>
      <c r="FD492" s="1"/>
      <c r="FE492" s="1"/>
      <c r="FF492" s="1"/>
      <c r="FG492" s="1"/>
      <c r="FH492" s="1"/>
      <c r="FI492" s="1"/>
      <c r="FJ492" s="1"/>
      <c r="FK492" s="1"/>
      <c r="FL492" s="1"/>
      <c r="FM492" s="1"/>
      <c r="FN492" s="1"/>
      <c r="FO492" s="1"/>
      <c r="FP492" s="1"/>
      <c r="FQ492" s="1"/>
      <c r="FR492" s="2"/>
      <c r="FS492" s="1"/>
    </row>
    <row r="493" spans="1:175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R493" s="1"/>
      <c r="S493" s="1"/>
      <c r="T493" s="1"/>
      <c r="U493" s="1"/>
      <c r="V493" s="1"/>
      <c r="Y493" s="1"/>
      <c r="Z493" s="2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U493" s="1"/>
      <c r="AW493" s="1"/>
      <c r="AX493" s="1"/>
      <c r="AY493" s="1"/>
      <c r="AZ493" s="1"/>
      <c r="BA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  <c r="DN493" s="1"/>
      <c r="DO493" s="1"/>
      <c r="DP493" s="1"/>
      <c r="DQ493" s="1"/>
      <c r="DR493" s="1"/>
      <c r="DS493" s="1"/>
      <c r="DT493" s="1"/>
      <c r="DU493" s="1"/>
      <c r="DV493" s="1"/>
      <c r="DW493" s="1"/>
      <c r="DX493" s="1"/>
      <c r="DY493" s="1"/>
      <c r="DZ493" s="1"/>
      <c r="EA493" s="1"/>
      <c r="EB493" s="1"/>
      <c r="EC493" s="1"/>
      <c r="ED493" s="1"/>
      <c r="EE493" s="1"/>
      <c r="EF493" s="1"/>
      <c r="EG493" s="1"/>
      <c r="EH493" s="1"/>
      <c r="EI493" s="1"/>
      <c r="EJ493" s="1"/>
      <c r="EK493" s="1"/>
      <c r="EL493" s="1"/>
      <c r="EM493" s="1"/>
      <c r="EN493" s="1"/>
      <c r="EO493" s="1"/>
      <c r="EP493" s="1"/>
      <c r="EQ493" s="1"/>
      <c r="ER493" s="1"/>
      <c r="ES493" s="1"/>
      <c r="ET493" s="1"/>
      <c r="EU493" s="1"/>
      <c r="EV493" s="1"/>
      <c r="EW493" s="1"/>
      <c r="EX493" s="1"/>
      <c r="EY493" s="1"/>
      <c r="EZ493" s="1"/>
      <c r="FA493" s="1"/>
      <c r="FB493" s="1"/>
      <c r="FC493" s="1"/>
      <c r="FD493" s="1"/>
      <c r="FE493" s="1"/>
      <c r="FF493" s="1"/>
      <c r="FG493" s="1"/>
      <c r="FH493" s="1"/>
      <c r="FI493" s="1"/>
      <c r="FJ493" s="1"/>
      <c r="FK493" s="1"/>
      <c r="FL493" s="1"/>
      <c r="FM493" s="1"/>
      <c r="FN493" s="1"/>
      <c r="FO493" s="1"/>
      <c r="FP493" s="1"/>
      <c r="FQ493" s="1"/>
      <c r="FR493" s="2"/>
      <c r="FS493" s="1"/>
    </row>
    <row r="494" spans="1:175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R494" s="1"/>
      <c r="S494" s="1"/>
      <c r="T494" s="1"/>
      <c r="U494" s="1"/>
      <c r="V494" s="1"/>
      <c r="Y494" s="1"/>
      <c r="Z494" s="2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U494" s="1"/>
      <c r="AW494" s="1"/>
      <c r="AX494" s="1"/>
      <c r="AY494" s="1"/>
      <c r="AZ494" s="1"/>
      <c r="BA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  <c r="EH494" s="1"/>
      <c r="EI494" s="1"/>
      <c r="EJ494" s="1"/>
      <c r="EK494" s="1"/>
      <c r="EL494" s="1"/>
      <c r="EM494" s="1"/>
      <c r="EN494" s="1"/>
      <c r="EO494" s="1"/>
      <c r="EP494" s="1"/>
      <c r="EQ494" s="1"/>
      <c r="ER494" s="1"/>
      <c r="ES494" s="1"/>
      <c r="ET494" s="1"/>
      <c r="EU494" s="1"/>
      <c r="EV494" s="1"/>
      <c r="EW494" s="1"/>
      <c r="EX494" s="1"/>
      <c r="EY494" s="1"/>
      <c r="EZ494" s="1"/>
      <c r="FA494" s="1"/>
      <c r="FB494" s="1"/>
      <c r="FC494" s="1"/>
      <c r="FD494" s="1"/>
      <c r="FE494" s="1"/>
      <c r="FF494" s="1"/>
      <c r="FG494" s="1"/>
      <c r="FH494" s="1"/>
      <c r="FI494" s="1"/>
      <c r="FJ494" s="1"/>
      <c r="FK494" s="1"/>
      <c r="FL494" s="1"/>
      <c r="FM494" s="1"/>
      <c r="FN494" s="1"/>
      <c r="FO494" s="1"/>
      <c r="FP494" s="1"/>
      <c r="FQ494" s="1"/>
      <c r="FR494" s="2"/>
      <c r="FS494" s="1"/>
    </row>
    <row r="495" spans="1:175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R495" s="1"/>
      <c r="S495" s="1"/>
      <c r="T495" s="1"/>
      <c r="U495" s="1"/>
      <c r="V495" s="1"/>
      <c r="Y495" s="1"/>
      <c r="Z495" s="2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U495" s="1"/>
      <c r="AW495" s="1"/>
      <c r="AX495" s="1"/>
      <c r="AY495" s="1"/>
      <c r="AZ495" s="1"/>
      <c r="BA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L495" s="1"/>
      <c r="DM495" s="1"/>
      <c r="DN495" s="1"/>
      <c r="DO495" s="1"/>
      <c r="DP495" s="1"/>
      <c r="DQ495" s="1"/>
      <c r="DR495" s="1"/>
      <c r="DS495" s="1"/>
      <c r="DT495" s="1"/>
      <c r="DU495" s="1"/>
      <c r="DV495" s="1"/>
      <c r="DW495" s="1"/>
      <c r="DX495" s="1"/>
      <c r="DY495" s="1"/>
      <c r="DZ495" s="1"/>
      <c r="EA495" s="1"/>
      <c r="EB495" s="1"/>
      <c r="EC495" s="1"/>
      <c r="ED495" s="1"/>
      <c r="EE495" s="1"/>
      <c r="EF495" s="1"/>
      <c r="EG495" s="1"/>
      <c r="EH495" s="1"/>
      <c r="EI495" s="1"/>
      <c r="EJ495" s="1"/>
      <c r="EK495" s="1"/>
      <c r="EL495" s="1"/>
      <c r="EM495" s="1"/>
      <c r="EN495" s="1"/>
      <c r="EO495" s="1"/>
      <c r="EP495" s="1"/>
      <c r="EQ495" s="1"/>
      <c r="ER495" s="1"/>
      <c r="ES495" s="1"/>
      <c r="ET495" s="1"/>
      <c r="EU495" s="1"/>
      <c r="EV495" s="1"/>
      <c r="EW495" s="1"/>
      <c r="EX495" s="1"/>
      <c r="EY495" s="1"/>
      <c r="EZ495" s="1"/>
      <c r="FA495" s="1"/>
      <c r="FB495" s="1"/>
      <c r="FC495" s="1"/>
      <c r="FD495" s="1"/>
      <c r="FE495" s="1"/>
      <c r="FF495" s="1"/>
      <c r="FG495" s="1"/>
      <c r="FH495" s="1"/>
      <c r="FI495" s="1"/>
      <c r="FJ495" s="1"/>
      <c r="FK495" s="1"/>
      <c r="FL495" s="1"/>
      <c r="FM495" s="1"/>
      <c r="FN495" s="1"/>
      <c r="FO495" s="1"/>
      <c r="FP495" s="1"/>
      <c r="FQ495" s="1"/>
      <c r="FR495" s="2"/>
      <c r="FS495" s="1"/>
    </row>
    <row r="496" spans="1:175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R496" s="1"/>
      <c r="S496" s="1"/>
      <c r="T496" s="1"/>
      <c r="U496" s="1"/>
      <c r="V496" s="1"/>
      <c r="Y496" s="1"/>
      <c r="Z496" s="2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U496" s="1"/>
      <c r="AW496" s="1"/>
      <c r="AX496" s="1"/>
      <c r="AY496" s="1"/>
      <c r="AZ496" s="1"/>
      <c r="BA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  <c r="EG496" s="1"/>
      <c r="EH496" s="1"/>
      <c r="EI496" s="1"/>
      <c r="EJ496" s="1"/>
      <c r="EK496" s="1"/>
      <c r="EL496" s="1"/>
      <c r="EM496" s="1"/>
      <c r="EN496" s="1"/>
      <c r="EO496" s="1"/>
      <c r="EP496" s="1"/>
      <c r="EQ496" s="1"/>
      <c r="ER496" s="1"/>
      <c r="ES496" s="1"/>
      <c r="ET496" s="1"/>
      <c r="EU496" s="1"/>
      <c r="EV496" s="1"/>
      <c r="EW496" s="1"/>
      <c r="EX496" s="1"/>
      <c r="EY496" s="1"/>
      <c r="EZ496" s="1"/>
      <c r="FA496" s="1"/>
      <c r="FB496" s="1"/>
      <c r="FC496" s="1"/>
      <c r="FD496" s="1"/>
      <c r="FE496" s="1"/>
      <c r="FF496" s="1"/>
      <c r="FG496" s="1"/>
      <c r="FH496" s="1"/>
      <c r="FI496" s="1"/>
      <c r="FJ496" s="1"/>
      <c r="FK496" s="1"/>
      <c r="FL496" s="1"/>
      <c r="FM496" s="1"/>
      <c r="FN496" s="1"/>
      <c r="FO496" s="1"/>
      <c r="FP496" s="1"/>
      <c r="FQ496" s="1"/>
      <c r="FR496" s="2"/>
      <c r="FS496" s="1"/>
    </row>
    <row r="497" spans="1:175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R497" s="1"/>
      <c r="S497" s="1"/>
      <c r="T497" s="1"/>
      <c r="U497" s="1"/>
      <c r="V497" s="1"/>
      <c r="Y497" s="1"/>
      <c r="Z497" s="2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U497" s="1"/>
      <c r="AW497" s="1"/>
      <c r="AX497" s="1"/>
      <c r="AY497" s="1"/>
      <c r="AZ497" s="1"/>
      <c r="BA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L497" s="1"/>
      <c r="DM497" s="1"/>
      <c r="DN497" s="1"/>
      <c r="DO497" s="1"/>
      <c r="DP497" s="1"/>
      <c r="DQ497" s="1"/>
      <c r="DR497" s="1"/>
      <c r="DS497" s="1"/>
      <c r="DT497" s="1"/>
      <c r="DU497" s="1"/>
      <c r="DV497" s="1"/>
      <c r="DW497" s="1"/>
      <c r="DX497" s="1"/>
      <c r="DY497" s="1"/>
      <c r="DZ497" s="1"/>
      <c r="EA497" s="1"/>
      <c r="EB497" s="1"/>
      <c r="EC497" s="1"/>
      <c r="ED497" s="1"/>
      <c r="EE497" s="1"/>
      <c r="EF497" s="1"/>
      <c r="EG497" s="1"/>
      <c r="EH497" s="1"/>
      <c r="EI497" s="1"/>
      <c r="EJ497" s="1"/>
      <c r="EK497" s="1"/>
      <c r="EL497" s="1"/>
      <c r="EM497" s="1"/>
      <c r="EN497" s="1"/>
      <c r="EO497" s="1"/>
      <c r="EP497" s="1"/>
      <c r="EQ497" s="1"/>
      <c r="ER497" s="1"/>
      <c r="ES497" s="1"/>
      <c r="ET497" s="1"/>
      <c r="EU497" s="1"/>
      <c r="EV497" s="1"/>
      <c r="EW497" s="1"/>
      <c r="EX497" s="1"/>
      <c r="EY497" s="1"/>
      <c r="EZ497" s="1"/>
      <c r="FA497" s="1"/>
      <c r="FB497" s="1"/>
      <c r="FC497" s="1"/>
      <c r="FD497" s="1"/>
      <c r="FE497" s="1"/>
      <c r="FF497" s="1"/>
      <c r="FG497" s="1"/>
      <c r="FH497" s="1"/>
      <c r="FI497" s="1"/>
      <c r="FJ497" s="1"/>
      <c r="FK497" s="1"/>
      <c r="FL497" s="1"/>
      <c r="FM497" s="1"/>
      <c r="FN497" s="1"/>
      <c r="FO497" s="1"/>
      <c r="FP497" s="1"/>
      <c r="FQ497" s="1"/>
      <c r="FR497" s="2"/>
      <c r="FS497" s="1"/>
    </row>
    <row r="498" spans="1:175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R498" s="1"/>
      <c r="S498" s="1"/>
      <c r="T498" s="1"/>
      <c r="U498" s="1"/>
      <c r="V498" s="1"/>
      <c r="Y498" s="1"/>
      <c r="Z498" s="2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U498" s="1"/>
      <c r="AW498" s="1"/>
      <c r="AX498" s="1"/>
      <c r="AY498" s="1"/>
      <c r="AZ498" s="1"/>
      <c r="BA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  <c r="DY498" s="1"/>
      <c r="DZ498" s="1"/>
      <c r="EA498" s="1"/>
      <c r="EB498" s="1"/>
      <c r="EC498" s="1"/>
      <c r="ED498" s="1"/>
      <c r="EE498" s="1"/>
      <c r="EF498" s="1"/>
      <c r="EG498" s="1"/>
      <c r="EH498" s="1"/>
      <c r="EI498" s="1"/>
      <c r="EJ498" s="1"/>
      <c r="EK498" s="1"/>
      <c r="EL498" s="1"/>
      <c r="EM498" s="1"/>
      <c r="EN498" s="1"/>
      <c r="EO498" s="1"/>
      <c r="EP498" s="1"/>
      <c r="EQ498" s="1"/>
      <c r="ER498" s="1"/>
      <c r="ES498" s="1"/>
      <c r="ET498" s="1"/>
      <c r="EU498" s="1"/>
      <c r="EV498" s="1"/>
      <c r="EW498" s="1"/>
      <c r="EX498" s="1"/>
      <c r="EY498" s="1"/>
      <c r="EZ498" s="1"/>
      <c r="FA498" s="1"/>
      <c r="FB498" s="1"/>
      <c r="FC498" s="1"/>
      <c r="FD498" s="1"/>
      <c r="FE498" s="1"/>
      <c r="FF498" s="1"/>
      <c r="FG498" s="1"/>
      <c r="FH498" s="1"/>
      <c r="FI498" s="1"/>
      <c r="FJ498" s="1"/>
      <c r="FK498" s="1"/>
      <c r="FL498" s="1"/>
      <c r="FM498" s="1"/>
      <c r="FN498" s="1"/>
      <c r="FO498" s="1"/>
      <c r="FP498" s="1"/>
      <c r="FQ498" s="1"/>
      <c r="FR498" s="2"/>
      <c r="FS498" s="1"/>
    </row>
    <row r="499" spans="1:175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R499" s="1"/>
      <c r="S499" s="1"/>
      <c r="T499" s="1"/>
      <c r="U499" s="1"/>
      <c r="V499" s="1"/>
      <c r="Y499" s="1"/>
      <c r="Z499" s="2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U499" s="1"/>
      <c r="AW499" s="1"/>
      <c r="AX499" s="1"/>
      <c r="AY499" s="1"/>
      <c r="AZ499" s="1"/>
      <c r="BA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  <c r="DM499" s="1"/>
      <c r="DN499" s="1"/>
      <c r="DO499" s="1"/>
      <c r="DP499" s="1"/>
      <c r="DQ499" s="1"/>
      <c r="DR499" s="1"/>
      <c r="DS499" s="1"/>
      <c r="DT499" s="1"/>
      <c r="DU499" s="1"/>
      <c r="DV499" s="1"/>
      <c r="DW499" s="1"/>
      <c r="DX499" s="1"/>
      <c r="DY499" s="1"/>
      <c r="DZ499" s="1"/>
      <c r="EA499" s="1"/>
      <c r="EB499" s="1"/>
      <c r="EC499" s="1"/>
      <c r="ED499" s="1"/>
      <c r="EE499" s="1"/>
      <c r="EF499" s="1"/>
      <c r="EG499" s="1"/>
      <c r="EH499" s="1"/>
      <c r="EI499" s="1"/>
      <c r="EJ499" s="1"/>
      <c r="EK499" s="1"/>
      <c r="EL499" s="1"/>
      <c r="EM499" s="1"/>
      <c r="EN499" s="1"/>
      <c r="EO499" s="1"/>
      <c r="EP499" s="1"/>
      <c r="EQ499" s="1"/>
      <c r="ER499" s="1"/>
      <c r="ES499" s="1"/>
      <c r="ET499" s="1"/>
      <c r="EU499" s="1"/>
      <c r="EV499" s="1"/>
      <c r="EW499" s="1"/>
      <c r="EX499" s="1"/>
      <c r="EY499" s="1"/>
      <c r="EZ499" s="1"/>
      <c r="FA499" s="1"/>
      <c r="FB499" s="1"/>
      <c r="FC499" s="1"/>
      <c r="FD499" s="1"/>
      <c r="FE499" s="1"/>
      <c r="FF499" s="1"/>
      <c r="FG499" s="1"/>
      <c r="FH499" s="1"/>
      <c r="FI499" s="1"/>
      <c r="FJ499" s="1"/>
      <c r="FK499" s="1"/>
      <c r="FL499" s="1"/>
      <c r="FM499" s="1"/>
      <c r="FN499" s="1"/>
      <c r="FO499" s="1"/>
      <c r="FP499" s="1"/>
      <c r="FQ499" s="1"/>
      <c r="FR499" s="2"/>
      <c r="FS499" s="1"/>
    </row>
    <row r="500" spans="1:175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R500" s="1"/>
      <c r="S500" s="1"/>
      <c r="T500" s="1"/>
      <c r="U500" s="1"/>
      <c r="V500" s="1"/>
      <c r="Y500" s="1"/>
      <c r="Z500" s="2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U500" s="1"/>
      <c r="AW500" s="1"/>
      <c r="AX500" s="1"/>
      <c r="AY500" s="1"/>
      <c r="AZ500" s="1"/>
      <c r="BA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  <c r="EF500" s="1"/>
      <c r="EG500" s="1"/>
      <c r="EH500" s="1"/>
      <c r="EI500" s="1"/>
      <c r="EJ500" s="1"/>
      <c r="EK500" s="1"/>
      <c r="EL500" s="1"/>
      <c r="EM500" s="1"/>
      <c r="EN500" s="1"/>
      <c r="EO500" s="1"/>
      <c r="EP500" s="1"/>
      <c r="EQ500" s="1"/>
      <c r="ER500" s="1"/>
      <c r="ES500" s="1"/>
      <c r="ET500" s="1"/>
      <c r="EU500" s="1"/>
      <c r="EV500" s="1"/>
      <c r="EW500" s="1"/>
      <c r="EX500" s="1"/>
      <c r="EY500" s="1"/>
      <c r="EZ500" s="1"/>
      <c r="FA500" s="1"/>
      <c r="FB500" s="1"/>
      <c r="FC500" s="1"/>
      <c r="FD500" s="1"/>
      <c r="FE500" s="1"/>
      <c r="FF500" s="1"/>
      <c r="FG500" s="1"/>
      <c r="FH500" s="1"/>
      <c r="FI500" s="1"/>
      <c r="FJ500" s="1"/>
      <c r="FK500" s="1"/>
      <c r="FL500" s="1"/>
      <c r="FM500" s="1"/>
      <c r="FN500" s="1"/>
      <c r="FO500" s="1"/>
      <c r="FP500" s="1"/>
      <c r="FQ500" s="1"/>
      <c r="FR500" s="2"/>
      <c r="FS500" s="1"/>
    </row>
    <row r="501" spans="1:175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R501" s="1"/>
      <c r="S501" s="1"/>
      <c r="T501" s="1"/>
      <c r="U501" s="1"/>
      <c r="V501" s="1"/>
      <c r="Y501" s="1"/>
      <c r="Z501" s="2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U501" s="1"/>
      <c r="AW501" s="1"/>
      <c r="AX501" s="1"/>
      <c r="AY501" s="1"/>
      <c r="AZ501" s="1"/>
      <c r="BA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L501" s="1"/>
      <c r="DM501" s="1"/>
      <c r="DN501" s="1"/>
      <c r="DO501" s="1"/>
      <c r="DP501" s="1"/>
      <c r="DQ501" s="1"/>
      <c r="DR501" s="1"/>
      <c r="DS501" s="1"/>
      <c r="DT501" s="1"/>
      <c r="DU501" s="1"/>
      <c r="DV501" s="1"/>
      <c r="DW501" s="1"/>
      <c r="DX501" s="1"/>
      <c r="DY501" s="1"/>
      <c r="DZ501" s="1"/>
      <c r="EA501" s="1"/>
      <c r="EB501" s="1"/>
      <c r="EC501" s="1"/>
      <c r="ED501" s="1"/>
      <c r="EE501" s="1"/>
      <c r="EF501" s="1"/>
      <c r="EG501" s="1"/>
      <c r="EH501" s="1"/>
      <c r="EI501" s="1"/>
      <c r="EJ501" s="1"/>
      <c r="EK501" s="1"/>
      <c r="EL501" s="1"/>
      <c r="EM501" s="1"/>
      <c r="EN501" s="1"/>
      <c r="EO501" s="1"/>
      <c r="EP501" s="1"/>
      <c r="EQ501" s="1"/>
      <c r="ER501" s="1"/>
      <c r="ES501" s="1"/>
      <c r="ET501" s="1"/>
      <c r="EU501" s="1"/>
      <c r="EV501" s="1"/>
      <c r="EW501" s="1"/>
      <c r="EX501" s="1"/>
      <c r="EY501" s="1"/>
      <c r="EZ501" s="1"/>
      <c r="FA501" s="1"/>
      <c r="FB501" s="1"/>
      <c r="FC501" s="1"/>
      <c r="FD501" s="1"/>
      <c r="FE501" s="1"/>
      <c r="FF501" s="1"/>
      <c r="FG501" s="1"/>
      <c r="FH501" s="1"/>
      <c r="FI501" s="1"/>
      <c r="FJ501" s="1"/>
      <c r="FK501" s="1"/>
      <c r="FL501" s="1"/>
      <c r="FM501" s="1"/>
      <c r="FN501" s="1"/>
      <c r="FO501" s="1"/>
      <c r="FP501" s="1"/>
      <c r="FQ501" s="1"/>
      <c r="FR501" s="2"/>
      <c r="FS501" s="1"/>
    </row>
    <row r="502" spans="1:175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R502" s="1"/>
      <c r="S502" s="1"/>
      <c r="T502" s="1"/>
      <c r="U502" s="1"/>
      <c r="V502" s="1"/>
      <c r="Y502" s="1"/>
      <c r="Z502" s="2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U502" s="1"/>
      <c r="AW502" s="1"/>
      <c r="AX502" s="1"/>
      <c r="AY502" s="1"/>
      <c r="AZ502" s="1"/>
      <c r="BA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  <c r="DC502" s="1"/>
      <c r="DD502" s="1"/>
      <c r="DE502" s="1"/>
      <c r="DF502" s="1"/>
      <c r="DG502" s="1"/>
      <c r="DH502" s="1"/>
      <c r="DI502" s="1"/>
      <c r="DJ502" s="1"/>
      <c r="DK502" s="1"/>
      <c r="DL502" s="1"/>
      <c r="DM502" s="1"/>
      <c r="DN502" s="1"/>
      <c r="DO502" s="1"/>
      <c r="DP502" s="1"/>
      <c r="DQ502" s="1"/>
      <c r="DR502" s="1"/>
      <c r="DS502" s="1"/>
      <c r="DT502" s="1"/>
      <c r="DU502" s="1"/>
      <c r="DV502" s="1"/>
      <c r="DW502" s="1"/>
      <c r="DX502" s="1"/>
      <c r="DY502" s="1"/>
      <c r="DZ502" s="1"/>
      <c r="EA502" s="1"/>
      <c r="EB502" s="1"/>
      <c r="EC502" s="1"/>
      <c r="ED502" s="1"/>
      <c r="EE502" s="1"/>
      <c r="EF502" s="1"/>
      <c r="EG502" s="1"/>
      <c r="EH502" s="1"/>
      <c r="EI502" s="1"/>
      <c r="EJ502" s="1"/>
      <c r="EK502" s="1"/>
      <c r="EL502" s="1"/>
      <c r="EM502" s="1"/>
      <c r="EN502" s="1"/>
      <c r="EO502" s="1"/>
      <c r="EP502" s="1"/>
      <c r="EQ502" s="1"/>
      <c r="ER502" s="1"/>
      <c r="ES502" s="1"/>
      <c r="ET502" s="1"/>
      <c r="EU502" s="1"/>
      <c r="EV502" s="1"/>
      <c r="EW502" s="1"/>
      <c r="EX502" s="1"/>
      <c r="EY502" s="1"/>
      <c r="EZ502" s="1"/>
      <c r="FA502" s="1"/>
      <c r="FB502" s="1"/>
      <c r="FC502" s="1"/>
      <c r="FD502" s="1"/>
      <c r="FE502" s="1"/>
      <c r="FF502" s="1"/>
      <c r="FG502" s="1"/>
      <c r="FH502" s="1"/>
      <c r="FI502" s="1"/>
      <c r="FJ502" s="1"/>
      <c r="FK502" s="1"/>
      <c r="FL502" s="1"/>
      <c r="FM502" s="1"/>
      <c r="FN502" s="1"/>
      <c r="FO502" s="1"/>
      <c r="FP502" s="1"/>
      <c r="FQ502" s="1"/>
      <c r="FR502" s="2"/>
      <c r="FS502" s="1"/>
    </row>
    <row r="503" spans="1:175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R503" s="1"/>
      <c r="S503" s="1"/>
      <c r="T503" s="1"/>
      <c r="U503" s="1"/>
      <c r="V503" s="1"/>
      <c r="Y503" s="1"/>
      <c r="Z503" s="2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U503" s="1"/>
      <c r="AW503" s="1"/>
      <c r="AX503" s="1"/>
      <c r="AY503" s="1"/>
      <c r="AZ503" s="1"/>
      <c r="BA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  <c r="DC503" s="1"/>
      <c r="DD503" s="1"/>
      <c r="DE503" s="1"/>
      <c r="DF503" s="1"/>
      <c r="DG503" s="1"/>
      <c r="DH503" s="1"/>
      <c r="DI503" s="1"/>
      <c r="DJ503" s="1"/>
      <c r="DK503" s="1"/>
      <c r="DL503" s="1"/>
      <c r="DM503" s="1"/>
      <c r="DN503" s="1"/>
      <c r="DO503" s="1"/>
      <c r="DP503" s="1"/>
      <c r="DQ503" s="1"/>
      <c r="DR503" s="1"/>
      <c r="DS503" s="1"/>
      <c r="DT503" s="1"/>
      <c r="DU503" s="1"/>
      <c r="DV503" s="1"/>
      <c r="DW503" s="1"/>
      <c r="DX503" s="1"/>
      <c r="DY503" s="1"/>
      <c r="DZ503" s="1"/>
      <c r="EA503" s="1"/>
      <c r="EB503" s="1"/>
      <c r="EC503" s="1"/>
      <c r="ED503" s="1"/>
      <c r="EE503" s="1"/>
      <c r="EF503" s="1"/>
      <c r="EG503" s="1"/>
      <c r="EH503" s="1"/>
      <c r="EI503" s="1"/>
      <c r="EJ503" s="1"/>
      <c r="EK503" s="1"/>
      <c r="EL503" s="1"/>
      <c r="EM503" s="1"/>
      <c r="EN503" s="1"/>
      <c r="EO503" s="1"/>
      <c r="EP503" s="1"/>
      <c r="EQ503" s="1"/>
      <c r="ER503" s="1"/>
      <c r="ES503" s="1"/>
      <c r="ET503" s="1"/>
      <c r="EU503" s="1"/>
      <c r="EV503" s="1"/>
      <c r="EW503" s="1"/>
      <c r="EX503" s="1"/>
      <c r="EY503" s="1"/>
      <c r="EZ503" s="1"/>
      <c r="FA503" s="1"/>
      <c r="FB503" s="1"/>
      <c r="FC503" s="1"/>
      <c r="FD503" s="1"/>
      <c r="FE503" s="1"/>
      <c r="FF503" s="1"/>
      <c r="FG503" s="1"/>
      <c r="FH503" s="1"/>
      <c r="FI503" s="1"/>
      <c r="FJ503" s="1"/>
      <c r="FK503" s="1"/>
      <c r="FL503" s="1"/>
      <c r="FM503" s="1"/>
      <c r="FN503" s="1"/>
      <c r="FO503" s="1"/>
      <c r="FP503" s="1"/>
      <c r="FQ503" s="1"/>
      <c r="FR503" s="2"/>
      <c r="FS503" s="1"/>
    </row>
    <row r="504" spans="1:175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R504" s="1"/>
      <c r="S504" s="1"/>
      <c r="T504" s="1"/>
      <c r="U504" s="1"/>
      <c r="V504" s="1"/>
      <c r="Y504" s="1"/>
      <c r="Z504" s="2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U504" s="1"/>
      <c r="AW504" s="1"/>
      <c r="AX504" s="1"/>
      <c r="AY504" s="1"/>
      <c r="AZ504" s="1"/>
      <c r="BA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  <c r="DC504" s="1"/>
      <c r="DD504" s="1"/>
      <c r="DE504" s="1"/>
      <c r="DF504" s="1"/>
      <c r="DG504" s="1"/>
      <c r="DH504" s="1"/>
      <c r="DI504" s="1"/>
      <c r="DJ504" s="1"/>
      <c r="DK504" s="1"/>
      <c r="DL504" s="1"/>
      <c r="DM504" s="1"/>
      <c r="DN504" s="1"/>
      <c r="DO504" s="1"/>
      <c r="DP504" s="1"/>
      <c r="DQ504" s="1"/>
      <c r="DR504" s="1"/>
      <c r="DS504" s="1"/>
      <c r="DT504" s="1"/>
      <c r="DU504" s="1"/>
      <c r="DV504" s="1"/>
      <c r="DW504" s="1"/>
      <c r="DX504" s="1"/>
      <c r="DY504" s="1"/>
      <c r="DZ504" s="1"/>
      <c r="EA504" s="1"/>
      <c r="EB504" s="1"/>
      <c r="EC504" s="1"/>
      <c r="ED504" s="1"/>
      <c r="EE504" s="1"/>
      <c r="EF504" s="1"/>
      <c r="EG504" s="1"/>
      <c r="EH504" s="1"/>
      <c r="EI504" s="1"/>
      <c r="EJ504" s="1"/>
      <c r="EK504" s="1"/>
      <c r="EL504" s="1"/>
      <c r="EM504" s="1"/>
      <c r="EN504" s="1"/>
      <c r="EO504" s="1"/>
      <c r="EP504" s="1"/>
      <c r="EQ504" s="1"/>
      <c r="ER504" s="1"/>
      <c r="ES504" s="1"/>
      <c r="ET504" s="1"/>
      <c r="EU504" s="1"/>
      <c r="EV504" s="1"/>
      <c r="EW504" s="1"/>
      <c r="EX504" s="1"/>
      <c r="EY504" s="1"/>
      <c r="EZ504" s="1"/>
      <c r="FA504" s="1"/>
      <c r="FB504" s="1"/>
      <c r="FC504" s="1"/>
      <c r="FD504" s="1"/>
      <c r="FE504" s="1"/>
      <c r="FF504" s="1"/>
      <c r="FG504" s="1"/>
      <c r="FH504" s="1"/>
      <c r="FI504" s="1"/>
      <c r="FJ504" s="1"/>
      <c r="FK504" s="1"/>
      <c r="FL504" s="1"/>
      <c r="FM504" s="1"/>
      <c r="FN504" s="1"/>
      <c r="FO504" s="1"/>
      <c r="FP504" s="1"/>
      <c r="FQ504" s="1"/>
      <c r="FR504" s="2"/>
      <c r="FS504" s="1"/>
    </row>
    <row r="505" spans="1:175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R505" s="1"/>
      <c r="S505" s="1"/>
      <c r="T505" s="1"/>
      <c r="U505" s="1"/>
      <c r="V505" s="1"/>
      <c r="Y505" s="1"/>
      <c r="Z505" s="2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U505" s="1"/>
      <c r="AW505" s="1"/>
      <c r="AX505" s="1"/>
      <c r="AY505" s="1"/>
      <c r="AZ505" s="1"/>
      <c r="BA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  <c r="DC505" s="1"/>
      <c r="DD505" s="1"/>
      <c r="DE505" s="1"/>
      <c r="DF505" s="1"/>
      <c r="DG505" s="1"/>
      <c r="DH505" s="1"/>
      <c r="DI505" s="1"/>
      <c r="DJ505" s="1"/>
      <c r="DK505" s="1"/>
      <c r="DL505" s="1"/>
      <c r="DM505" s="1"/>
      <c r="DN505" s="1"/>
      <c r="DO505" s="1"/>
      <c r="DP505" s="1"/>
      <c r="DQ505" s="1"/>
      <c r="DR505" s="1"/>
      <c r="DS505" s="1"/>
      <c r="DT505" s="1"/>
      <c r="DU505" s="1"/>
      <c r="DV505" s="1"/>
      <c r="DW505" s="1"/>
      <c r="DX505" s="1"/>
      <c r="DY505" s="1"/>
      <c r="DZ505" s="1"/>
      <c r="EA505" s="1"/>
      <c r="EB505" s="1"/>
      <c r="EC505" s="1"/>
      <c r="ED505" s="1"/>
      <c r="EE505" s="1"/>
      <c r="EF505" s="1"/>
      <c r="EG505" s="1"/>
      <c r="EH505" s="1"/>
      <c r="EI505" s="1"/>
      <c r="EJ505" s="1"/>
      <c r="EK505" s="1"/>
      <c r="EL505" s="1"/>
      <c r="EM505" s="1"/>
      <c r="EN505" s="1"/>
      <c r="EO505" s="1"/>
      <c r="EP505" s="1"/>
      <c r="EQ505" s="1"/>
      <c r="ER505" s="1"/>
      <c r="ES505" s="1"/>
      <c r="ET505" s="1"/>
      <c r="EU505" s="1"/>
      <c r="EV505" s="1"/>
      <c r="EW505" s="1"/>
      <c r="EX505" s="1"/>
      <c r="EY505" s="1"/>
      <c r="EZ505" s="1"/>
      <c r="FA505" s="1"/>
      <c r="FB505" s="1"/>
      <c r="FC505" s="1"/>
      <c r="FD505" s="1"/>
      <c r="FE505" s="1"/>
      <c r="FF505" s="1"/>
      <c r="FG505" s="1"/>
      <c r="FH505" s="1"/>
      <c r="FI505" s="1"/>
      <c r="FJ505" s="1"/>
      <c r="FK505" s="1"/>
      <c r="FL505" s="1"/>
      <c r="FM505" s="1"/>
      <c r="FN505" s="1"/>
      <c r="FO505" s="1"/>
      <c r="FP505" s="1"/>
      <c r="FQ505" s="1"/>
      <c r="FR505" s="2"/>
      <c r="FS505" s="1"/>
    </row>
    <row r="506" spans="1:175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R506" s="1"/>
      <c r="S506" s="1"/>
      <c r="T506" s="1"/>
      <c r="U506" s="1"/>
      <c r="V506" s="1"/>
      <c r="Y506" s="1"/>
      <c r="Z506" s="2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U506" s="1"/>
      <c r="AW506" s="1"/>
      <c r="AX506" s="1"/>
      <c r="AY506" s="1"/>
      <c r="AZ506" s="1"/>
      <c r="BA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  <c r="DC506" s="1"/>
      <c r="DD506" s="1"/>
      <c r="DE506" s="1"/>
      <c r="DF506" s="1"/>
      <c r="DG506" s="1"/>
      <c r="DH506" s="1"/>
      <c r="DI506" s="1"/>
      <c r="DJ506" s="1"/>
      <c r="DK506" s="1"/>
      <c r="DL506" s="1"/>
      <c r="DM506" s="1"/>
      <c r="DN506" s="1"/>
      <c r="DO506" s="1"/>
      <c r="DP506" s="1"/>
      <c r="DQ506" s="1"/>
      <c r="DR506" s="1"/>
      <c r="DS506" s="1"/>
      <c r="DT506" s="1"/>
      <c r="DU506" s="1"/>
      <c r="DV506" s="1"/>
      <c r="DW506" s="1"/>
      <c r="DX506" s="1"/>
      <c r="DY506" s="1"/>
      <c r="DZ506" s="1"/>
      <c r="EA506" s="1"/>
      <c r="EB506" s="1"/>
      <c r="EC506" s="1"/>
      <c r="ED506" s="1"/>
      <c r="EE506" s="1"/>
      <c r="EF506" s="1"/>
      <c r="EG506" s="1"/>
      <c r="EH506" s="1"/>
      <c r="EI506" s="1"/>
      <c r="EJ506" s="1"/>
      <c r="EK506" s="1"/>
      <c r="EL506" s="1"/>
      <c r="EM506" s="1"/>
      <c r="EN506" s="1"/>
      <c r="EO506" s="1"/>
      <c r="EP506" s="1"/>
      <c r="EQ506" s="1"/>
      <c r="ER506" s="1"/>
      <c r="ES506" s="1"/>
      <c r="ET506" s="1"/>
      <c r="EU506" s="1"/>
      <c r="EV506" s="1"/>
      <c r="EW506" s="1"/>
      <c r="EX506" s="1"/>
      <c r="EY506" s="1"/>
      <c r="EZ506" s="1"/>
      <c r="FA506" s="1"/>
      <c r="FB506" s="1"/>
      <c r="FC506" s="1"/>
      <c r="FD506" s="1"/>
      <c r="FE506" s="1"/>
      <c r="FF506" s="1"/>
      <c r="FG506" s="1"/>
      <c r="FH506" s="1"/>
      <c r="FI506" s="1"/>
      <c r="FJ506" s="1"/>
      <c r="FK506" s="1"/>
      <c r="FL506" s="1"/>
      <c r="FM506" s="1"/>
      <c r="FN506" s="1"/>
      <c r="FO506" s="1"/>
      <c r="FP506" s="1"/>
      <c r="FQ506" s="1"/>
      <c r="FR506" s="2"/>
      <c r="FS506" s="1"/>
    </row>
    <row r="507" spans="1:175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R507" s="1"/>
      <c r="S507" s="1"/>
      <c r="T507" s="1"/>
      <c r="U507" s="1"/>
      <c r="V507" s="1"/>
      <c r="Y507" s="1"/>
      <c r="Z507" s="2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U507" s="1"/>
      <c r="AW507" s="1"/>
      <c r="AX507" s="1"/>
      <c r="AY507" s="1"/>
      <c r="AZ507" s="1"/>
      <c r="BA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  <c r="DC507" s="1"/>
      <c r="DD507" s="1"/>
      <c r="DE507" s="1"/>
      <c r="DF507" s="1"/>
      <c r="DG507" s="1"/>
      <c r="DH507" s="1"/>
      <c r="DI507" s="1"/>
      <c r="DJ507" s="1"/>
      <c r="DK507" s="1"/>
      <c r="DL507" s="1"/>
      <c r="DM507" s="1"/>
      <c r="DN507" s="1"/>
      <c r="DO507" s="1"/>
      <c r="DP507" s="1"/>
      <c r="DQ507" s="1"/>
      <c r="DR507" s="1"/>
      <c r="DS507" s="1"/>
      <c r="DT507" s="1"/>
      <c r="DU507" s="1"/>
      <c r="DV507" s="1"/>
      <c r="DW507" s="1"/>
      <c r="DX507" s="1"/>
      <c r="DY507" s="1"/>
      <c r="DZ507" s="1"/>
      <c r="EA507" s="1"/>
      <c r="EB507" s="1"/>
      <c r="EC507" s="1"/>
      <c r="ED507" s="1"/>
      <c r="EE507" s="1"/>
      <c r="EF507" s="1"/>
      <c r="EG507" s="1"/>
      <c r="EH507" s="1"/>
      <c r="EI507" s="1"/>
      <c r="EJ507" s="1"/>
      <c r="EK507" s="1"/>
      <c r="EL507" s="1"/>
      <c r="EM507" s="1"/>
      <c r="EN507" s="1"/>
      <c r="EO507" s="1"/>
      <c r="EP507" s="1"/>
      <c r="EQ507" s="1"/>
      <c r="ER507" s="1"/>
      <c r="ES507" s="1"/>
      <c r="ET507" s="1"/>
      <c r="EU507" s="1"/>
      <c r="EV507" s="1"/>
      <c r="EW507" s="1"/>
      <c r="EX507" s="1"/>
      <c r="EY507" s="1"/>
      <c r="EZ507" s="1"/>
      <c r="FA507" s="1"/>
      <c r="FB507" s="1"/>
      <c r="FC507" s="1"/>
      <c r="FD507" s="1"/>
      <c r="FE507" s="1"/>
      <c r="FF507" s="1"/>
      <c r="FG507" s="1"/>
      <c r="FH507" s="1"/>
      <c r="FI507" s="1"/>
      <c r="FJ507" s="1"/>
      <c r="FK507" s="1"/>
      <c r="FL507" s="1"/>
      <c r="FM507" s="1"/>
      <c r="FN507" s="1"/>
      <c r="FO507" s="1"/>
      <c r="FP507" s="1"/>
      <c r="FQ507" s="1"/>
      <c r="FR507" s="2"/>
      <c r="FS507" s="1"/>
    </row>
    <row r="508" spans="1:175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R508" s="1"/>
      <c r="S508" s="1"/>
      <c r="T508" s="1"/>
      <c r="U508" s="1"/>
      <c r="V508" s="1"/>
      <c r="Y508" s="1"/>
      <c r="Z508" s="2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U508" s="1"/>
      <c r="AW508" s="1"/>
      <c r="AX508" s="1"/>
      <c r="AY508" s="1"/>
      <c r="AZ508" s="1"/>
      <c r="BA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  <c r="DC508" s="1"/>
      <c r="DD508" s="1"/>
      <c r="DE508" s="1"/>
      <c r="DF508" s="1"/>
      <c r="DG508" s="1"/>
      <c r="DH508" s="1"/>
      <c r="DI508" s="1"/>
      <c r="DJ508" s="1"/>
      <c r="DK508" s="1"/>
      <c r="DL508" s="1"/>
      <c r="DM508" s="1"/>
      <c r="DN508" s="1"/>
      <c r="DO508" s="1"/>
      <c r="DP508" s="1"/>
      <c r="DQ508" s="1"/>
      <c r="DR508" s="1"/>
      <c r="DS508" s="1"/>
      <c r="DT508" s="1"/>
      <c r="DU508" s="1"/>
      <c r="DV508" s="1"/>
      <c r="DW508" s="1"/>
      <c r="DX508" s="1"/>
      <c r="DY508" s="1"/>
      <c r="DZ508" s="1"/>
      <c r="EA508" s="1"/>
      <c r="EB508" s="1"/>
      <c r="EC508" s="1"/>
      <c r="ED508" s="1"/>
      <c r="EE508" s="1"/>
      <c r="EF508" s="1"/>
      <c r="EG508" s="1"/>
      <c r="EH508" s="1"/>
      <c r="EI508" s="1"/>
      <c r="EJ508" s="1"/>
      <c r="EK508" s="1"/>
      <c r="EL508" s="1"/>
      <c r="EM508" s="1"/>
      <c r="EN508" s="1"/>
      <c r="EO508" s="1"/>
      <c r="EP508" s="1"/>
      <c r="EQ508" s="1"/>
      <c r="ER508" s="1"/>
      <c r="ES508" s="1"/>
      <c r="ET508" s="1"/>
      <c r="EU508" s="1"/>
      <c r="EV508" s="1"/>
      <c r="EW508" s="1"/>
      <c r="EX508" s="1"/>
      <c r="EY508" s="1"/>
      <c r="EZ508" s="1"/>
      <c r="FA508" s="1"/>
      <c r="FB508" s="1"/>
      <c r="FC508" s="1"/>
      <c r="FD508" s="1"/>
      <c r="FE508" s="1"/>
      <c r="FF508" s="1"/>
      <c r="FG508" s="1"/>
      <c r="FH508" s="1"/>
      <c r="FI508" s="1"/>
      <c r="FJ508" s="1"/>
      <c r="FK508" s="1"/>
      <c r="FL508" s="1"/>
      <c r="FM508" s="1"/>
      <c r="FN508" s="1"/>
      <c r="FO508" s="1"/>
      <c r="FP508" s="1"/>
      <c r="FQ508" s="1"/>
      <c r="FR508" s="2"/>
      <c r="FS508" s="1"/>
    </row>
    <row r="509" spans="1:175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R509" s="1"/>
      <c r="S509" s="1"/>
      <c r="T509" s="1"/>
      <c r="U509" s="1"/>
      <c r="V509" s="1"/>
      <c r="Y509" s="1"/>
      <c r="Z509" s="2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U509" s="1"/>
      <c r="AW509" s="1"/>
      <c r="AX509" s="1"/>
      <c r="AY509" s="1"/>
      <c r="AZ509" s="1"/>
      <c r="BA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  <c r="DC509" s="1"/>
      <c r="DD509" s="1"/>
      <c r="DE509" s="1"/>
      <c r="DF509" s="1"/>
      <c r="DG509" s="1"/>
      <c r="DH509" s="1"/>
      <c r="DI509" s="1"/>
      <c r="DJ509" s="1"/>
      <c r="DK509" s="1"/>
      <c r="DL509" s="1"/>
      <c r="DM509" s="1"/>
      <c r="DN509" s="1"/>
      <c r="DO509" s="1"/>
      <c r="DP509" s="1"/>
      <c r="DQ509" s="1"/>
      <c r="DR509" s="1"/>
      <c r="DS509" s="1"/>
      <c r="DT509" s="1"/>
      <c r="DU509" s="1"/>
      <c r="DV509" s="1"/>
      <c r="DW509" s="1"/>
      <c r="DX509" s="1"/>
      <c r="DY509" s="1"/>
      <c r="DZ509" s="1"/>
      <c r="EA509" s="1"/>
      <c r="EB509" s="1"/>
      <c r="EC509" s="1"/>
      <c r="ED509" s="1"/>
      <c r="EE509" s="1"/>
      <c r="EF509" s="1"/>
      <c r="EG509" s="1"/>
      <c r="EH509" s="1"/>
      <c r="EI509" s="1"/>
      <c r="EJ509" s="1"/>
      <c r="EK509" s="1"/>
      <c r="EL509" s="1"/>
      <c r="EM509" s="1"/>
      <c r="EN509" s="1"/>
      <c r="EO509" s="1"/>
      <c r="EP509" s="1"/>
      <c r="EQ509" s="1"/>
      <c r="ER509" s="1"/>
      <c r="ES509" s="1"/>
      <c r="ET509" s="1"/>
      <c r="EU509" s="1"/>
      <c r="EV509" s="1"/>
      <c r="EW509" s="1"/>
      <c r="EX509" s="1"/>
      <c r="EY509" s="1"/>
      <c r="EZ509" s="1"/>
      <c r="FA509" s="1"/>
      <c r="FB509" s="1"/>
      <c r="FC509" s="1"/>
      <c r="FD509" s="1"/>
      <c r="FE509" s="1"/>
      <c r="FF509" s="1"/>
      <c r="FG509" s="1"/>
      <c r="FH509" s="1"/>
      <c r="FI509" s="1"/>
      <c r="FJ509" s="1"/>
      <c r="FK509" s="1"/>
      <c r="FL509" s="1"/>
      <c r="FM509" s="1"/>
      <c r="FN509" s="1"/>
      <c r="FO509" s="1"/>
      <c r="FP509" s="1"/>
      <c r="FQ509" s="1"/>
      <c r="FR509" s="2"/>
      <c r="FS509" s="1"/>
    </row>
    <row r="510" spans="1:175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R510" s="1"/>
      <c r="S510" s="1"/>
      <c r="T510" s="1"/>
      <c r="U510" s="1"/>
      <c r="V510" s="1"/>
      <c r="Y510" s="1"/>
      <c r="Z510" s="2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U510" s="1"/>
      <c r="AW510" s="1"/>
      <c r="AX510" s="1"/>
      <c r="AY510" s="1"/>
      <c r="AZ510" s="1"/>
      <c r="BA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  <c r="DC510" s="1"/>
      <c r="DD510" s="1"/>
      <c r="DE510" s="1"/>
      <c r="DF510" s="1"/>
      <c r="DG510" s="1"/>
      <c r="DH510" s="1"/>
      <c r="DI510" s="1"/>
      <c r="DJ510" s="1"/>
      <c r="DK510" s="1"/>
      <c r="DL510" s="1"/>
      <c r="DM510" s="1"/>
      <c r="DN510" s="1"/>
      <c r="DO510" s="1"/>
      <c r="DP510" s="1"/>
      <c r="DQ510" s="1"/>
      <c r="DR510" s="1"/>
      <c r="DS510" s="1"/>
      <c r="DT510" s="1"/>
      <c r="DU510" s="1"/>
      <c r="DV510" s="1"/>
      <c r="DW510" s="1"/>
      <c r="DX510" s="1"/>
      <c r="DY510" s="1"/>
      <c r="DZ510" s="1"/>
      <c r="EA510" s="1"/>
      <c r="EB510" s="1"/>
      <c r="EC510" s="1"/>
      <c r="ED510" s="1"/>
      <c r="EE510" s="1"/>
      <c r="EF510" s="1"/>
      <c r="EG510" s="1"/>
      <c r="EH510" s="1"/>
      <c r="EI510" s="1"/>
      <c r="EJ510" s="1"/>
      <c r="EK510" s="1"/>
      <c r="EL510" s="1"/>
      <c r="EM510" s="1"/>
      <c r="EN510" s="1"/>
      <c r="EO510" s="1"/>
      <c r="EP510" s="1"/>
      <c r="EQ510" s="1"/>
      <c r="ER510" s="1"/>
      <c r="ES510" s="1"/>
      <c r="ET510" s="1"/>
      <c r="EU510" s="1"/>
      <c r="EV510" s="1"/>
      <c r="EW510" s="1"/>
      <c r="EX510" s="1"/>
      <c r="EY510" s="1"/>
      <c r="EZ510" s="1"/>
      <c r="FA510" s="1"/>
      <c r="FB510" s="1"/>
      <c r="FC510" s="1"/>
      <c r="FD510" s="1"/>
      <c r="FE510" s="1"/>
      <c r="FF510" s="1"/>
      <c r="FG510" s="1"/>
      <c r="FH510" s="1"/>
      <c r="FI510" s="1"/>
      <c r="FJ510" s="1"/>
      <c r="FK510" s="1"/>
      <c r="FL510" s="1"/>
      <c r="FM510" s="1"/>
      <c r="FN510" s="1"/>
      <c r="FO510" s="1"/>
      <c r="FP510" s="1"/>
      <c r="FQ510" s="1"/>
      <c r="FR510" s="2"/>
      <c r="FS510" s="1"/>
    </row>
    <row r="511" spans="1:175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R511" s="1"/>
      <c r="S511" s="1"/>
      <c r="T511" s="1"/>
      <c r="U511" s="1"/>
      <c r="V511" s="1"/>
      <c r="Y511" s="1"/>
      <c r="Z511" s="2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U511" s="1"/>
      <c r="AW511" s="1"/>
      <c r="AX511" s="1"/>
      <c r="AY511" s="1"/>
      <c r="AZ511" s="1"/>
      <c r="BA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  <c r="DC511" s="1"/>
      <c r="DD511" s="1"/>
      <c r="DE511" s="1"/>
      <c r="DF511" s="1"/>
      <c r="DG511" s="1"/>
      <c r="DH511" s="1"/>
      <c r="DI511" s="1"/>
      <c r="DJ511" s="1"/>
      <c r="DK511" s="1"/>
      <c r="DL511" s="1"/>
      <c r="DM511" s="1"/>
      <c r="DN511" s="1"/>
      <c r="DO511" s="1"/>
      <c r="DP511" s="1"/>
      <c r="DQ511" s="1"/>
      <c r="DR511" s="1"/>
      <c r="DS511" s="1"/>
      <c r="DT511" s="1"/>
      <c r="DU511" s="1"/>
      <c r="DV511" s="1"/>
      <c r="DW511" s="1"/>
      <c r="DX511" s="1"/>
      <c r="DY511" s="1"/>
      <c r="DZ511" s="1"/>
      <c r="EA511" s="1"/>
      <c r="EB511" s="1"/>
      <c r="EC511" s="1"/>
      <c r="ED511" s="1"/>
      <c r="EE511" s="1"/>
      <c r="EF511" s="1"/>
      <c r="EG511" s="1"/>
      <c r="EH511" s="1"/>
      <c r="EI511" s="1"/>
      <c r="EJ511" s="1"/>
      <c r="EK511" s="1"/>
      <c r="EL511" s="1"/>
      <c r="EM511" s="1"/>
      <c r="EN511" s="1"/>
      <c r="EO511" s="1"/>
      <c r="EP511" s="1"/>
      <c r="EQ511" s="1"/>
      <c r="ER511" s="1"/>
      <c r="ES511" s="1"/>
      <c r="ET511" s="1"/>
      <c r="EU511" s="1"/>
      <c r="EV511" s="1"/>
      <c r="EW511" s="1"/>
      <c r="EX511" s="1"/>
      <c r="EY511" s="1"/>
      <c r="EZ511" s="1"/>
      <c r="FA511" s="1"/>
      <c r="FB511" s="1"/>
      <c r="FC511" s="1"/>
      <c r="FD511" s="1"/>
      <c r="FE511" s="1"/>
      <c r="FF511" s="1"/>
      <c r="FG511" s="1"/>
      <c r="FH511" s="1"/>
      <c r="FI511" s="1"/>
      <c r="FJ511" s="1"/>
      <c r="FK511" s="1"/>
      <c r="FL511" s="1"/>
      <c r="FM511" s="1"/>
      <c r="FN511" s="1"/>
      <c r="FO511" s="1"/>
      <c r="FP511" s="1"/>
      <c r="FQ511" s="1"/>
      <c r="FR511" s="2"/>
      <c r="FS511" s="1"/>
    </row>
    <row r="512" spans="1:175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R512" s="1"/>
      <c r="S512" s="1"/>
      <c r="T512" s="1"/>
      <c r="U512" s="1"/>
      <c r="V512" s="1"/>
      <c r="Y512" s="1"/>
      <c r="Z512" s="2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U512" s="1"/>
      <c r="AW512" s="1"/>
      <c r="AX512" s="1"/>
      <c r="AY512" s="1"/>
      <c r="AZ512" s="1"/>
      <c r="BA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  <c r="DC512" s="1"/>
      <c r="DD512" s="1"/>
      <c r="DE512" s="1"/>
      <c r="DF512" s="1"/>
      <c r="DG512" s="1"/>
      <c r="DH512" s="1"/>
      <c r="DI512" s="1"/>
      <c r="DJ512" s="1"/>
      <c r="DK512" s="1"/>
      <c r="DL512" s="1"/>
      <c r="DM512" s="1"/>
      <c r="DN512" s="1"/>
      <c r="DO512" s="1"/>
      <c r="DP512" s="1"/>
      <c r="DQ512" s="1"/>
      <c r="DR512" s="1"/>
      <c r="DS512" s="1"/>
      <c r="DT512" s="1"/>
      <c r="DU512" s="1"/>
      <c r="DV512" s="1"/>
      <c r="DW512" s="1"/>
      <c r="DX512" s="1"/>
      <c r="DY512" s="1"/>
      <c r="DZ512" s="1"/>
      <c r="EA512" s="1"/>
      <c r="EB512" s="1"/>
      <c r="EC512" s="1"/>
      <c r="ED512" s="1"/>
      <c r="EE512" s="1"/>
      <c r="EF512" s="1"/>
      <c r="EG512" s="1"/>
      <c r="EH512" s="1"/>
      <c r="EI512" s="1"/>
      <c r="EJ512" s="1"/>
      <c r="EK512" s="1"/>
      <c r="EL512" s="1"/>
      <c r="EM512" s="1"/>
      <c r="EN512" s="1"/>
      <c r="EO512" s="1"/>
      <c r="EP512" s="1"/>
      <c r="EQ512" s="1"/>
      <c r="ER512" s="1"/>
      <c r="ES512" s="1"/>
      <c r="ET512" s="1"/>
      <c r="EU512" s="1"/>
      <c r="EV512" s="1"/>
      <c r="EW512" s="1"/>
      <c r="EX512" s="1"/>
      <c r="EY512" s="1"/>
      <c r="EZ512" s="1"/>
      <c r="FA512" s="1"/>
      <c r="FB512" s="1"/>
      <c r="FC512" s="1"/>
      <c r="FD512" s="1"/>
      <c r="FE512" s="1"/>
      <c r="FF512" s="1"/>
      <c r="FG512" s="1"/>
      <c r="FH512" s="1"/>
      <c r="FI512" s="1"/>
      <c r="FJ512" s="1"/>
      <c r="FK512" s="1"/>
      <c r="FL512" s="1"/>
      <c r="FM512" s="1"/>
      <c r="FN512" s="1"/>
      <c r="FO512" s="1"/>
      <c r="FP512" s="1"/>
      <c r="FQ512" s="1"/>
      <c r="FR512" s="2"/>
      <c r="FS512" s="1"/>
    </row>
    <row r="513" spans="1:175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R513" s="1"/>
      <c r="S513" s="1"/>
      <c r="T513" s="1"/>
      <c r="U513" s="1"/>
      <c r="V513" s="1"/>
      <c r="Y513" s="1"/>
      <c r="Z513" s="2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U513" s="1"/>
      <c r="AW513" s="1"/>
      <c r="AX513" s="1"/>
      <c r="AY513" s="1"/>
      <c r="AZ513" s="1"/>
      <c r="BA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  <c r="DC513" s="1"/>
      <c r="DD513" s="1"/>
      <c r="DE513" s="1"/>
      <c r="DF513" s="1"/>
      <c r="DG513" s="1"/>
      <c r="DH513" s="1"/>
      <c r="DI513" s="1"/>
      <c r="DJ513" s="1"/>
      <c r="DK513" s="1"/>
      <c r="DL513" s="1"/>
      <c r="DM513" s="1"/>
      <c r="DN513" s="1"/>
      <c r="DO513" s="1"/>
      <c r="DP513" s="1"/>
      <c r="DQ513" s="1"/>
      <c r="DR513" s="1"/>
      <c r="DS513" s="1"/>
      <c r="DT513" s="1"/>
      <c r="DU513" s="1"/>
      <c r="DV513" s="1"/>
      <c r="DW513" s="1"/>
      <c r="DX513" s="1"/>
      <c r="DY513" s="1"/>
      <c r="DZ513" s="1"/>
      <c r="EA513" s="1"/>
      <c r="EB513" s="1"/>
      <c r="EC513" s="1"/>
      <c r="ED513" s="1"/>
      <c r="EE513" s="1"/>
      <c r="EF513" s="1"/>
      <c r="EG513" s="1"/>
      <c r="EH513" s="1"/>
      <c r="EI513" s="1"/>
      <c r="EJ513" s="1"/>
      <c r="EK513" s="1"/>
      <c r="EL513" s="1"/>
      <c r="EM513" s="1"/>
      <c r="EN513" s="1"/>
      <c r="EO513" s="1"/>
      <c r="EP513" s="1"/>
      <c r="EQ513" s="1"/>
      <c r="ER513" s="1"/>
      <c r="ES513" s="1"/>
      <c r="ET513" s="1"/>
      <c r="EU513" s="1"/>
      <c r="EV513" s="1"/>
      <c r="EW513" s="1"/>
      <c r="EX513" s="1"/>
      <c r="EY513" s="1"/>
      <c r="EZ513" s="1"/>
      <c r="FA513" s="1"/>
      <c r="FB513" s="1"/>
      <c r="FC513" s="1"/>
      <c r="FD513" s="1"/>
      <c r="FE513" s="1"/>
      <c r="FF513" s="1"/>
      <c r="FG513" s="1"/>
      <c r="FH513" s="1"/>
      <c r="FI513" s="1"/>
      <c r="FJ513" s="1"/>
      <c r="FK513" s="1"/>
      <c r="FL513" s="1"/>
      <c r="FM513" s="1"/>
      <c r="FN513" s="1"/>
      <c r="FO513" s="1"/>
      <c r="FP513" s="1"/>
      <c r="FQ513" s="1"/>
      <c r="FR513" s="2"/>
      <c r="FS513" s="1"/>
    </row>
    <row r="514" spans="1:175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R514" s="1"/>
      <c r="S514" s="1"/>
      <c r="T514" s="1"/>
      <c r="U514" s="1"/>
      <c r="V514" s="1"/>
      <c r="Y514" s="1"/>
      <c r="Z514" s="2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U514" s="1"/>
      <c r="AW514" s="1"/>
      <c r="AX514" s="1"/>
      <c r="AY514" s="1"/>
      <c r="AZ514" s="1"/>
      <c r="BA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  <c r="DC514" s="1"/>
      <c r="DD514" s="1"/>
      <c r="DE514" s="1"/>
      <c r="DF514" s="1"/>
      <c r="DG514" s="1"/>
      <c r="DH514" s="1"/>
      <c r="DI514" s="1"/>
      <c r="DJ514" s="1"/>
      <c r="DK514" s="1"/>
      <c r="DL514" s="1"/>
      <c r="DM514" s="1"/>
      <c r="DN514" s="1"/>
      <c r="DO514" s="1"/>
      <c r="DP514" s="1"/>
      <c r="DQ514" s="1"/>
      <c r="DR514" s="1"/>
      <c r="DS514" s="1"/>
      <c r="DT514" s="1"/>
      <c r="DU514" s="1"/>
      <c r="DV514" s="1"/>
      <c r="DW514" s="1"/>
      <c r="DX514" s="1"/>
      <c r="DY514" s="1"/>
      <c r="DZ514" s="1"/>
      <c r="EA514" s="1"/>
      <c r="EB514" s="1"/>
      <c r="EC514" s="1"/>
      <c r="ED514" s="1"/>
      <c r="EE514" s="1"/>
      <c r="EF514" s="1"/>
      <c r="EG514" s="1"/>
      <c r="EH514" s="1"/>
      <c r="EI514" s="1"/>
      <c r="EJ514" s="1"/>
      <c r="EK514" s="1"/>
      <c r="EL514" s="1"/>
      <c r="EM514" s="1"/>
      <c r="EN514" s="1"/>
      <c r="EO514" s="1"/>
      <c r="EP514" s="1"/>
      <c r="EQ514" s="1"/>
      <c r="ER514" s="1"/>
      <c r="ES514" s="1"/>
      <c r="ET514" s="1"/>
      <c r="EU514" s="1"/>
      <c r="EV514" s="1"/>
      <c r="EW514" s="1"/>
      <c r="EX514" s="1"/>
      <c r="EY514" s="1"/>
      <c r="EZ514" s="1"/>
      <c r="FA514" s="1"/>
      <c r="FB514" s="1"/>
      <c r="FC514" s="1"/>
      <c r="FD514" s="1"/>
      <c r="FE514" s="1"/>
      <c r="FF514" s="1"/>
      <c r="FG514" s="1"/>
      <c r="FH514" s="1"/>
      <c r="FI514" s="1"/>
      <c r="FJ514" s="1"/>
      <c r="FK514" s="1"/>
      <c r="FL514" s="1"/>
      <c r="FM514" s="1"/>
      <c r="FN514" s="1"/>
      <c r="FO514" s="1"/>
      <c r="FP514" s="1"/>
      <c r="FQ514" s="1"/>
      <c r="FR514" s="2"/>
      <c r="FS514" s="1"/>
    </row>
    <row r="515" spans="1:175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R515" s="1"/>
      <c r="S515" s="1"/>
      <c r="T515" s="1"/>
      <c r="U515" s="1"/>
      <c r="V515" s="1"/>
      <c r="Y515" s="1"/>
      <c r="Z515" s="2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U515" s="1"/>
      <c r="AW515" s="1"/>
      <c r="AX515" s="1"/>
      <c r="AY515" s="1"/>
      <c r="AZ515" s="1"/>
      <c r="BA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  <c r="DC515" s="1"/>
      <c r="DD515" s="1"/>
      <c r="DE515" s="1"/>
      <c r="DF515" s="1"/>
      <c r="DG515" s="1"/>
      <c r="DH515" s="1"/>
      <c r="DI515" s="1"/>
      <c r="DJ515" s="1"/>
      <c r="DK515" s="1"/>
      <c r="DL515" s="1"/>
      <c r="DM515" s="1"/>
      <c r="DN515" s="1"/>
      <c r="DO515" s="1"/>
      <c r="DP515" s="1"/>
      <c r="DQ515" s="1"/>
      <c r="DR515" s="1"/>
      <c r="DS515" s="1"/>
      <c r="DT515" s="1"/>
      <c r="DU515" s="1"/>
      <c r="DV515" s="1"/>
      <c r="DW515" s="1"/>
      <c r="DX515" s="1"/>
      <c r="DY515" s="1"/>
      <c r="DZ515" s="1"/>
      <c r="EA515" s="1"/>
      <c r="EB515" s="1"/>
      <c r="EC515" s="1"/>
      <c r="ED515" s="1"/>
      <c r="EE515" s="1"/>
      <c r="EF515" s="1"/>
      <c r="EG515" s="1"/>
      <c r="EH515" s="1"/>
      <c r="EI515" s="1"/>
      <c r="EJ515" s="1"/>
      <c r="EK515" s="1"/>
      <c r="EL515" s="1"/>
      <c r="EM515" s="1"/>
      <c r="EN515" s="1"/>
      <c r="EO515" s="1"/>
      <c r="EP515" s="1"/>
      <c r="EQ515" s="1"/>
      <c r="ER515" s="1"/>
      <c r="ES515" s="1"/>
      <c r="ET515" s="1"/>
      <c r="EU515" s="1"/>
      <c r="EV515" s="1"/>
      <c r="EW515" s="1"/>
      <c r="EX515" s="1"/>
      <c r="EY515" s="1"/>
      <c r="EZ515" s="1"/>
      <c r="FA515" s="1"/>
      <c r="FB515" s="1"/>
      <c r="FC515" s="1"/>
      <c r="FD515" s="1"/>
      <c r="FE515" s="1"/>
      <c r="FF515" s="1"/>
      <c r="FG515" s="1"/>
      <c r="FH515" s="1"/>
      <c r="FI515" s="1"/>
      <c r="FJ515" s="1"/>
      <c r="FK515" s="1"/>
      <c r="FL515" s="1"/>
      <c r="FM515" s="1"/>
      <c r="FN515" s="1"/>
      <c r="FO515" s="1"/>
      <c r="FP515" s="1"/>
      <c r="FQ515" s="1"/>
      <c r="FR515" s="2"/>
      <c r="FS515" s="1"/>
    </row>
    <row r="516" spans="1:175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R516" s="1"/>
      <c r="S516" s="1"/>
      <c r="T516" s="1"/>
      <c r="U516" s="1"/>
      <c r="V516" s="1"/>
      <c r="Y516" s="1"/>
      <c r="Z516" s="2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U516" s="1"/>
      <c r="AW516" s="1"/>
      <c r="AX516" s="1"/>
      <c r="AY516" s="1"/>
      <c r="AZ516" s="1"/>
      <c r="BA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  <c r="DC516" s="1"/>
      <c r="DD516" s="1"/>
      <c r="DE516" s="1"/>
      <c r="DF516" s="1"/>
      <c r="DG516" s="1"/>
      <c r="DH516" s="1"/>
      <c r="DI516" s="1"/>
      <c r="DJ516" s="1"/>
      <c r="DK516" s="1"/>
      <c r="DL516" s="1"/>
      <c r="DM516" s="1"/>
      <c r="DN516" s="1"/>
      <c r="DO516" s="1"/>
      <c r="DP516" s="1"/>
      <c r="DQ516" s="1"/>
      <c r="DR516" s="1"/>
      <c r="DS516" s="1"/>
      <c r="DT516" s="1"/>
      <c r="DU516" s="1"/>
      <c r="DV516" s="1"/>
      <c r="DW516" s="1"/>
      <c r="DX516" s="1"/>
      <c r="DY516" s="1"/>
      <c r="DZ516" s="1"/>
      <c r="EA516" s="1"/>
      <c r="EB516" s="1"/>
      <c r="EC516" s="1"/>
      <c r="ED516" s="1"/>
      <c r="EE516" s="1"/>
      <c r="EF516" s="1"/>
      <c r="EG516" s="1"/>
      <c r="EH516" s="1"/>
      <c r="EI516" s="1"/>
      <c r="EJ516" s="1"/>
      <c r="EK516" s="1"/>
      <c r="EL516" s="1"/>
      <c r="EM516" s="1"/>
      <c r="EN516" s="1"/>
      <c r="EO516" s="1"/>
      <c r="EP516" s="1"/>
      <c r="EQ516" s="1"/>
      <c r="ER516" s="1"/>
      <c r="ES516" s="1"/>
      <c r="ET516" s="1"/>
      <c r="EU516" s="1"/>
      <c r="EV516" s="1"/>
      <c r="EW516" s="1"/>
      <c r="EX516" s="1"/>
      <c r="EY516" s="1"/>
      <c r="EZ516" s="1"/>
      <c r="FA516" s="1"/>
      <c r="FB516" s="1"/>
      <c r="FC516" s="1"/>
      <c r="FD516" s="1"/>
      <c r="FE516" s="1"/>
      <c r="FF516" s="1"/>
      <c r="FG516" s="1"/>
      <c r="FH516" s="1"/>
      <c r="FI516" s="1"/>
      <c r="FJ516" s="1"/>
      <c r="FK516" s="1"/>
      <c r="FL516" s="1"/>
      <c r="FM516" s="1"/>
      <c r="FN516" s="1"/>
      <c r="FO516" s="1"/>
      <c r="FP516" s="1"/>
      <c r="FQ516" s="1"/>
      <c r="FR516" s="2"/>
      <c r="FS516" s="1"/>
    </row>
    <row r="517" spans="1:175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R517" s="1"/>
      <c r="S517" s="1"/>
      <c r="T517" s="1"/>
      <c r="U517" s="1"/>
      <c r="V517" s="1"/>
      <c r="Y517" s="1"/>
      <c r="Z517" s="2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U517" s="1"/>
      <c r="AW517" s="1"/>
      <c r="AX517" s="1"/>
      <c r="AY517" s="1"/>
      <c r="AZ517" s="1"/>
      <c r="BA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  <c r="DC517" s="1"/>
      <c r="DD517" s="1"/>
      <c r="DE517" s="1"/>
      <c r="DF517" s="1"/>
      <c r="DG517" s="1"/>
      <c r="DH517" s="1"/>
      <c r="DI517" s="1"/>
      <c r="DJ517" s="1"/>
      <c r="DK517" s="1"/>
      <c r="DL517" s="1"/>
      <c r="DM517" s="1"/>
      <c r="DN517" s="1"/>
      <c r="DO517" s="1"/>
      <c r="DP517" s="1"/>
      <c r="DQ517" s="1"/>
      <c r="DR517" s="1"/>
      <c r="DS517" s="1"/>
      <c r="DT517" s="1"/>
      <c r="DU517" s="1"/>
      <c r="DV517" s="1"/>
      <c r="DW517" s="1"/>
      <c r="DX517" s="1"/>
      <c r="DY517" s="1"/>
      <c r="DZ517" s="1"/>
      <c r="EA517" s="1"/>
      <c r="EB517" s="1"/>
      <c r="EC517" s="1"/>
      <c r="ED517" s="1"/>
      <c r="EE517" s="1"/>
      <c r="EF517" s="1"/>
      <c r="EG517" s="1"/>
      <c r="EH517" s="1"/>
      <c r="EI517" s="1"/>
      <c r="EJ517" s="1"/>
      <c r="EK517" s="1"/>
      <c r="EL517" s="1"/>
      <c r="EM517" s="1"/>
      <c r="EN517" s="1"/>
      <c r="EO517" s="1"/>
      <c r="EP517" s="1"/>
      <c r="EQ517" s="1"/>
      <c r="ER517" s="1"/>
      <c r="ES517" s="1"/>
      <c r="ET517" s="1"/>
      <c r="EU517" s="1"/>
      <c r="EV517" s="1"/>
      <c r="EW517" s="1"/>
      <c r="EX517" s="1"/>
      <c r="EY517" s="1"/>
      <c r="EZ517" s="1"/>
      <c r="FA517" s="1"/>
      <c r="FB517" s="1"/>
      <c r="FC517" s="1"/>
      <c r="FD517" s="1"/>
      <c r="FE517" s="1"/>
      <c r="FF517" s="1"/>
      <c r="FG517" s="1"/>
      <c r="FH517" s="1"/>
      <c r="FI517" s="1"/>
      <c r="FJ517" s="1"/>
      <c r="FK517" s="1"/>
      <c r="FL517" s="1"/>
      <c r="FM517" s="1"/>
      <c r="FN517" s="1"/>
      <c r="FO517" s="1"/>
      <c r="FP517" s="1"/>
      <c r="FQ517" s="1"/>
      <c r="FR517" s="2"/>
      <c r="FS517" s="1"/>
    </row>
    <row r="518" spans="1:175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R518" s="1"/>
      <c r="S518" s="1"/>
      <c r="T518" s="1"/>
      <c r="U518" s="1"/>
      <c r="V518" s="1"/>
      <c r="Y518" s="1"/>
      <c r="Z518" s="2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U518" s="1"/>
      <c r="AW518" s="1"/>
      <c r="AX518" s="1"/>
      <c r="AY518" s="1"/>
      <c r="AZ518" s="1"/>
      <c r="BA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  <c r="DC518" s="1"/>
      <c r="DD518" s="1"/>
      <c r="DE518" s="1"/>
      <c r="DF518" s="1"/>
      <c r="DG518" s="1"/>
      <c r="DH518" s="1"/>
      <c r="DI518" s="1"/>
      <c r="DJ518" s="1"/>
      <c r="DK518" s="1"/>
      <c r="DL518" s="1"/>
      <c r="DM518" s="1"/>
      <c r="DN518" s="1"/>
      <c r="DO518" s="1"/>
      <c r="DP518" s="1"/>
      <c r="DQ518" s="1"/>
      <c r="DR518" s="1"/>
      <c r="DS518" s="1"/>
      <c r="DT518" s="1"/>
      <c r="DU518" s="1"/>
      <c r="DV518" s="1"/>
      <c r="DW518" s="1"/>
      <c r="DX518" s="1"/>
      <c r="DY518" s="1"/>
      <c r="DZ518" s="1"/>
      <c r="EA518" s="1"/>
      <c r="EB518" s="1"/>
      <c r="EC518" s="1"/>
      <c r="ED518" s="1"/>
      <c r="EE518" s="1"/>
      <c r="EF518" s="1"/>
      <c r="EG518" s="1"/>
      <c r="EH518" s="1"/>
      <c r="EI518" s="1"/>
      <c r="EJ518" s="1"/>
      <c r="EK518" s="1"/>
      <c r="EL518" s="1"/>
      <c r="EM518" s="1"/>
      <c r="EN518" s="1"/>
      <c r="EO518" s="1"/>
      <c r="EP518" s="1"/>
      <c r="EQ518" s="1"/>
      <c r="ER518" s="1"/>
      <c r="ES518" s="1"/>
      <c r="ET518" s="1"/>
      <c r="EU518" s="1"/>
      <c r="EV518" s="1"/>
      <c r="EW518" s="1"/>
      <c r="EX518" s="1"/>
      <c r="EY518" s="1"/>
      <c r="EZ518" s="1"/>
      <c r="FA518" s="1"/>
      <c r="FB518" s="1"/>
      <c r="FC518" s="1"/>
      <c r="FD518" s="1"/>
      <c r="FE518" s="1"/>
      <c r="FF518" s="1"/>
      <c r="FG518" s="1"/>
      <c r="FH518" s="1"/>
      <c r="FI518" s="1"/>
      <c r="FJ518" s="1"/>
      <c r="FK518" s="1"/>
      <c r="FL518" s="1"/>
      <c r="FM518" s="1"/>
      <c r="FN518" s="1"/>
      <c r="FO518" s="1"/>
      <c r="FP518" s="1"/>
      <c r="FQ518" s="1"/>
      <c r="FR518" s="2"/>
      <c r="FS518" s="1"/>
    </row>
    <row r="519" spans="1:175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R519" s="1"/>
      <c r="S519" s="1"/>
      <c r="T519" s="1"/>
      <c r="U519" s="1"/>
      <c r="V519" s="1"/>
      <c r="Y519" s="1"/>
      <c r="Z519" s="2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U519" s="1"/>
      <c r="AW519" s="1"/>
      <c r="AX519" s="1"/>
      <c r="AY519" s="1"/>
      <c r="AZ519" s="1"/>
      <c r="BA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  <c r="DC519" s="1"/>
      <c r="DD519" s="1"/>
      <c r="DE519" s="1"/>
      <c r="DF519" s="1"/>
      <c r="DG519" s="1"/>
      <c r="DH519" s="1"/>
      <c r="DI519" s="1"/>
      <c r="DJ519" s="1"/>
      <c r="DK519" s="1"/>
      <c r="DL519" s="1"/>
      <c r="DM519" s="1"/>
      <c r="DN519" s="1"/>
      <c r="DO519" s="1"/>
      <c r="DP519" s="1"/>
      <c r="DQ519" s="1"/>
      <c r="DR519" s="1"/>
      <c r="DS519" s="1"/>
      <c r="DT519" s="1"/>
      <c r="DU519" s="1"/>
      <c r="DV519" s="1"/>
      <c r="DW519" s="1"/>
      <c r="DX519" s="1"/>
      <c r="DY519" s="1"/>
      <c r="DZ519" s="1"/>
      <c r="EA519" s="1"/>
      <c r="EB519" s="1"/>
      <c r="EC519" s="1"/>
      <c r="ED519" s="1"/>
      <c r="EE519" s="1"/>
      <c r="EF519" s="1"/>
      <c r="EG519" s="1"/>
      <c r="EH519" s="1"/>
      <c r="EI519" s="1"/>
      <c r="EJ519" s="1"/>
      <c r="EK519" s="1"/>
      <c r="EL519" s="1"/>
      <c r="EM519" s="1"/>
      <c r="EN519" s="1"/>
      <c r="EO519" s="1"/>
      <c r="EP519" s="1"/>
      <c r="EQ519" s="1"/>
      <c r="ER519" s="1"/>
      <c r="ES519" s="1"/>
      <c r="ET519" s="1"/>
      <c r="EU519" s="1"/>
      <c r="EV519" s="1"/>
      <c r="EW519" s="1"/>
      <c r="EX519" s="1"/>
      <c r="EY519" s="1"/>
      <c r="EZ519" s="1"/>
      <c r="FA519" s="1"/>
      <c r="FB519" s="1"/>
      <c r="FC519" s="1"/>
      <c r="FD519" s="1"/>
      <c r="FE519" s="1"/>
      <c r="FF519" s="1"/>
      <c r="FG519" s="1"/>
      <c r="FH519" s="1"/>
      <c r="FI519" s="1"/>
      <c r="FJ519" s="1"/>
      <c r="FK519" s="1"/>
      <c r="FL519" s="1"/>
      <c r="FM519" s="1"/>
      <c r="FN519" s="1"/>
      <c r="FO519" s="1"/>
      <c r="FP519" s="1"/>
      <c r="FQ519" s="1"/>
      <c r="FR519" s="2"/>
      <c r="FS519" s="1"/>
    </row>
    <row r="520" spans="1:175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R520" s="1"/>
      <c r="S520" s="1"/>
      <c r="T520" s="1"/>
      <c r="U520" s="1"/>
      <c r="V520" s="1"/>
      <c r="Y520" s="1"/>
      <c r="Z520" s="2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U520" s="1"/>
      <c r="AW520" s="1"/>
      <c r="AX520" s="1"/>
      <c r="AY520" s="1"/>
      <c r="AZ520" s="1"/>
      <c r="BA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  <c r="DC520" s="1"/>
      <c r="DD520" s="1"/>
      <c r="DE520" s="1"/>
      <c r="DF520" s="1"/>
      <c r="DG520" s="1"/>
      <c r="DH520" s="1"/>
      <c r="DI520" s="1"/>
      <c r="DJ520" s="1"/>
      <c r="DK520" s="1"/>
      <c r="DL520" s="1"/>
      <c r="DM520" s="1"/>
      <c r="DN520" s="1"/>
      <c r="DO520" s="1"/>
      <c r="DP520" s="1"/>
      <c r="DQ520" s="1"/>
      <c r="DR520" s="1"/>
      <c r="DS520" s="1"/>
      <c r="DT520" s="1"/>
      <c r="DU520" s="1"/>
      <c r="DV520" s="1"/>
      <c r="DW520" s="1"/>
      <c r="DX520" s="1"/>
      <c r="DY520" s="1"/>
      <c r="DZ520" s="1"/>
      <c r="EA520" s="1"/>
      <c r="EB520" s="1"/>
      <c r="EC520" s="1"/>
      <c r="ED520" s="1"/>
      <c r="EE520" s="1"/>
      <c r="EF520" s="1"/>
      <c r="EG520" s="1"/>
      <c r="EH520" s="1"/>
      <c r="EI520" s="1"/>
      <c r="EJ520" s="1"/>
      <c r="EK520" s="1"/>
      <c r="EL520" s="1"/>
      <c r="EM520" s="1"/>
      <c r="EN520" s="1"/>
      <c r="EO520" s="1"/>
      <c r="EP520" s="1"/>
      <c r="EQ520" s="1"/>
      <c r="ER520" s="1"/>
      <c r="ES520" s="1"/>
      <c r="ET520" s="1"/>
      <c r="EU520" s="1"/>
      <c r="EV520" s="1"/>
      <c r="EW520" s="1"/>
      <c r="EX520" s="1"/>
      <c r="EY520" s="1"/>
      <c r="EZ520" s="1"/>
      <c r="FA520" s="1"/>
      <c r="FB520" s="1"/>
      <c r="FC520" s="1"/>
      <c r="FD520" s="1"/>
      <c r="FE520" s="1"/>
      <c r="FF520" s="1"/>
      <c r="FG520" s="1"/>
      <c r="FH520" s="1"/>
      <c r="FI520" s="1"/>
      <c r="FJ520" s="1"/>
      <c r="FK520" s="1"/>
      <c r="FL520" s="1"/>
      <c r="FM520" s="1"/>
      <c r="FN520" s="1"/>
      <c r="FO520" s="1"/>
      <c r="FP520" s="1"/>
      <c r="FQ520" s="1"/>
      <c r="FR520" s="2"/>
      <c r="FS520" s="1"/>
    </row>
    <row r="521" spans="1:175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R521" s="1"/>
      <c r="S521" s="1"/>
      <c r="T521" s="1"/>
      <c r="U521" s="1"/>
      <c r="V521" s="1"/>
      <c r="Y521" s="1"/>
      <c r="Z521" s="2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U521" s="1"/>
      <c r="AW521" s="1"/>
      <c r="AX521" s="1"/>
      <c r="AY521" s="1"/>
      <c r="AZ521" s="1"/>
      <c r="BA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  <c r="DC521" s="1"/>
      <c r="DD521" s="1"/>
      <c r="DE521" s="1"/>
      <c r="DF521" s="1"/>
      <c r="DG521" s="1"/>
      <c r="DH521" s="1"/>
      <c r="DI521" s="1"/>
      <c r="DJ521" s="1"/>
      <c r="DK521" s="1"/>
      <c r="DL521" s="1"/>
      <c r="DM521" s="1"/>
      <c r="DN521" s="1"/>
      <c r="DO521" s="1"/>
      <c r="DP521" s="1"/>
      <c r="DQ521" s="1"/>
      <c r="DR521" s="1"/>
      <c r="DS521" s="1"/>
      <c r="DT521" s="1"/>
      <c r="DU521" s="1"/>
      <c r="DV521" s="1"/>
      <c r="DW521" s="1"/>
      <c r="DX521" s="1"/>
      <c r="DY521" s="1"/>
      <c r="DZ521" s="1"/>
      <c r="EA521" s="1"/>
      <c r="EB521" s="1"/>
      <c r="EC521" s="1"/>
      <c r="ED521" s="1"/>
      <c r="EE521" s="1"/>
      <c r="EF521" s="1"/>
      <c r="EG521" s="1"/>
      <c r="EH521" s="1"/>
      <c r="EI521" s="1"/>
      <c r="EJ521" s="1"/>
      <c r="EK521" s="1"/>
      <c r="EL521" s="1"/>
      <c r="EM521" s="1"/>
      <c r="EN521" s="1"/>
      <c r="EO521" s="1"/>
      <c r="EP521" s="1"/>
      <c r="EQ521" s="1"/>
      <c r="ER521" s="1"/>
      <c r="ES521" s="1"/>
      <c r="ET521" s="1"/>
      <c r="EU521" s="1"/>
      <c r="EV521" s="1"/>
      <c r="EW521" s="1"/>
      <c r="EX521" s="1"/>
      <c r="EY521" s="1"/>
      <c r="EZ521" s="1"/>
      <c r="FA521" s="1"/>
      <c r="FB521" s="1"/>
      <c r="FC521" s="1"/>
      <c r="FD521" s="1"/>
      <c r="FE521" s="1"/>
      <c r="FF521" s="1"/>
      <c r="FG521" s="1"/>
      <c r="FH521" s="1"/>
      <c r="FI521" s="1"/>
      <c r="FJ521" s="1"/>
      <c r="FK521" s="1"/>
      <c r="FL521" s="1"/>
      <c r="FM521" s="1"/>
      <c r="FN521" s="1"/>
      <c r="FO521" s="1"/>
      <c r="FP521" s="1"/>
      <c r="FQ521" s="1"/>
      <c r="FR521" s="2"/>
      <c r="FS521" s="1"/>
    </row>
    <row r="522" spans="1:175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R522" s="1"/>
      <c r="S522" s="1"/>
      <c r="T522" s="1"/>
      <c r="U522" s="1"/>
      <c r="V522" s="1"/>
      <c r="Y522" s="1"/>
      <c r="Z522" s="2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U522" s="1"/>
      <c r="AW522" s="1"/>
      <c r="AX522" s="1"/>
      <c r="AY522" s="1"/>
      <c r="AZ522" s="1"/>
      <c r="BA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  <c r="DC522" s="1"/>
      <c r="DD522" s="1"/>
      <c r="DE522" s="1"/>
      <c r="DF522" s="1"/>
      <c r="DG522" s="1"/>
      <c r="DH522" s="1"/>
      <c r="DI522" s="1"/>
      <c r="DJ522" s="1"/>
      <c r="DK522" s="1"/>
      <c r="DL522" s="1"/>
      <c r="DM522" s="1"/>
      <c r="DN522" s="1"/>
      <c r="DO522" s="1"/>
      <c r="DP522" s="1"/>
      <c r="DQ522" s="1"/>
      <c r="DR522" s="1"/>
      <c r="DS522" s="1"/>
      <c r="DT522" s="1"/>
      <c r="DU522" s="1"/>
      <c r="DV522" s="1"/>
      <c r="DW522" s="1"/>
      <c r="DX522" s="1"/>
      <c r="DY522" s="1"/>
      <c r="DZ522" s="1"/>
      <c r="EA522" s="1"/>
      <c r="EB522" s="1"/>
      <c r="EC522" s="1"/>
      <c r="ED522" s="1"/>
      <c r="EE522" s="1"/>
      <c r="EF522" s="1"/>
      <c r="EG522" s="1"/>
      <c r="EH522" s="1"/>
      <c r="EI522" s="1"/>
      <c r="EJ522" s="1"/>
      <c r="EK522" s="1"/>
      <c r="EL522" s="1"/>
      <c r="EM522" s="1"/>
      <c r="EN522" s="1"/>
      <c r="EO522" s="1"/>
      <c r="EP522" s="1"/>
      <c r="EQ522" s="1"/>
      <c r="ER522" s="1"/>
      <c r="ES522" s="1"/>
      <c r="ET522" s="1"/>
      <c r="EU522" s="1"/>
      <c r="EV522" s="1"/>
      <c r="EW522" s="1"/>
      <c r="EX522" s="1"/>
      <c r="EY522" s="1"/>
      <c r="EZ522" s="1"/>
      <c r="FA522" s="1"/>
      <c r="FB522" s="1"/>
      <c r="FC522" s="1"/>
      <c r="FD522" s="1"/>
      <c r="FE522" s="1"/>
      <c r="FF522" s="1"/>
      <c r="FG522" s="1"/>
      <c r="FH522" s="1"/>
      <c r="FI522" s="1"/>
      <c r="FJ522" s="1"/>
      <c r="FK522" s="1"/>
      <c r="FL522" s="1"/>
      <c r="FM522" s="1"/>
      <c r="FN522" s="1"/>
      <c r="FO522" s="1"/>
      <c r="FP522" s="1"/>
      <c r="FQ522" s="1"/>
      <c r="FR522" s="2"/>
      <c r="FS522" s="1"/>
    </row>
    <row r="523" spans="1:175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R523" s="1"/>
      <c r="S523" s="1"/>
      <c r="T523" s="1"/>
      <c r="U523" s="1"/>
      <c r="V523" s="1"/>
      <c r="Y523" s="1"/>
      <c r="Z523" s="2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U523" s="1"/>
      <c r="AW523" s="1"/>
      <c r="AX523" s="1"/>
      <c r="AY523" s="1"/>
      <c r="AZ523" s="1"/>
      <c r="BA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  <c r="DC523" s="1"/>
      <c r="DD523" s="1"/>
      <c r="DE523" s="1"/>
      <c r="DF523" s="1"/>
      <c r="DG523" s="1"/>
      <c r="DH523" s="1"/>
      <c r="DI523" s="1"/>
      <c r="DJ523" s="1"/>
      <c r="DK523" s="1"/>
      <c r="DL523" s="1"/>
      <c r="DM523" s="1"/>
      <c r="DN523" s="1"/>
      <c r="DO523" s="1"/>
      <c r="DP523" s="1"/>
      <c r="DQ523" s="1"/>
      <c r="DR523" s="1"/>
      <c r="DS523" s="1"/>
      <c r="DT523" s="1"/>
      <c r="DU523" s="1"/>
      <c r="DV523" s="1"/>
      <c r="DW523" s="1"/>
      <c r="DX523" s="1"/>
      <c r="DY523" s="1"/>
      <c r="DZ523" s="1"/>
      <c r="EA523" s="1"/>
      <c r="EB523" s="1"/>
      <c r="EC523" s="1"/>
      <c r="ED523" s="1"/>
      <c r="EE523" s="1"/>
      <c r="EF523" s="1"/>
      <c r="EG523" s="1"/>
      <c r="EH523" s="1"/>
      <c r="EI523" s="1"/>
      <c r="EJ523" s="1"/>
      <c r="EK523" s="1"/>
      <c r="EL523" s="1"/>
      <c r="EM523" s="1"/>
      <c r="EN523" s="1"/>
      <c r="EO523" s="1"/>
      <c r="EP523" s="1"/>
      <c r="EQ523" s="1"/>
      <c r="ER523" s="1"/>
      <c r="ES523" s="1"/>
      <c r="ET523" s="1"/>
      <c r="EU523" s="1"/>
      <c r="EV523" s="1"/>
      <c r="EW523" s="1"/>
      <c r="EX523" s="1"/>
      <c r="EY523" s="1"/>
      <c r="EZ523" s="1"/>
      <c r="FA523" s="1"/>
      <c r="FB523" s="1"/>
      <c r="FC523" s="1"/>
      <c r="FD523" s="1"/>
      <c r="FE523" s="1"/>
      <c r="FF523" s="1"/>
      <c r="FG523" s="1"/>
      <c r="FH523" s="1"/>
      <c r="FI523" s="1"/>
      <c r="FJ523" s="1"/>
      <c r="FK523" s="1"/>
      <c r="FL523" s="1"/>
      <c r="FM523" s="1"/>
      <c r="FN523" s="1"/>
      <c r="FO523" s="1"/>
      <c r="FP523" s="1"/>
      <c r="FQ523" s="1"/>
      <c r="FR523" s="2"/>
      <c r="FS523" s="1"/>
    </row>
    <row r="524" spans="1:175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R524" s="1"/>
      <c r="S524" s="1"/>
      <c r="T524" s="1"/>
      <c r="U524" s="1"/>
      <c r="V524" s="1"/>
      <c r="Y524" s="1"/>
      <c r="Z524" s="2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U524" s="1"/>
      <c r="AW524" s="1"/>
      <c r="AX524" s="1"/>
      <c r="AY524" s="1"/>
      <c r="AZ524" s="1"/>
      <c r="BA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  <c r="DC524" s="1"/>
      <c r="DD524" s="1"/>
      <c r="DE524" s="1"/>
      <c r="DF524" s="1"/>
      <c r="DG524" s="1"/>
      <c r="DH524" s="1"/>
      <c r="DI524" s="1"/>
      <c r="DJ524" s="1"/>
      <c r="DK524" s="1"/>
      <c r="DL524" s="1"/>
      <c r="DM524" s="1"/>
      <c r="DN524" s="1"/>
      <c r="DO524" s="1"/>
      <c r="DP524" s="1"/>
      <c r="DQ524" s="1"/>
      <c r="DR524" s="1"/>
      <c r="DS524" s="1"/>
      <c r="DT524" s="1"/>
      <c r="DU524" s="1"/>
      <c r="DV524" s="1"/>
      <c r="DW524" s="1"/>
      <c r="DX524" s="1"/>
      <c r="DY524" s="1"/>
      <c r="DZ524" s="1"/>
      <c r="EA524" s="1"/>
      <c r="EB524" s="1"/>
      <c r="EC524" s="1"/>
      <c r="ED524" s="1"/>
      <c r="EE524" s="1"/>
      <c r="EF524" s="1"/>
      <c r="EG524" s="1"/>
      <c r="EH524" s="1"/>
      <c r="EI524" s="1"/>
      <c r="EJ524" s="1"/>
      <c r="EK524" s="1"/>
      <c r="EL524" s="1"/>
      <c r="EM524" s="1"/>
      <c r="EN524" s="1"/>
      <c r="EO524" s="1"/>
      <c r="EP524" s="1"/>
      <c r="EQ524" s="1"/>
      <c r="ER524" s="1"/>
      <c r="ES524" s="1"/>
      <c r="ET524" s="1"/>
      <c r="EU524" s="1"/>
      <c r="EV524" s="1"/>
      <c r="EW524" s="1"/>
      <c r="EX524" s="1"/>
      <c r="EY524" s="1"/>
      <c r="EZ524" s="1"/>
      <c r="FA524" s="1"/>
      <c r="FB524" s="1"/>
      <c r="FC524" s="1"/>
      <c r="FD524" s="1"/>
      <c r="FE524" s="1"/>
      <c r="FF524" s="1"/>
      <c r="FG524" s="1"/>
      <c r="FH524" s="1"/>
      <c r="FI524" s="1"/>
      <c r="FJ524" s="1"/>
      <c r="FK524" s="1"/>
      <c r="FL524" s="1"/>
      <c r="FM524" s="1"/>
      <c r="FN524" s="1"/>
      <c r="FO524" s="1"/>
      <c r="FP524" s="1"/>
      <c r="FQ524" s="1"/>
      <c r="FR524" s="2"/>
      <c r="FS524" s="1"/>
    </row>
    <row r="525" spans="1:175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R525" s="1"/>
      <c r="S525" s="1"/>
      <c r="T525" s="1"/>
      <c r="U525" s="1"/>
      <c r="V525" s="1"/>
      <c r="Y525" s="1"/>
      <c r="Z525" s="2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U525" s="1"/>
      <c r="AW525" s="1"/>
      <c r="AX525" s="1"/>
      <c r="AY525" s="1"/>
      <c r="AZ525" s="1"/>
      <c r="BA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  <c r="DC525" s="1"/>
      <c r="DD525" s="1"/>
      <c r="DE525" s="1"/>
      <c r="DF525" s="1"/>
      <c r="DG525" s="1"/>
      <c r="DH525" s="1"/>
      <c r="DI525" s="1"/>
      <c r="DJ525" s="1"/>
      <c r="DK525" s="1"/>
      <c r="DL525" s="1"/>
      <c r="DM525" s="1"/>
      <c r="DN525" s="1"/>
      <c r="DO525" s="1"/>
      <c r="DP525" s="1"/>
      <c r="DQ525" s="1"/>
      <c r="DR525" s="1"/>
      <c r="DS525" s="1"/>
      <c r="DT525" s="1"/>
      <c r="DU525" s="1"/>
      <c r="DV525" s="1"/>
      <c r="DW525" s="1"/>
      <c r="DX525" s="1"/>
      <c r="DY525" s="1"/>
      <c r="DZ525" s="1"/>
      <c r="EA525" s="1"/>
      <c r="EB525" s="1"/>
      <c r="EC525" s="1"/>
      <c r="ED525" s="1"/>
      <c r="EE525" s="1"/>
      <c r="EF525" s="1"/>
      <c r="EG525" s="1"/>
      <c r="EH525" s="1"/>
      <c r="EI525" s="1"/>
      <c r="EJ525" s="1"/>
      <c r="EK525" s="1"/>
      <c r="EL525" s="1"/>
      <c r="EM525" s="1"/>
      <c r="EN525" s="1"/>
      <c r="EO525" s="1"/>
      <c r="EP525" s="1"/>
      <c r="EQ525" s="1"/>
      <c r="ER525" s="1"/>
      <c r="ES525" s="1"/>
      <c r="ET525" s="1"/>
      <c r="EU525" s="1"/>
      <c r="EV525" s="1"/>
      <c r="EW525" s="1"/>
      <c r="EX525" s="1"/>
      <c r="EY525" s="1"/>
      <c r="EZ525" s="1"/>
      <c r="FA525" s="1"/>
      <c r="FB525" s="1"/>
      <c r="FC525" s="1"/>
      <c r="FD525" s="1"/>
      <c r="FE525" s="1"/>
      <c r="FF525" s="1"/>
      <c r="FG525" s="1"/>
      <c r="FH525" s="1"/>
      <c r="FI525" s="1"/>
      <c r="FJ525" s="1"/>
      <c r="FK525" s="1"/>
      <c r="FL525" s="1"/>
      <c r="FM525" s="1"/>
      <c r="FN525" s="1"/>
      <c r="FO525" s="1"/>
      <c r="FP525" s="1"/>
      <c r="FQ525" s="1"/>
      <c r="FR525" s="2"/>
      <c r="FS525" s="1"/>
    </row>
    <row r="526" spans="1:175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R526" s="1"/>
      <c r="S526" s="1"/>
      <c r="T526" s="1"/>
      <c r="U526" s="1"/>
      <c r="V526" s="1"/>
      <c r="Y526" s="1"/>
      <c r="Z526" s="2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U526" s="1"/>
      <c r="AW526" s="1"/>
      <c r="AX526" s="1"/>
      <c r="AY526" s="1"/>
      <c r="AZ526" s="1"/>
      <c r="BA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  <c r="DC526" s="1"/>
      <c r="DD526" s="1"/>
      <c r="DE526" s="1"/>
      <c r="DF526" s="1"/>
      <c r="DG526" s="1"/>
      <c r="DH526" s="1"/>
      <c r="DI526" s="1"/>
      <c r="DJ526" s="1"/>
      <c r="DK526" s="1"/>
      <c r="DL526" s="1"/>
      <c r="DM526" s="1"/>
      <c r="DN526" s="1"/>
      <c r="DO526" s="1"/>
      <c r="DP526" s="1"/>
      <c r="DQ526" s="1"/>
      <c r="DR526" s="1"/>
      <c r="DS526" s="1"/>
      <c r="DT526" s="1"/>
      <c r="DU526" s="1"/>
      <c r="DV526" s="1"/>
      <c r="DW526" s="1"/>
      <c r="DX526" s="1"/>
      <c r="DY526" s="1"/>
      <c r="DZ526" s="1"/>
      <c r="EA526" s="1"/>
      <c r="EB526" s="1"/>
      <c r="EC526" s="1"/>
      <c r="ED526" s="1"/>
      <c r="EE526" s="1"/>
      <c r="EF526" s="1"/>
      <c r="EG526" s="1"/>
      <c r="EH526" s="1"/>
      <c r="EI526" s="1"/>
      <c r="EJ526" s="1"/>
      <c r="EK526" s="1"/>
      <c r="EL526" s="1"/>
      <c r="EM526" s="1"/>
      <c r="EN526" s="1"/>
      <c r="EO526" s="1"/>
      <c r="EP526" s="1"/>
      <c r="EQ526" s="1"/>
      <c r="ER526" s="1"/>
      <c r="ES526" s="1"/>
      <c r="ET526" s="1"/>
      <c r="EU526" s="1"/>
      <c r="EV526" s="1"/>
      <c r="EW526" s="1"/>
      <c r="EX526" s="1"/>
      <c r="EY526" s="1"/>
      <c r="EZ526" s="1"/>
      <c r="FA526" s="1"/>
      <c r="FB526" s="1"/>
      <c r="FC526" s="1"/>
      <c r="FD526" s="1"/>
      <c r="FE526" s="1"/>
      <c r="FF526" s="1"/>
      <c r="FG526" s="1"/>
      <c r="FH526" s="1"/>
      <c r="FI526" s="1"/>
      <c r="FJ526" s="1"/>
      <c r="FK526" s="1"/>
      <c r="FL526" s="1"/>
      <c r="FM526" s="1"/>
      <c r="FN526" s="1"/>
      <c r="FO526" s="1"/>
      <c r="FP526" s="1"/>
      <c r="FQ526" s="1"/>
      <c r="FR526" s="2"/>
      <c r="FS526" s="1"/>
    </row>
    <row r="527" spans="1:175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R527" s="1"/>
      <c r="S527" s="1"/>
      <c r="T527" s="1"/>
      <c r="U527" s="1"/>
      <c r="V527" s="1"/>
      <c r="Y527" s="1"/>
      <c r="Z527" s="2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U527" s="1"/>
      <c r="AW527" s="1"/>
      <c r="AX527" s="1"/>
      <c r="AY527" s="1"/>
      <c r="AZ527" s="1"/>
      <c r="BA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  <c r="DC527" s="1"/>
      <c r="DD527" s="1"/>
      <c r="DE527" s="1"/>
      <c r="DF527" s="1"/>
      <c r="DG527" s="1"/>
      <c r="DH527" s="1"/>
      <c r="DI527" s="1"/>
      <c r="DJ527" s="1"/>
      <c r="DK527" s="1"/>
      <c r="DL527" s="1"/>
      <c r="DM527" s="1"/>
      <c r="DN527" s="1"/>
      <c r="DO527" s="1"/>
      <c r="DP527" s="1"/>
      <c r="DQ527" s="1"/>
      <c r="DR527" s="1"/>
      <c r="DS527" s="1"/>
      <c r="DT527" s="1"/>
      <c r="DU527" s="1"/>
      <c r="DV527" s="1"/>
      <c r="DW527" s="1"/>
      <c r="DX527" s="1"/>
      <c r="DY527" s="1"/>
      <c r="DZ527" s="1"/>
      <c r="EA527" s="1"/>
      <c r="EB527" s="1"/>
      <c r="EC527" s="1"/>
      <c r="ED527" s="1"/>
      <c r="EE527" s="1"/>
      <c r="EF527" s="1"/>
      <c r="EG527" s="1"/>
      <c r="EH527" s="1"/>
      <c r="EI527" s="1"/>
      <c r="EJ527" s="1"/>
      <c r="EK527" s="1"/>
      <c r="EL527" s="1"/>
      <c r="EM527" s="1"/>
      <c r="EN527" s="1"/>
      <c r="EO527" s="1"/>
      <c r="EP527" s="1"/>
      <c r="EQ527" s="1"/>
      <c r="ER527" s="1"/>
      <c r="ES527" s="1"/>
      <c r="ET527" s="1"/>
      <c r="EU527" s="1"/>
      <c r="EV527" s="1"/>
      <c r="EW527" s="1"/>
      <c r="EX527" s="1"/>
      <c r="EY527" s="1"/>
      <c r="EZ527" s="1"/>
      <c r="FA527" s="1"/>
      <c r="FB527" s="1"/>
      <c r="FC527" s="1"/>
      <c r="FD527" s="1"/>
      <c r="FE527" s="1"/>
      <c r="FF527" s="1"/>
      <c r="FG527" s="1"/>
      <c r="FH527" s="1"/>
      <c r="FI527" s="1"/>
      <c r="FJ527" s="1"/>
      <c r="FK527" s="1"/>
      <c r="FL527" s="1"/>
      <c r="FM527" s="1"/>
      <c r="FN527" s="1"/>
      <c r="FO527" s="1"/>
      <c r="FP527" s="1"/>
      <c r="FQ527" s="1"/>
      <c r="FR527" s="2"/>
      <c r="FS527" s="1"/>
    </row>
    <row r="528" spans="1:175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R528" s="1"/>
      <c r="S528" s="1"/>
      <c r="T528" s="1"/>
      <c r="U528" s="1"/>
      <c r="V528" s="1"/>
      <c r="Y528" s="1"/>
      <c r="Z528" s="2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U528" s="1"/>
      <c r="AW528" s="1"/>
      <c r="AX528" s="1"/>
      <c r="AY528" s="1"/>
      <c r="AZ528" s="1"/>
      <c r="BA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  <c r="DC528" s="1"/>
      <c r="DD528" s="1"/>
      <c r="DE528" s="1"/>
      <c r="DF528" s="1"/>
      <c r="DG528" s="1"/>
      <c r="DH528" s="1"/>
      <c r="DI528" s="1"/>
      <c r="DJ528" s="1"/>
      <c r="DK528" s="1"/>
      <c r="DL528" s="1"/>
      <c r="DM528" s="1"/>
      <c r="DN528" s="1"/>
      <c r="DO528" s="1"/>
      <c r="DP528" s="1"/>
      <c r="DQ528" s="1"/>
      <c r="DR528" s="1"/>
      <c r="DS528" s="1"/>
      <c r="DT528" s="1"/>
      <c r="DU528" s="1"/>
      <c r="DV528" s="1"/>
      <c r="DW528" s="1"/>
      <c r="DX528" s="1"/>
      <c r="DY528" s="1"/>
      <c r="DZ528" s="1"/>
      <c r="EA528" s="1"/>
      <c r="EB528" s="1"/>
      <c r="EC528" s="1"/>
      <c r="ED528" s="1"/>
      <c r="EE528" s="1"/>
      <c r="EF528" s="1"/>
      <c r="EG528" s="1"/>
      <c r="EH528" s="1"/>
      <c r="EI528" s="1"/>
      <c r="EJ528" s="1"/>
      <c r="EK528" s="1"/>
      <c r="EL528" s="1"/>
      <c r="EM528" s="1"/>
      <c r="EN528" s="1"/>
      <c r="EO528" s="1"/>
      <c r="EP528" s="1"/>
      <c r="EQ528" s="1"/>
      <c r="ER528" s="1"/>
      <c r="ES528" s="1"/>
      <c r="ET528" s="1"/>
      <c r="EU528" s="1"/>
      <c r="EV528" s="1"/>
      <c r="EW528" s="1"/>
      <c r="EX528" s="1"/>
      <c r="EY528" s="1"/>
      <c r="EZ528" s="1"/>
      <c r="FA528" s="1"/>
      <c r="FB528" s="1"/>
      <c r="FC528" s="1"/>
      <c r="FD528" s="1"/>
      <c r="FE528" s="1"/>
      <c r="FF528" s="1"/>
      <c r="FG528" s="1"/>
      <c r="FH528" s="1"/>
      <c r="FI528" s="1"/>
      <c r="FJ528" s="1"/>
      <c r="FK528" s="1"/>
      <c r="FL528" s="1"/>
      <c r="FM528" s="1"/>
      <c r="FN528" s="1"/>
      <c r="FO528" s="1"/>
      <c r="FP528" s="1"/>
      <c r="FQ528" s="1"/>
      <c r="FR528" s="2"/>
      <c r="FS528" s="1"/>
    </row>
    <row r="529" spans="1:175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R529" s="1"/>
      <c r="S529" s="1"/>
      <c r="T529" s="1"/>
      <c r="U529" s="1"/>
      <c r="V529" s="1"/>
      <c r="Y529" s="1"/>
      <c r="Z529" s="2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U529" s="1"/>
      <c r="AW529" s="1"/>
      <c r="AX529" s="1"/>
      <c r="AY529" s="1"/>
      <c r="AZ529" s="1"/>
      <c r="BA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  <c r="DC529" s="1"/>
      <c r="DD529" s="1"/>
      <c r="DE529" s="1"/>
      <c r="DF529" s="1"/>
      <c r="DG529" s="1"/>
      <c r="DH529" s="1"/>
      <c r="DI529" s="1"/>
      <c r="DJ529" s="1"/>
      <c r="DK529" s="1"/>
      <c r="DL529" s="1"/>
      <c r="DM529" s="1"/>
      <c r="DN529" s="1"/>
      <c r="DO529" s="1"/>
      <c r="DP529" s="1"/>
      <c r="DQ529" s="1"/>
      <c r="DR529" s="1"/>
      <c r="DS529" s="1"/>
      <c r="DT529" s="1"/>
      <c r="DU529" s="1"/>
      <c r="DV529" s="1"/>
      <c r="DW529" s="1"/>
      <c r="DX529" s="1"/>
      <c r="DY529" s="1"/>
      <c r="DZ529" s="1"/>
      <c r="EA529" s="1"/>
      <c r="EB529" s="1"/>
      <c r="EC529" s="1"/>
      <c r="ED529" s="1"/>
      <c r="EE529" s="1"/>
      <c r="EF529" s="1"/>
      <c r="EG529" s="1"/>
      <c r="EH529" s="1"/>
      <c r="EI529" s="1"/>
      <c r="EJ529" s="1"/>
      <c r="EK529" s="1"/>
      <c r="EL529" s="1"/>
      <c r="EM529" s="1"/>
      <c r="EN529" s="1"/>
      <c r="EO529" s="1"/>
      <c r="EP529" s="1"/>
      <c r="EQ529" s="1"/>
      <c r="ER529" s="1"/>
      <c r="ES529" s="1"/>
      <c r="ET529" s="1"/>
      <c r="EU529" s="1"/>
      <c r="EV529" s="1"/>
      <c r="EW529" s="1"/>
      <c r="EX529" s="1"/>
      <c r="EY529" s="1"/>
      <c r="EZ529" s="1"/>
      <c r="FA529" s="1"/>
      <c r="FB529" s="1"/>
      <c r="FC529" s="1"/>
      <c r="FD529" s="1"/>
      <c r="FE529" s="1"/>
      <c r="FF529" s="1"/>
      <c r="FG529" s="1"/>
      <c r="FH529" s="1"/>
      <c r="FI529" s="1"/>
      <c r="FJ529" s="1"/>
      <c r="FK529" s="1"/>
      <c r="FL529" s="1"/>
      <c r="FM529" s="1"/>
      <c r="FN529" s="1"/>
      <c r="FO529" s="1"/>
      <c r="FP529" s="1"/>
      <c r="FQ529" s="1"/>
      <c r="FR529" s="2"/>
      <c r="FS529" s="1"/>
    </row>
    <row r="530" spans="1:175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R530" s="1"/>
      <c r="S530" s="1"/>
      <c r="T530" s="1"/>
      <c r="U530" s="1"/>
      <c r="V530" s="1"/>
      <c r="Y530" s="1"/>
      <c r="Z530" s="2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U530" s="1"/>
      <c r="AW530" s="1"/>
      <c r="AX530" s="1"/>
      <c r="AY530" s="1"/>
      <c r="AZ530" s="1"/>
      <c r="BA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  <c r="DC530" s="1"/>
      <c r="DD530" s="1"/>
      <c r="DE530" s="1"/>
      <c r="DF530" s="1"/>
      <c r="DG530" s="1"/>
      <c r="DH530" s="1"/>
      <c r="DI530" s="1"/>
      <c r="DJ530" s="1"/>
      <c r="DK530" s="1"/>
      <c r="DL530" s="1"/>
      <c r="DM530" s="1"/>
      <c r="DN530" s="1"/>
      <c r="DO530" s="1"/>
      <c r="DP530" s="1"/>
      <c r="DQ530" s="1"/>
      <c r="DR530" s="1"/>
      <c r="DS530" s="1"/>
      <c r="DT530" s="1"/>
      <c r="DU530" s="1"/>
      <c r="DV530" s="1"/>
      <c r="DW530" s="1"/>
      <c r="DX530" s="1"/>
      <c r="DY530" s="1"/>
      <c r="DZ530" s="1"/>
      <c r="EA530" s="1"/>
      <c r="EB530" s="1"/>
      <c r="EC530" s="1"/>
      <c r="ED530" s="1"/>
      <c r="EE530" s="1"/>
      <c r="EF530" s="1"/>
      <c r="EG530" s="1"/>
      <c r="EH530" s="1"/>
      <c r="EI530" s="1"/>
      <c r="EJ530" s="1"/>
      <c r="EK530" s="1"/>
      <c r="EL530" s="1"/>
      <c r="EM530" s="1"/>
      <c r="EN530" s="1"/>
      <c r="EO530" s="1"/>
      <c r="EP530" s="1"/>
      <c r="EQ530" s="1"/>
      <c r="ER530" s="1"/>
      <c r="ES530" s="1"/>
      <c r="ET530" s="1"/>
      <c r="EU530" s="1"/>
      <c r="EV530" s="1"/>
      <c r="EW530" s="1"/>
      <c r="EX530" s="1"/>
      <c r="EY530" s="1"/>
      <c r="EZ530" s="1"/>
      <c r="FA530" s="1"/>
      <c r="FB530" s="1"/>
      <c r="FC530" s="1"/>
      <c r="FD530" s="1"/>
      <c r="FE530" s="1"/>
      <c r="FF530" s="1"/>
      <c r="FG530" s="1"/>
      <c r="FH530" s="1"/>
      <c r="FI530" s="1"/>
      <c r="FJ530" s="1"/>
      <c r="FK530" s="1"/>
      <c r="FL530" s="1"/>
      <c r="FM530" s="1"/>
      <c r="FN530" s="1"/>
      <c r="FO530" s="1"/>
      <c r="FP530" s="1"/>
      <c r="FQ530" s="1"/>
      <c r="FR530" s="2"/>
      <c r="FS530" s="1"/>
    </row>
    <row r="531" spans="1:175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R531" s="1"/>
      <c r="S531" s="1"/>
      <c r="T531" s="1"/>
      <c r="U531" s="1"/>
      <c r="V531" s="1"/>
      <c r="Y531" s="1"/>
      <c r="Z531" s="2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U531" s="1"/>
      <c r="AW531" s="1"/>
      <c r="AX531" s="1"/>
      <c r="AY531" s="1"/>
      <c r="AZ531" s="1"/>
      <c r="BA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  <c r="DC531" s="1"/>
      <c r="DD531" s="1"/>
      <c r="DE531" s="1"/>
      <c r="DF531" s="1"/>
      <c r="DG531" s="1"/>
      <c r="DH531" s="1"/>
      <c r="DI531" s="1"/>
      <c r="DJ531" s="1"/>
      <c r="DK531" s="1"/>
      <c r="DL531" s="1"/>
      <c r="DM531" s="1"/>
      <c r="DN531" s="1"/>
      <c r="DO531" s="1"/>
      <c r="DP531" s="1"/>
      <c r="DQ531" s="1"/>
      <c r="DR531" s="1"/>
      <c r="DS531" s="1"/>
      <c r="DT531" s="1"/>
      <c r="DU531" s="1"/>
      <c r="DV531" s="1"/>
      <c r="DW531" s="1"/>
      <c r="DX531" s="1"/>
      <c r="DY531" s="1"/>
      <c r="DZ531" s="1"/>
      <c r="EA531" s="1"/>
      <c r="EB531" s="1"/>
      <c r="EC531" s="1"/>
      <c r="ED531" s="1"/>
      <c r="EE531" s="1"/>
      <c r="EF531" s="1"/>
      <c r="EG531" s="1"/>
      <c r="EH531" s="1"/>
      <c r="EI531" s="1"/>
      <c r="EJ531" s="1"/>
      <c r="EK531" s="1"/>
      <c r="EL531" s="1"/>
      <c r="EM531" s="1"/>
      <c r="EN531" s="1"/>
      <c r="EO531" s="1"/>
      <c r="EP531" s="1"/>
      <c r="EQ531" s="1"/>
      <c r="ER531" s="1"/>
      <c r="ES531" s="1"/>
      <c r="ET531" s="1"/>
      <c r="EU531" s="1"/>
      <c r="EV531" s="1"/>
      <c r="EW531" s="1"/>
      <c r="EX531" s="1"/>
      <c r="EY531" s="1"/>
      <c r="EZ531" s="1"/>
      <c r="FA531" s="1"/>
      <c r="FB531" s="1"/>
      <c r="FC531" s="1"/>
      <c r="FD531" s="1"/>
      <c r="FE531" s="1"/>
      <c r="FF531" s="1"/>
      <c r="FG531" s="1"/>
      <c r="FH531" s="1"/>
      <c r="FI531" s="1"/>
      <c r="FJ531" s="1"/>
      <c r="FK531" s="1"/>
      <c r="FL531" s="1"/>
      <c r="FM531" s="1"/>
      <c r="FN531" s="1"/>
      <c r="FO531" s="1"/>
      <c r="FP531" s="1"/>
      <c r="FQ531" s="1"/>
      <c r="FR531" s="2"/>
      <c r="FS531" s="1"/>
    </row>
    <row r="532" spans="1:175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R532" s="1"/>
      <c r="S532" s="1"/>
      <c r="T532" s="1"/>
      <c r="U532" s="1"/>
      <c r="V532" s="1"/>
      <c r="Y532" s="1"/>
      <c r="Z532" s="2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U532" s="1"/>
      <c r="AW532" s="1"/>
      <c r="AX532" s="1"/>
      <c r="AY532" s="1"/>
      <c r="AZ532" s="1"/>
      <c r="BA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  <c r="DC532" s="1"/>
      <c r="DD532" s="1"/>
      <c r="DE532" s="1"/>
      <c r="DF532" s="1"/>
      <c r="DG532" s="1"/>
      <c r="DH532" s="1"/>
      <c r="DI532" s="1"/>
      <c r="DJ532" s="1"/>
      <c r="DK532" s="1"/>
      <c r="DL532" s="1"/>
      <c r="DM532" s="1"/>
      <c r="DN532" s="1"/>
      <c r="DO532" s="1"/>
      <c r="DP532" s="1"/>
      <c r="DQ532" s="1"/>
      <c r="DR532" s="1"/>
      <c r="DS532" s="1"/>
      <c r="DT532" s="1"/>
      <c r="DU532" s="1"/>
      <c r="DV532" s="1"/>
      <c r="DW532" s="1"/>
      <c r="DX532" s="1"/>
      <c r="DY532" s="1"/>
      <c r="DZ532" s="1"/>
      <c r="EA532" s="1"/>
      <c r="EB532" s="1"/>
      <c r="EC532" s="1"/>
      <c r="ED532" s="1"/>
      <c r="EE532" s="1"/>
      <c r="EF532" s="1"/>
      <c r="EG532" s="1"/>
      <c r="EH532" s="1"/>
      <c r="EI532" s="1"/>
      <c r="EJ532" s="1"/>
      <c r="EK532" s="1"/>
      <c r="EL532" s="1"/>
      <c r="EM532" s="1"/>
      <c r="EN532" s="1"/>
      <c r="EO532" s="1"/>
      <c r="EP532" s="1"/>
      <c r="EQ532" s="1"/>
      <c r="ER532" s="1"/>
      <c r="ES532" s="1"/>
      <c r="ET532" s="1"/>
      <c r="EU532" s="1"/>
      <c r="EV532" s="1"/>
      <c r="EW532" s="1"/>
      <c r="EX532" s="1"/>
      <c r="EY532" s="1"/>
      <c r="EZ532" s="1"/>
      <c r="FA532" s="1"/>
      <c r="FB532" s="1"/>
      <c r="FC532" s="1"/>
      <c r="FD532" s="1"/>
      <c r="FE532" s="1"/>
      <c r="FF532" s="1"/>
      <c r="FG532" s="1"/>
      <c r="FH532" s="1"/>
      <c r="FI532" s="1"/>
      <c r="FJ532" s="1"/>
      <c r="FK532" s="1"/>
      <c r="FL532" s="1"/>
      <c r="FM532" s="1"/>
      <c r="FN532" s="1"/>
      <c r="FO532" s="1"/>
      <c r="FP532" s="1"/>
      <c r="FQ532" s="1"/>
      <c r="FR532" s="2"/>
      <c r="FS532" s="1"/>
    </row>
    <row r="533" spans="1:175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R533" s="1"/>
      <c r="S533" s="1"/>
      <c r="T533" s="1"/>
      <c r="U533" s="1"/>
      <c r="V533" s="1"/>
      <c r="Y533" s="1"/>
      <c r="Z533" s="2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U533" s="1"/>
      <c r="AW533" s="1"/>
      <c r="AX533" s="1"/>
      <c r="AY533" s="1"/>
      <c r="AZ533" s="1"/>
      <c r="BA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  <c r="DC533" s="1"/>
      <c r="DD533" s="1"/>
      <c r="DE533" s="1"/>
      <c r="DF533" s="1"/>
      <c r="DG533" s="1"/>
      <c r="DH533" s="1"/>
      <c r="DI533" s="1"/>
      <c r="DJ533" s="1"/>
      <c r="DK533" s="1"/>
      <c r="DL533" s="1"/>
      <c r="DM533" s="1"/>
      <c r="DN533" s="1"/>
      <c r="DO533" s="1"/>
      <c r="DP533" s="1"/>
      <c r="DQ533" s="1"/>
      <c r="DR533" s="1"/>
      <c r="DS533" s="1"/>
      <c r="DT533" s="1"/>
      <c r="DU533" s="1"/>
      <c r="DV533" s="1"/>
      <c r="DW533" s="1"/>
      <c r="DX533" s="1"/>
      <c r="DY533" s="1"/>
      <c r="DZ533" s="1"/>
      <c r="EA533" s="1"/>
      <c r="EB533" s="1"/>
      <c r="EC533" s="1"/>
      <c r="ED533" s="1"/>
      <c r="EE533" s="1"/>
      <c r="EF533" s="1"/>
      <c r="EG533" s="1"/>
      <c r="EH533" s="1"/>
      <c r="EI533" s="1"/>
      <c r="EJ533" s="1"/>
      <c r="EK533" s="1"/>
      <c r="EL533" s="1"/>
      <c r="EM533" s="1"/>
      <c r="EN533" s="1"/>
      <c r="EO533" s="1"/>
      <c r="EP533" s="1"/>
      <c r="EQ533" s="1"/>
      <c r="ER533" s="1"/>
      <c r="ES533" s="1"/>
      <c r="ET533" s="1"/>
      <c r="EU533" s="1"/>
      <c r="EV533" s="1"/>
      <c r="EW533" s="1"/>
      <c r="EX533" s="1"/>
      <c r="EY533" s="1"/>
      <c r="EZ533" s="1"/>
      <c r="FA533" s="1"/>
      <c r="FB533" s="1"/>
      <c r="FC533" s="1"/>
      <c r="FD533" s="1"/>
      <c r="FE533" s="1"/>
      <c r="FF533" s="1"/>
      <c r="FG533" s="1"/>
      <c r="FH533" s="1"/>
      <c r="FI533" s="1"/>
      <c r="FJ533" s="1"/>
      <c r="FK533" s="1"/>
      <c r="FL533" s="1"/>
      <c r="FM533" s="1"/>
      <c r="FN533" s="1"/>
      <c r="FO533" s="1"/>
      <c r="FP533" s="1"/>
      <c r="FQ533" s="1"/>
      <c r="FR533" s="2"/>
      <c r="FS533" s="1"/>
    </row>
    <row r="534" spans="1:175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R534" s="1"/>
      <c r="S534" s="1"/>
      <c r="T534" s="1"/>
      <c r="U534" s="1"/>
      <c r="V534" s="1"/>
      <c r="Y534" s="1"/>
      <c r="Z534" s="2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U534" s="1"/>
      <c r="AW534" s="1"/>
      <c r="AX534" s="1"/>
      <c r="AY534" s="1"/>
      <c r="AZ534" s="1"/>
      <c r="BA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  <c r="DC534" s="1"/>
      <c r="DD534" s="1"/>
      <c r="DE534" s="1"/>
      <c r="DF534" s="1"/>
      <c r="DG534" s="1"/>
      <c r="DH534" s="1"/>
      <c r="DI534" s="1"/>
      <c r="DJ534" s="1"/>
      <c r="DK534" s="1"/>
      <c r="DL534" s="1"/>
      <c r="DM534" s="1"/>
      <c r="DN534" s="1"/>
      <c r="DO534" s="1"/>
      <c r="DP534" s="1"/>
      <c r="DQ534" s="1"/>
      <c r="DR534" s="1"/>
      <c r="DS534" s="1"/>
      <c r="DT534" s="1"/>
      <c r="DU534" s="1"/>
      <c r="DV534" s="1"/>
      <c r="DW534" s="1"/>
      <c r="DX534" s="1"/>
      <c r="DY534" s="1"/>
      <c r="DZ534" s="1"/>
      <c r="EA534" s="1"/>
      <c r="EB534" s="1"/>
      <c r="EC534" s="1"/>
      <c r="ED534" s="1"/>
      <c r="EE534" s="1"/>
      <c r="EF534" s="1"/>
      <c r="EG534" s="1"/>
      <c r="EH534" s="1"/>
      <c r="EI534" s="1"/>
      <c r="EJ534" s="1"/>
      <c r="EK534" s="1"/>
      <c r="EL534" s="1"/>
      <c r="EM534" s="1"/>
      <c r="EN534" s="1"/>
      <c r="EO534" s="1"/>
      <c r="EP534" s="1"/>
      <c r="EQ534" s="1"/>
      <c r="ER534" s="1"/>
      <c r="ES534" s="1"/>
      <c r="ET534" s="1"/>
      <c r="EU534" s="1"/>
      <c r="EV534" s="1"/>
      <c r="EW534" s="1"/>
      <c r="EX534" s="1"/>
      <c r="EY534" s="1"/>
      <c r="EZ534" s="1"/>
      <c r="FA534" s="1"/>
      <c r="FB534" s="1"/>
      <c r="FC534" s="1"/>
      <c r="FD534" s="1"/>
      <c r="FE534" s="1"/>
      <c r="FF534" s="1"/>
      <c r="FG534" s="1"/>
      <c r="FH534" s="1"/>
      <c r="FI534" s="1"/>
      <c r="FJ534" s="1"/>
      <c r="FK534" s="1"/>
      <c r="FL534" s="1"/>
      <c r="FM534" s="1"/>
      <c r="FN534" s="1"/>
      <c r="FO534" s="1"/>
      <c r="FP534" s="1"/>
      <c r="FQ534" s="1"/>
      <c r="FR534" s="2"/>
      <c r="FS534" s="1"/>
    </row>
    <row r="535" spans="1:175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R535" s="1"/>
      <c r="S535" s="1"/>
      <c r="T535" s="1"/>
      <c r="U535" s="1"/>
      <c r="V535" s="1"/>
      <c r="Y535" s="1"/>
      <c r="Z535" s="2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U535" s="1"/>
      <c r="AW535" s="1"/>
      <c r="AX535" s="1"/>
      <c r="AY535" s="1"/>
      <c r="AZ535" s="1"/>
      <c r="BA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  <c r="DC535" s="1"/>
      <c r="DD535" s="1"/>
      <c r="DE535" s="1"/>
      <c r="DF535" s="1"/>
      <c r="DG535" s="1"/>
      <c r="DH535" s="1"/>
      <c r="DI535" s="1"/>
      <c r="DJ535" s="1"/>
      <c r="DK535" s="1"/>
      <c r="DL535" s="1"/>
      <c r="DM535" s="1"/>
      <c r="DN535" s="1"/>
      <c r="DO535" s="1"/>
      <c r="DP535" s="1"/>
      <c r="DQ535" s="1"/>
      <c r="DR535" s="1"/>
      <c r="DS535" s="1"/>
      <c r="DT535" s="1"/>
      <c r="DU535" s="1"/>
      <c r="DV535" s="1"/>
      <c r="DW535" s="1"/>
      <c r="DX535" s="1"/>
      <c r="DY535" s="1"/>
      <c r="DZ535" s="1"/>
      <c r="EA535" s="1"/>
      <c r="EB535" s="1"/>
      <c r="EC535" s="1"/>
      <c r="ED535" s="1"/>
      <c r="EE535" s="1"/>
      <c r="EF535" s="1"/>
      <c r="EG535" s="1"/>
      <c r="EH535" s="1"/>
      <c r="EI535" s="1"/>
      <c r="EJ535" s="1"/>
      <c r="EK535" s="1"/>
      <c r="EL535" s="1"/>
      <c r="EM535" s="1"/>
      <c r="EN535" s="1"/>
      <c r="EO535" s="1"/>
      <c r="EP535" s="1"/>
      <c r="EQ535" s="1"/>
      <c r="ER535" s="1"/>
      <c r="ES535" s="1"/>
      <c r="ET535" s="1"/>
      <c r="EU535" s="1"/>
      <c r="EV535" s="1"/>
      <c r="EW535" s="1"/>
      <c r="EX535" s="1"/>
      <c r="EY535" s="1"/>
      <c r="EZ535" s="1"/>
      <c r="FA535" s="1"/>
      <c r="FB535" s="1"/>
      <c r="FC535" s="1"/>
      <c r="FD535" s="1"/>
      <c r="FE535" s="1"/>
      <c r="FF535" s="1"/>
      <c r="FG535" s="1"/>
      <c r="FH535" s="1"/>
      <c r="FI535" s="1"/>
      <c r="FJ535" s="1"/>
      <c r="FK535" s="1"/>
      <c r="FL535" s="1"/>
      <c r="FM535" s="1"/>
      <c r="FN535" s="1"/>
      <c r="FO535" s="1"/>
      <c r="FP535" s="1"/>
      <c r="FQ535" s="1"/>
      <c r="FR535" s="2"/>
      <c r="FS535" s="1"/>
    </row>
    <row r="536" spans="1:175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R536" s="1"/>
      <c r="S536" s="1"/>
      <c r="T536" s="1"/>
      <c r="U536" s="1"/>
      <c r="V536" s="1"/>
      <c r="Y536" s="1"/>
      <c r="Z536" s="2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U536" s="1"/>
      <c r="AW536" s="1"/>
      <c r="AX536" s="1"/>
      <c r="AY536" s="1"/>
      <c r="AZ536" s="1"/>
      <c r="BA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  <c r="DC536" s="1"/>
      <c r="DD536" s="1"/>
      <c r="DE536" s="1"/>
      <c r="DF536" s="1"/>
      <c r="DG536" s="1"/>
      <c r="DH536" s="1"/>
      <c r="DI536" s="1"/>
      <c r="DJ536" s="1"/>
      <c r="DK536" s="1"/>
      <c r="DL536" s="1"/>
      <c r="DM536" s="1"/>
      <c r="DN536" s="1"/>
      <c r="DO536" s="1"/>
      <c r="DP536" s="1"/>
      <c r="DQ536" s="1"/>
      <c r="DR536" s="1"/>
      <c r="DS536" s="1"/>
      <c r="DT536" s="1"/>
      <c r="DU536" s="1"/>
      <c r="DV536" s="1"/>
      <c r="DW536" s="1"/>
      <c r="DX536" s="1"/>
      <c r="DY536" s="1"/>
      <c r="DZ536" s="1"/>
      <c r="EA536" s="1"/>
      <c r="EB536" s="1"/>
      <c r="EC536" s="1"/>
      <c r="ED536" s="1"/>
      <c r="EE536" s="1"/>
      <c r="EF536" s="1"/>
      <c r="EG536" s="1"/>
      <c r="EH536" s="1"/>
      <c r="EI536" s="1"/>
      <c r="EJ536" s="1"/>
      <c r="EK536" s="1"/>
      <c r="EL536" s="1"/>
      <c r="EM536" s="1"/>
      <c r="EN536" s="1"/>
      <c r="EO536" s="1"/>
      <c r="EP536" s="1"/>
      <c r="EQ536" s="1"/>
      <c r="ER536" s="1"/>
      <c r="ES536" s="1"/>
      <c r="ET536" s="1"/>
      <c r="EU536" s="1"/>
      <c r="EV536" s="1"/>
      <c r="EW536" s="1"/>
      <c r="EX536" s="1"/>
      <c r="EY536" s="1"/>
      <c r="EZ536" s="1"/>
      <c r="FA536" s="1"/>
      <c r="FB536" s="1"/>
      <c r="FC536" s="1"/>
      <c r="FD536" s="1"/>
      <c r="FE536" s="1"/>
      <c r="FF536" s="1"/>
      <c r="FG536" s="1"/>
      <c r="FH536" s="1"/>
      <c r="FI536" s="1"/>
      <c r="FJ536" s="1"/>
      <c r="FK536" s="1"/>
      <c r="FL536" s="1"/>
      <c r="FM536" s="1"/>
      <c r="FN536" s="1"/>
      <c r="FO536" s="1"/>
      <c r="FP536" s="1"/>
      <c r="FQ536" s="1"/>
      <c r="FR536" s="2"/>
      <c r="FS536" s="1"/>
    </row>
    <row r="537" spans="1:175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R537" s="1"/>
      <c r="S537" s="1"/>
      <c r="T537" s="1"/>
      <c r="U537" s="1"/>
      <c r="V537" s="1"/>
      <c r="Y537" s="1"/>
      <c r="Z537" s="2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U537" s="1"/>
      <c r="AW537" s="1"/>
      <c r="AX537" s="1"/>
      <c r="AY537" s="1"/>
      <c r="AZ537" s="1"/>
      <c r="BA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  <c r="DC537" s="1"/>
      <c r="DD537" s="1"/>
      <c r="DE537" s="1"/>
      <c r="DF537" s="1"/>
      <c r="DG537" s="1"/>
      <c r="DH537" s="1"/>
      <c r="DI537" s="1"/>
      <c r="DJ537" s="1"/>
      <c r="DK537" s="1"/>
      <c r="DL537" s="1"/>
      <c r="DM537" s="1"/>
      <c r="DN537" s="1"/>
      <c r="DO537" s="1"/>
      <c r="DP537" s="1"/>
      <c r="DQ537" s="1"/>
      <c r="DR537" s="1"/>
      <c r="DS537" s="1"/>
      <c r="DT537" s="1"/>
      <c r="DU537" s="1"/>
      <c r="DV537" s="1"/>
      <c r="DW537" s="1"/>
      <c r="DX537" s="1"/>
      <c r="DY537" s="1"/>
      <c r="DZ537" s="1"/>
      <c r="EA537" s="1"/>
      <c r="EB537" s="1"/>
      <c r="EC537" s="1"/>
      <c r="ED537" s="1"/>
      <c r="EE537" s="1"/>
      <c r="EF537" s="1"/>
      <c r="EG537" s="1"/>
      <c r="EH537" s="1"/>
      <c r="EI537" s="1"/>
      <c r="EJ537" s="1"/>
      <c r="EK537" s="1"/>
      <c r="EL537" s="1"/>
      <c r="EM537" s="1"/>
      <c r="EN537" s="1"/>
      <c r="EO537" s="1"/>
      <c r="EP537" s="1"/>
      <c r="EQ537" s="1"/>
      <c r="ER537" s="1"/>
      <c r="ES537" s="1"/>
      <c r="ET537" s="1"/>
      <c r="EU537" s="1"/>
      <c r="EV537" s="1"/>
      <c r="EW537" s="1"/>
      <c r="EX537" s="1"/>
      <c r="EY537" s="1"/>
      <c r="EZ537" s="1"/>
      <c r="FA537" s="1"/>
      <c r="FB537" s="1"/>
      <c r="FC537" s="1"/>
      <c r="FD537" s="1"/>
      <c r="FE537" s="1"/>
      <c r="FF537" s="1"/>
      <c r="FG537" s="1"/>
      <c r="FH537" s="1"/>
      <c r="FI537" s="1"/>
      <c r="FJ537" s="1"/>
      <c r="FK537" s="1"/>
      <c r="FL537" s="1"/>
      <c r="FM537" s="1"/>
      <c r="FN537" s="1"/>
      <c r="FO537" s="1"/>
      <c r="FP537" s="1"/>
      <c r="FQ537" s="1"/>
      <c r="FR537" s="2"/>
      <c r="FS537" s="1"/>
    </row>
    <row r="538" spans="1:175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R538" s="1"/>
      <c r="S538" s="1"/>
      <c r="T538" s="1"/>
      <c r="U538" s="1"/>
      <c r="V538" s="1"/>
      <c r="Y538" s="1"/>
      <c r="Z538" s="2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U538" s="1"/>
      <c r="AW538" s="1"/>
      <c r="AX538" s="1"/>
      <c r="AY538" s="1"/>
      <c r="AZ538" s="1"/>
      <c r="BA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  <c r="DC538" s="1"/>
      <c r="DD538" s="1"/>
      <c r="DE538" s="1"/>
      <c r="DF538" s="1"/>
      <c r="DG538" s="1"/>
      <c r="DH538" s="1"/>
      <c r="DI538" s="1"/>
      <c r="DJ538" s="1"/>
      <c r="DK538" s="1"/>
      <c r="DL538" s="1"/>
      <c r="DM538" s="1"/>
      <c r="DN538" s="1"/>
      <c r="DO538" s="1"/>
      <c r="DP538" s="1"/>
      <c r="DQ538" s="1"/>
      <c r="DR538" s="1"/>
      <c r="DS538" s="1"/>
      <c r="DT538" s="1"/>
      <c r="DU538" s="1"/>
      <c r="DV538" s="1"/>
      <c r="DW538" s="1"/>
      <c r="DX538" s="1"/>
      <c r="DY538" s="1"/>
      <c r="DZ538" s="1"/>
      <c r="EA538" s="1"/>
      <c r="EB538" s="1"/>
      <c r="EC538" s="1"/>
      <c r="ED538" s="1"/>
      <c r="EE538" s="1"/>
      <c r="EF538" s="1"/>
      <c r="EG538" s="1"/>
      <c r="EH538" s="1"/>
      <c r="EI538" s="1"/>
      <c r="EJ538" s="1"/>
      <c r="EK538" s="1"/>
      <c r="EL538" s="1"/>
      <c r="EM538" s="1"/>
      <c r="EN538" s="1"/>
      <c r="EO538" s="1"/>
      <c r="EP538" s="1"/>
      <c r="EQ538" s="1"/>
      <c r="ER538" s="1"/>
      <c r="ES538" s="1"/>
      <c r="ET538" s="1"/>
      <c r="EU538" s="1"/>
      <c r="EV538" s="1"/>
      <c r="EW538" s="1"/>
      <c r="EX538" s="1"/>
      <c r="EY538" s="1"/>
      <c r="EZ538" s="1"/>
      <c r="FA538" s="1"/>
      <c r="FB538" s="1"/>
      <c r="FC538" s="1"/>
      <c r="FD538" s="1"/>
      <c r="FE538" s="1"/>
      <c r="FF538" s="1"/>
      <c r="FG538" s="1"/>
      <c r="FH538" s="1"/>
      <c r="FI538" s="1"/>
      <c r="FJ538" s="1"/>
      <c r="FK538" s="1"/>
      <c r="FL538" s="1"/>
      <c r="FM538" s="1"/>
      <c r="FN538" s="1"/>
      <c r="FO538" s="1"/>
      <c r="FP538" s="1"/>
      <c r="FQ538" s="1"/>
      <c r="FR538" s="2"/>
      <c r="FS538" s="1"/>
    </row>
    <row r="539" spans="1:175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R539" s="1"/>
      <c r="S539" s="1"/>
      <c r="T539" s="1"/>
      <c r="U539" s="1"/>
      <c r="V539" s="1"/>
      <c r="Y539" s="1"/>
      <c r="Z539" s="2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U539" s="1"/>
      <c r="AW539" s="1"/>
      <c r="AX539" s="1"/>
      <c r="AY539" s="1"/>
      <c r="AZ539" s="1"/>
      <c r="BA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  <c r="DC539" s="1"/>
      <c r="DD539" s="1"/>
      <c r="DE539" s="1"/>
      <c r="DF539" s="1"/>
      <c r="DG539" s="1"/>
      <c r="DH539" s="1"/>
      <c r="DI539" s="1"/>
      <c r="DJ539" s="1"/>
      <c r="DK539" s="1"/>
      <c r="DL539" s="1"/>
      <c r="DM539" s="1"/>
      <c r="DN539" s="1"/>
      <c r="DO539" s="1"/>
      <c r="DP539" s="1"/>
      <c r="DQ539" s="1"/>
      <c r="DR539" s="1"/>
      <c r="DS539" s="1"/>
      <c r="DT539" s="1"/>
      <c r="DU539" s="1"/>
      <c r="DV539" s="1"/>
      <c r="DW539" s="1"/>
      <c r="DX539" s="1"/>
      <c r="DY539" s="1"/>
      <c r="DZ539" s="1"/>
      <c r="EA539" s="1"/>
      <c r="EB539" s="1"/>
      <c r="EC539" s="1"/>
      <c r="ED539" s="1"/>
      <c r="EE539" s="1"/>
      <c r="EF539" s="1"/>
      <c r="EG539" s="1"/>
      <c r="EH539" s="1"/>
      <c r="EI539" s="1"/>
      <c r="EJ539" s="1"/>
      <c r="EK539" s="1"/>
      <c r="EL539" s="1"/>
      <c r="EM539" s="1"/>
      <c r="EN539" s="1"/>
      <c r="EO539" s="1"/>
      <c r="EP539" s="1"/>
      <c r="EQ539" s="1"/>
      <c r="ER539" s="1"/>
      <c r="ES539" s="1"/>
      <c r="ET539" s="1"/>
      <c r="EU539" s="1"/>
      <c r="EV539" s="1"/>
      <c r="EW539" s="1"/>
      <c r="EX539" s="1"/>
      <c r="EY539" s="1"/>
      <c r="EZ539" s="1"/>
      <c r="FA539" s="1"/>
      <c r="FB539" s="1"/>
      <c r="FC539" s="1"/>
      <c r="FD539" s="1"/>
      <c r="FE539" s="1"/>
      <c r="FF539" s="1"/>
      <c r="FG539" s="1"/>
      <c r="FH539" s="1"/>
      <c r="FI539" s="1"/>
      <c r="FJ539" s="1"/>
      <c r="FK539" s="1"/>
      <c r="FL539" s="1"/>
      <c r="FM539" s="1"/>
      <c r="FN539" s="1"/>
      <c r="FO539" s="1"/>
      <c r="FP539" s="1"/>
      <c r="FQ539" s="1"/>
      <c r="FR539" s="2"/>
      <c r="FS539" s="1"/>
    </row>
    <row r="540" spans="1:175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R540" s="1"/>
      <c r="S540" s="1"/>
      <c r="T540" s="1"/>
      <c r="U540" s="1"/>
      <c r="V540" s="1"/>
      <c r="Y540" s="1"/>
      <c r="Z540" s="2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U540" s="1"/>
      <c r="AW540" s="1"/>
      <c r="AX540" s="1"/>
      <c r="AY540" s="1"/>
      <c r="AZ540" s="1"/>
      <c r="BA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  <c r="DC540" s="1"/>
      <c r="DD540" s="1"/>
      <c r="DE540" s="1"/>
      <c r="DF540" s="1"/>
      <c r="DG540" s="1"/>
      <c r="DH540" s="1"/>
      <c r="DI540" s="1"/>
      <c r="DJ540" s="1"/>
      <c r="DK540" s="1"/>
      <c r="DL540" s="1"/>
      <c r="DM540" s="1"/>
      <c r="DN540" s="1"/>
      <c r="DO540" s="1"/>
      <c r="DP540" s="1"/>
      <c r="DQ540" s="1"/>
      <c r="DR540" s="1"/>
      <c r="DS540" s="1"/>
      <c r="DT540" s="1"/>
      <c r="DU540" s="1"/>
      <c r="DV540" s="1"/>
      <c r="DW540" s="1"/>
      <c r="DX540" s="1"/>
      <c r="DY540" s="1"/>
      <c r="DZ540" s="1"/>
      <c r="EA540" s="1"/>
      <c r="EB540" s="1"/>
      <c r="EC540" s="1"/>
      <c r="ED540" s="1"/>
      <c r="EE540" s="1"/>
      <c r="EF540" s="1"/>
      <c r="EG540" s="1"/>
      <c r="EH540" s="1"/>
      <c r="EI540" s="1"/>
      <c r="EJ540" s="1"/>
      <c r="EK540" s="1"/>
      <c r="EL540" s="1"/>
      <c r="EM540" s="1"/>
      <c r="EN540" s="1"/>
      <c r="EO540" s="1"/>
      <c r="EP540" s="1"/>
      <c r="EQ540" s="1"/>
      <c r="ER540" s="1"/>
      <c r="ES540" s="1"/>
      <c r="ET540" s="1"/>
      <c r="EU540" s="1"/>
      <c r="EV540" s="1"/>
      <c r="EW540" s="1"/>
      <c r="EX540" s="1"/>
      <c r="EY540" s="1"/>
      <c r="EZ540" s="1"/>
      <c r="FA540" s="1"/>
      <c r="FB540" s="1"/>
      <c r="FC540" s="1"/>
      <c r="FD540" s="1"/>
      <c r="FE540" s="1"/>
      <c r="FF540" s="1"/>
      <c r="FG540" s="1"/>
      <c r="FH540" s="1"/>
      <c r="FI540" s="1"/>
      <c r="FJ540" s="1"/>
      <c r="FK540" s="1"/>
      <c r="FL540" s="1"/>
      <c r="FM540" s="1"/>
      <c r="FN540" s="1"/>
      <c r="FO540" s="1"/>
      <c r="FP540" s="1"/>
      <c r="FQ540" s="1"/>
      <c r="FR540" s="2"/>
      <c r="FS540" s="1"/>
    </row>
    <row r="541" spans="1:175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R541" s="1"/>
      <c r="S541" s="1"/>
      <c r="T541" s="1"/>
      <c r="U541" s="1"/>
      <c r="V541" s="1"/>
      <c r="Y541" s="1"/>
      <c r="Z541" s="2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U541" s="1"/>
      <c r="AW541" s="1"/>
      <c r="AX541" s="1"/>
      <c r="AY541" s="1"/>
      <c r="AZ541" s="1"/>
      <c r="BA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  <c r="DC541" s="1"/>
      <c r="DD541" s="1"/>
      <c r="DE541" s="1"/>
      <c r="DF541" s="1"/>
      <c r="DG541" s="1"/>
      <c r="DH541" s="1"/>
      <c r="DI541" s="1"/>
      <c r="DJ541" s="1"/>
      <c r="DK541" s="1"/>
      <c r="DL541" s="1"/>
      <c r="DM541" s="1"/>
      <c r="DN541" s="1"/>
      <c r="DO541" s="1"/>
      <c r="DP541" s="1"/>
      <c r="DQ541" s="1"/>
      <c r="DR541" s="1"/>
      <c r="DS541" s="1"/>
      <c r="DT541" s="1"/>
      <c r="DU541" s="1"/>
      <c r="DV541" s="1"/>
      <c r="DW541" s="1"/>
      <c r="DX541" s="1"/>
      <c r="DY541" s="1"/>
      <c r="DZ541" s="1"/>
      <c r="EA541" s="1"/>
      <c r="EB541" s="1"/>
      <c r="EC541" s="1"/>
      <c r="ED541" s="1"/>
      <c r="EE541" s="1"/>
      <c r="EF541" s="1"/>
      <c r="EG541" s="1"/>
      <c r="EH541" s="1"/>
      <c r="EI541" s="1"/>
      <c r="EJ541" s="1"/>
      <c r="EK541" s="1"/>
      <c r="EL541" s="1"/>
      <c r="EM541" s="1"/>
      <c r="EN541" s="1"/>
      <c r="EO541" s="1"/>
      <c r="EP541" s="1"/>
      <c r="EQ541" s="1"/>
      <c r="ER541" s="1"/>
      <c r="ES541" s="1"/>
      <c r="ET541" s="1"/>
      <c r="EU541" s="1"/>
      <c r="EV541" s="1"/>
      <c r="EW541" s="1"/>
      <c r="EX541" s="1"/>
      <c r="EY541" s="1"/>
      <c r="EZ541" s="1"/>
      <c r="FA541" s="1"/>
      <c r="FB541" s="1"/>
      <c r="FC541" s="1"/>
      <c r="FD541" s="1"/>
      <c r="FE541" s="1"/>
      <c r="FF541" s="1"/>
      <c r="FG541" s="1"/>
      <c r="FH541" s="1"/>
      <c r="FI541" s="1"/>
      <c r="FJ541" s="1"/>
      <c r="FK541" s="1"/>
      <c r="FL541" s="1"/>
      <c r="FM541" s="1"/>
      <c r="FN541" s="1"/>
      <c r="FO541" s="1"/>
      <c r="FP541" s="1"/>
      <c r="FQ541" s="1"/>
      <c r="FR541" s="2"/>
      <c r="FS541" s="1"/>
    </row>
    <row r="542" spans="1:175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R542" s="1"/>
      <c r="S542" s="1"/>
      <c r="T542" s="1"/>
      <c r="U542" s="1"/>
      <c r="V542" s="1"/>
      <c r="Y542" s="1"/>
      <c r="Z542" s="2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U542" s="1"/>
      <c r="AW542" s="1"/>
      <c r="AX542" s="1"/>
      <c r="AY542" s="1"/>
      <c r="AZ542" s="1"/>
      <c r="BA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  <c r="DC542" s="1"/>
      <c r="DD542" s="1"/>
      <c r="DE542" s="1"/>
      <c r="DF542" s="1"/>
      <c r="DG542" s="1"/>
      <c r="DH542" s="1"/>
      <c r="DI542" s="1"/>
      <c r="DJ542" s="1"/>
      <c r="DK542" s="1"/>
      <c r="DL542" s="1"/>
      <c r="DM542" s="1"/>
      <c r="DN542" s="1"/>
      <c r="DO542" s="1"/>
      <c r="DP542" s="1"/>
      <c r="DQ542" s="1"/>
      <c r="DR542" s="1"/>
      <c r="DS542" s="1"/>
      <c r="DT542" s="1"/>
      <c r="DU542" s="1"/>
      <c r="DV542" s="1"/>
      <c r="DW542" s="1"/>
      <c r="DX542" s="1"/>
      <c r="DY542" s="1"/>
      <c r="DZ542" s="1"/>
      <c r="EA542" s="1"/>
      <c r="EB542" s="1"/>
      <c r="EC542" s="1"/>
      <c r="ED542" s="1"/>
      <c r="EE542" s="1"/>
      <c r="EF542" s="1"/>
      <c r="EG542" s="1"/>
      <c r="EH542" s="1"/>
      <c r="EI542" s="1"/>
      <c r="EJ542" s="1"/>
      <c r="EK542" s="1"/>
      <c r="EL542" s="1"/>
      <c r="EM542" s="1"/>
      <c r="EN542" s="1"/>
      <c r="EO542" s="1"/>
      <c r="EP542" s="1"/>
      <c r="EQ542" s="1"/>
      <c r="ER542" s="1"/>
      <c r="ES542" s="1"/>
      <c r="ET542" s="1"/>
      <c r="EU542" s="1"/>
      <c r="EV542" s="1"/>
      <c r="EW542" s="1"/>
      <c r="EX542" s="1"/>
      <c r="EY542" s="1"/>
      <c r="EZ542" s="1"/>
      <c r="FA542" s="1"/>
      <c r="FB542" s="1"/>
      <c r="FC542" s="1"/>
      <c r="FD542" s="1"/>
      <c r="FE542" s="1"/>
      <c r="FF542" s="1"/>
      <c r="FG542" s="1"/>
      <c r="FH542" s="1"/>
      <c r="FI542" s="1"/>
      <c r="FJ542" s="1"/>
      <c r="FK542" s="1"/>
      <c r="FL542" s="1"/>
      <c r="FM542" s="1"/>
      <c r="FN542" s="1"/>
      <c r="FO542" s="1"/>
      <c r="FP542" s="1"/>
      <c r="FQ542" s="1"/>
      <c r="FR542" s="2"/>
      <c r="FS542" s="1"/>
    </row>
    <row r="543" spans="1:175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R543" s="1"/>
      <c r="S543" s="1"/>
      <c r="T543" s="1"/>
      <c r="U543" s="1"/>
      <c r="V543" s="1"/>
      <c r="Y543" s="1"/>
      <c r="Z543" s="2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U543" s="1"/>
      <c r="AW543" s="1"/>
      <c r="AX543" s="1"/>
      <c r="AY543" s="1"/>
      <c r="AZ543" s="1"/>
      <c r="BA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  <c r="DC543" s="1"/>
      <c r="DD543" s="1"/>
      <c r="DE543" s="1"/>
      <c r="DF543" s="1"/>
      <c r="DG543" s="1"/>
      <c r="DH543" s="1"/>
      <c r="DI543" s="1"/>
      <c r="DJ543" s="1"/>
      <c r="DK543" s="1"/>
      <c r="DL543" s="1"/>
      <c r="DM543" s="1"/>
      <c r="DN543" s="1"/>
      <c r="DO543" s="1"/>
      <c r="DP543" s="1"/>
      <c r="DQ543" s="1"/>
      <c r="DR543" s="1"/>
      <c r="DS543" s="1"/>
      <c r="DT543" s="1"/>
      <c r="DU543" s="1"/>
      <c r="DV543" s="1"/>
      <c r="DW543" s="1"/>
      <c r="DX543" s="1"/>
      <c r="DY543" s="1"/>
      <c r="DZ543" s="1"/>
      <c r="EA543" s="1"/>
      <c r="EB543" s="1"/>
      <c r="EC543" s="1"/>
      <c r="ED543" s="1"/>
      <c r="EE543" s="1"/>
      <c r="EF543" s="1"/>
      <c r="EG543" s="1"/>
      <c r="EH543" s="1"/>
      <c r="EI543" s="1"/>
      <c r="EJ543" s="1"/>
      <c r="EK543" s="1"/>
      <c r="EL543" s="1"/>
      <c r="EM543" s="1"/>
      <c r="EN543" s="1"/>
      <c r="EO543" s="1"/>
      <c r="EP543" s="1"/>
      <c r="EQ543" s="1"/>
      <c r="ER543" s="1"/>
      <c r="ES543" s="1"/>
      <c r="ET543" s="1"/>
      <c r="EU543" s="1"/>
      <c r="EV543" s="1"/>
      <c r="EW543" s="1"/>
      <c r="EX543" s="1"/>
      <c r="EY543" s="1"/>
      <c r="EZ543" s="1"/>
      <c r="FA543" s="1"/>
      <c r="FB543" s="1"/>
      <c r="FC543" s="1"/>
      <c r="FD543" s="1"/>
      <c r="FE543" s="1"/>
      <c r="FF543" s="1"/>
      <c r="FG543" s="1"/>
      <c r="FH543" s="1"/>
      <c r="FI543" s="1"/>
      <c r="FJ543" s="1"/>
      <c r="FK543" s="1"/>
      <c r="FL543" s="1"/>
      <c r="FM543" s="1"/>
      <c r="FN543" s="1"/>
      <c r="FO543" s="1"/>
      <c r="FP543" s="1"/>
      <c r="FQ543" s="1"/>
      <c r="FR543" s="2"/>
      <c r="FS543" s="1"/>
    </row>
    <row r="544" spans="1:175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R544" s="1"/>
      <c r="S544" s="1"/>
      <c r="T544" s="1"/>
      <c r="U544" s="1"/>
      <c r="V544" s="1"/>
      <c r="Y544" s="1"/>
      <c r="Z544" s="2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U544" s="1"/>
      <c r="AW544" s="1"/>
      <c r="AX544" s="1"/>
      <c r="AY544" s="1"/>
      <c r="AZ544" s="1"/>
      <c r="BA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  <c r="DC544" s="1"/>
      <c r="DD544" s="1"/>
      <c r="DE544" s="1"/>
      <c r="DF544" s="1"/>
      <c r="DG544" s="1"/>
      <c r="DH544" s="1"/>
      <c r="DI544" s="1"/>
      <c r="DJ544" s="1"/>
      <c r="DK544" s="1"/>
      <c r="DL544" s="1"/>
      <c r="DM544" s="1"/>
      <c r="DN544" s="1"/>
      <c r="DO544" s="1"/>
      <c r="DP544" s="1"/>
      <c r="DQ544" s="1"/>
      <c r="DR544" s="1"/>
      <c r="DS544" s="1"/>
      <c r="DT544" s="1"/>
      <c r="DU544" s="1"/>
      <c r="DV544" s="1"/>
      <c r="DW544" s="1"/>
      <c r="DX544" s="1"/>
      <c r="DY544" s="1"/>
      <c r="DZ544" s="1"/>
      <c r="EA544" s="1"/>
      <c r="EB544" s="1"/>
      <c r="EC544" s="1"/>
      <c r="ED544" s="1"/>
      <c r="EE544" s="1"/>
      <c r="EF544" s="1"/>
      <c r="EG544" s="1"/>
      <c r="EH544" s="1"/>
      <c r="EI544" s="1"/>
      <c r="EJ544" s="1"/>
      <c r="EK544" s="1"/>
      <c r="EL544" s="1"/>
      <c r="EM544" s="1"/>
      <c r="EN544" s="1"/>
      <c r="EO544" s="1"/>
      <c r="EP544" s="1"/>
      <c r="EQ544" s="1"/>
      <c r="ER544" s="1"/>
      <c r="ES544" s="1"/>
      <c r="ET544" s="1"/>
      <c r="EU544" s="1"/>
      <c r="EV544" s="1"/>
      <c r="EW544" s="1"/>
      <c r="EX544" s="1"/>
      <c r="EY544" s="1"/>
      <c r="EZ544" s="1"/>
      <c r="FA544" s="1"/>
      <c r="FB544" s="1"/>
      <c r="FC544" s="1"/>
      <c r="FD544" s="1"/>
      <c r="FE544" s="1"/>
      <c r="FF544" s="1"/>
      <c r="FG544" s="1"/>
      <c r="FH544" s="1"/>
      <c r="FI544" s="1"/>
      <c r="FJ544" s="1"/>
      <c r="FK544" s="1"/>
      <c r="FL544" s="1"/>
      <c r="FM544" s="1"/>
      <c r="FN544" s="1"/>
      <c r="FO544" s="1"/>
      <c r="FP544" s="1"/>
      <c r="FQ544" s="1"/>
      <c r="FR544" s="2"/>
      <c r="FS544" s="1"/>
    </row>
    <row r="545" spans="1:175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R545" s="1"/>
      <c r="S545" s="1"/>
      <c r="T545" s="1"/>
      <c r="U545" s="1"/>
      <c r="V545" s="1"/>
      <c r="Y545" s="1"/>
      <c r="Z545" s="2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U545" s="1"/>
      <c r="AW545" s="1"/>
      <c r="AX545" s="1"/>
      <c r="AY545" s="1"/>
      <c r="AZ545" s="1"/>
      <c r="BA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  <c r="DC545" s="1"/>
      <c r="DD545" s="1"/>
      <c r="DE545" s="1"/>
      <c r="DF545" s="1"/>
      <c r="DG545" s="1"/>
      <c r="DH545" s="1"/>
      <c r="DI545" s="1"/>
      <c r="DJ545" s="1"/>
      <c r="DK545" s="1"/>
      <c r="DL545" s="1"/>
      <c r="DM545" s="1"/>
      <c r="DN545" s="1"/>
      <c r="DO545" s="1"/>
      <c r="DP545" s="1"/>
      <c r="DQ545" s="1"/>
      <c r="DR545" s="1"/>
      <c r="DS545" s="1"/>
      <c r="DT545" s="1"/>
      <c r="DU545" s="1"/>
      <c r="DV545" s="1"/>
      <c r="DW545" s="1"/>
      <c r="DX545" s="1"/>
      <c r="DY545" s="1"/>
      <c r="DZ545" s="1"/>
      <c r="EA545" s="1"/>
      <c r="EB545" s="1"/>
      <c r="EC545" s="1"/>
      <c r="ED545" s="1"/>
      <c r="EE545" s="1"/>
      <c r="EF545" s="1"/>
      <c r="EG545" s="1"/>
      <c r="EH545" s="1"/>
      <c r="EI545" s="1"/>
      <c r="EJ545" s="1"/>
      <c r="EK545" s="1"/>
      <c r="EL545" s="1"/>
      <c r="EM545" s="1"/>
      <c r="EN545" s="1"/>
      <c r="EO545" s="1"/>
      <c r="EP545" s="1"/>
      <c r="EQ545" s="1"/>
      <c r="ER545" s="1"/>
      <c r="ES545" s="1"/>
      <c r="ET545" s="1"/>
      <c r="EU545" s="1"/>
      <c r="EV545" s="1"/>
      <c r="EW545" s="1"/>
      <c r="EX545" s="1"/>
      <c r="EY545" s="1"/>
      <c r="EZ545" s="1"/>
      <c r="FA545" s="1"/>
      <c r="FB545" s="1"/>
      <c r="FC545" s="1"/>
      <c r="FD545" s="1"/>
      <c r="FE545" s="1"/>
      <c r="FF545" s="1"/>
      <c r="FG545" s="1"/>
      <c r="FH545" s="1"/>
      <c r="FI545" s="1"/>
      <c r="FJ545" s="1"/>
      <c r="FK545" s="1"/>
      <c r="FL545" s="1"/>
      <c r="FM545" s="1"/>
      <c r="FN545" s="1"/>
      <c r="FO545" s="1"/>
      <c r="FP545" s="1"/>
      <c r="FQ545" s="1"/>
      <c r="FR545" s="2"/>
      <c r="FS545" s="1"/>
    </row>
    <row r="546" spans="1:175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R546" s="1"/>
      <c r="S546" s="1"/>
      <c r="T546" s="1"/>
      <c r="U546" s="1"/>
      <c r="V546" s="1"/>
      <c r="Y546" s="1"/>
      <c r="Z546" s="2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U546" s="1"/>
      <c r="AW546" s="1"/>
      <c r="AX546" s="1"/>
      <c r="AY546" s="1"/>
      <c r="AZ546" s="1"/>
      <c r="BA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  <c r="DC546" s="1"/>
      <c r="DD546" s="1"/>
      <c r="DE546" s="1"/>
      <c r="DF546" s="1"/>
      <c r="DG546" s="1"/>
      <c r="DH546" s="1"/>
      <c r="DI546" s="1"/>
      <c r="DJ546" s="1"/>
      <c r="DK546" s="1"/>
      <c r="DL546" s="1"/>
      <c r="DM546" s="1"/>
      <c r="DN546" s="1"/>
      <c r="DO546" s="1"/>
      <c r="DP546" s="1"/>
      <c r="DQ546" s="1"/>
      <c r="DR546" s="1"/>
      <c r="DS546" s="1"/>
      <c r="DT546" s="1"/>
      <c r="DU546" s="1"/>
      <c r="DV546" s="1"/>
      <c r="DW546" s="1"/>
      <c r="DX546" s="1"/>
      <c r="DY546" s="1"/>
      <c r="DZ546" s="1"/>
      <c r="EA546" s="1"/>
      <c r="EB546" s="1"/>
      <c r="EC546" s="1"/>
      <c r="ED546" s="1"/>
      <c r="EE546" s="1"/>
      <c r="EF546" s="1"/>
      <c r="EG546" s="1"/>
      <c r="EH546" s="1"/>
      <c r="EI546" s="1"/>
      <c r="EJ546" s="1"/>
      <c r="EK546" s="1"/>
      <c r="EL546" s="1"/>
      <c r="EM546" s="1"/>
      <c r="EN546" s="1"/>
      <c r="EO546" s="1"/>
      <c r="EP546" s="1"/>
      <c r="EQ546" s="1"/>
      <c r="ER546" s="1"/>
      <c r="ES546" s="1"/>
      <c r="ET546" s="1"/>
      <c r="EU546" s="1"/>
      <c r="EV546" s="1"/>
      <c r="EW546" s="1"/>
      <c r="EX546" s="1"/>
      <c r="EY546" s="1"/>
      <c r="EZ546" s="1"/>
      <c r="FA546" s="1"/>
      <c r="FB546" s="1"/>
      <c r="FC546" s="1"/>
      <c r="FD546" s="1"/>
      <c r="FE546" s="1"/>
      <c r="FF546" s="1"/>
      <c r="FG546" s="1"/>
      <c r="FH546" s="1"/>
      <c r="FI546" s="1"/>
      <c r="FJ546" s="1"/>
      <c r="FK546" s="1"/>
      <c r="FL546" s="1"/>
      <c r="FM546" s="1"/>
      <c r="FN546" s="1"/>
      <c r="FO546" s="1"/>
      <c r="FP546" s="1"/>
      <c r="FQ546" s="1"/>
      <c r="FR546" s="2"/>
      <c r="FS546" s="1"/>
    </row>
    <row r="547" spans="1:175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R547" s="1"/>
      <c r="S547" s="1"/>
      <c r="T547" s="1"/>
      <c r="U547" s="1"/>
      <c r="V547" s="1"/>
      <c r="Y547" s="1"/>
      <c r="Z547" s="2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U547" s="1"/>
      <c r="AW547" s="1"/>
      <c r="AX547" s="1"/>
      <c r="AY547" s="1"/>
      <c r="AZ547" s="1"/>
      <c r="BA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  <c r="DC547" s="1"/>
      <c r="DD547" s="1"/>
      <c r="DE547" s="1"/>
      <c r="DF547" s="1"/>
      <c r="DG547" s="1"/>
      <c r="DH547" s="1"/>
      <c r="DI547" s="1"/>
      <c r="DJ547" s="1"/>
      <c r="DK547" s="1"/>
      <c r="DL547" s="1"/>
      <c r="DM547" s="1"/>
      <c r="DN547" s="1"/>
      <c r="DO547" s="1"/>
      <c r="DP547" s="1"/>
      <c r="DQ547" s="1"/>
      <c r="DR547" s="1"/>
      <c r="DS547" s="1"/>
      <c r="DT547" s="1"/>
      <c r="DU547" s="1"/>
      <c r="DV547" s="1"/>
      <c r="DW547" s="1"/>
      <c r="DX547" s="1"/>
      <c r="DY547" s="1"/>
      <c r="DZ547" s="1"/>
      <c r="EA547" s="1"/>
      <c r="EB547" s="1"/>
      <c r="EC547" s="1"/>
      <c r="ED547" s="1"/>
      <c r="EE547" s="1"/>
      <c r="EF547" s="1"/>
      <c r="EG547" s="1"/>
      <c r="EH547" s="1"/>
      <c r="EI547" s="1"/>
      <c r="EJ547" s="1"/>
      <c r="EK547" s="1"/>
      <c r="EL547" s="1"/>
      <c r="EM547" s="1"/>
      <c r="EN547" s="1"/>
      <c r="EO547" s="1"/>
      <c r="EP547" s="1"/>
      <c r="EQ547" s="1"/>
      <c r="ER547" s="1"/>
      <c r="ES547" s="1"/>
      <c r="ET547" s="1"/>
      <c r="EU547" s="1"/>
      <c r="EV547" s="1"/>
      <c r="EW547" s="1"/>
      <c r="EX547" s="1"/>
      <c r="EY547" s="1"/>
      <c r="EZ547" s="1"/>
      <c r="FA547" s="1"/>
      <c r="FB547" s="1"/>
      <c r="FC547" s="1"/>
      <c r="FD547" s="1"/>
      <c r="FE547" s="1"/>
      <c r="FF547" s="1"/>
      <c r="FG547" s="1"/>
      <c r="FH547" s="1"/>
      <c r="FI547" s="1"/>
      <c r="FJ547" s="1"/>
      <c r="FK547" s="1"/>
      <c r="FL547" s="1"/>
      <c r="FM547" s="1"/>
      <c r="FN547" s="1"/>
      <c r="FO547" s="1"/>
      <c r="FP547" s="1"/>
      <c r="FQ547" s="1"/>
      <c r="FR547" s="2"/>
      <c r="FS547" s="1"/>
    </row>
    <row r="548" spans="1:175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R548" s="1"/>
      <c r="S548" s="1"/>
      <c r="T548" s="1"/>
      <c r="U548" s="1"/>
      <c r="V548" s="1"/>
      <c r="Y548" s="1"/>
      <c r="Z548" s="2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U548" s="1"/>
      <c r="AW548" s="1"/>
      <c r="AX548" s="1"/>
      <c r="AY548" s="1"/>
      <c r="AZ548" s="1"/>
      <c r="BA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  <c r="DC548" s="1"/>
      <c r="DD548" s="1"/>
      <c r="DE548" s="1"/>
      <c r="DF548" s="1"/>
      <c r="DG548" s="1"/>
      <c r="DH548" s="1"/>
      <c r="DI548" s="1"/>
      <c r="DJ548" s="1"/>
      <c r="DK548" s="1"/>
      <c r="DL548" s="1"/>
      <c r="DM548" s="1"/>
      <c r="DN548" s="1"/>
      <c r="DO548" s="1"/>
      <c r="DP548" s="1"/>
      <c r="DQ548" s="1"/>
      <c r="DR548" s="1"/>
      <c r="DS548" s="1"/>
      <c r="DT548" s="1"/>
      <c r="DU548" s="1"/>
      <c r="DV548" s="1"/>
      <c r="DW548" s="1"/>
      <c r="DX548" s="1"/>
      <c r="DY548" s="1"/>
      <c r="DZ548" s="1"/>
      <c r="EA548" s="1"/>
      <c r="EB548" s="1"/>
      <c r="EC548" s="1"/>
      <c r="ED548" s="1"/>
      <c r="EE548" s="1"/>
      <c r="EF548" s="1"/>
      <c r="EG548" s="1"/>
      <c r="EH548" s="1"/>
      <c r="EI548" s="1"/>
      <c r="EJ548" s="1"/>
      <c r="EK548" s="1"/>
      <c r="EL548" s="1"/>
      <c r="EM548" s="1"/>
      <c r="EN548" s="1"/>
      <c r="EO548" s="1"/>
      <c r="EP548" s="1"/>
      <c r="EQ548" s="1"/>
      <c r="ER548" s="1"/>
      <c r="ES548" s="1"/>
      <c r="ET548" s="1"/>
      <c r="EU548" s="1"/>
      <c r="EV548" s="1"/>
      <c r="EW548" s="1"/>
      <c r="EX548" s="1"/>
      <c r="EY548" s="1"/>
      <c r="EZ548" s="1"/>
      <c r="FA548" s="1"/>
      <c r="FB548" s="1"/>
      <c r="FC548" s="1"/>
      <c r="FD548" s="1"/>
      <c r="FE548" s="1"/>
      <c r="FF548" s="1"/>
      <c r="FG548" s="1"/>
      <c r="FH548" s="1"/>
      <c r="FI548" s="1"/>
      <c r="FJ548" s="1"/>
      <c r="FK548" s="1"/>
      <c r="FL548" s="1"/>
      <c r="FM548" s="1"/>
      <c r="FN548" s="1"/>
      <c r="FO548" s="1"/>
      <c r="FP548" s="1"/>
      <c r="FQ548" s="1"/>
      <c r="FR548" s="2"/>
      <c r="FS548" s="1"/>
    </row>
    <row r="549" spans="1:175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R549" s="1"/>
      <c r="S549" s="1"/>
      <c r="T549" s="1"/>
      <c r="U549" s="1"/>
      <c r="V549" s="1"/>
      <c r="Y549" s="1"/>
      <c r="Z549" s="2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U549" s="1"/>
      <c r="AW549" s="1"/>
      <c r="AX549" s="1"/>
      <c r="AY549" s="1"/>
      <c r="AZ549" s="1"/>
      <c r="BA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  <c r="DC549" s="1"/>
      <c r="DD549" s="1"/>
      <c r="DE549" s="1"/>
      <c r="DF549" s="1"/>
      <c r="DG549" s="1"/>
      <c r="DH549" s="1"/>
      <c r="DI549" s="1"/>
      <c r="DJ549" s="1"/>
      <c r="DK549" s="1"/>
      <c r="DL549" s="1"/>
      <c r="DM549" s="1"/>
      <c r="DN549" s="1"/>
      <c r="DO549" s="1"/>
      <c r="DP549" s="1"/>
      <c r="DQ549" s="1"/>
      <c r="DR549" s="1"/>
      <c r="DS549" s="1"/>
      <c r="DT549" s="1"/>
      <c r="DU549" s="1"/>
      <c r="DV549" s="1"/>
      <c r="DW549" s="1"/>
      <c r="DX549" s="1"/>
      <c r="DY549" s="1"/>
      <c r="DZ549" s="1"/>
      <c r="EA549" s="1"/>
      <c r="EB549" s="1"/>
      <c r="EC549" s="1"/>
      <c r="ED549" s="1"/>
      <c r="EE549" s="1"/>
      <c r="EF549" s="1"/>
      <c r="EG549" s="1"/>
      <c r="EH549" s="1"/>
      <c r="EI549" s="1"/>
      <c r="EJ549" s="1"/>
      <c r="EK549" s="1"/>
      <c r="EL549" s="1"/>
      <c r="EM549" s="1"/>
      <c r="EN549" s="1"/>
      <c r="EO549" s="1"/>
      <c r="EP549" s="1"/>
      <c r="EQ549" s="1"/>
      <c r="ER549" s="1"/>
      <c r="ES549" s="1"/>
      <c r="ET549" s="1"/>
      <c r="EU549" s="1"/>
      <c r="EV549" s="1"/>
      <c r="EW549" s="1"/>
      <c r="EX549" s="1"/>
      <c r="EY549" s="1"/>
      <c r="EZ549" s="1"/>
      <c r="FA549" s="1"/>
      <c r="FB549" s="1"/>
      <c r="FC549" s="1"/>
      <c r="FD549" s="1"/>
      <c r="FE549" s="1"/>
      <c r="FF549" s="1"/>
      <c r="FG549" s="1"/>
      <c r="FH549" s="1"/>
      <c r="FI549" s="1"/>
      <c r="FJ549" s="1"/>
      <c r="FK549" s="1"/>
      <c r="FL549" s="1"/>
      <c r="FM549" s="1"/>
      <c r="FN549" s="1"/>
      <c r="FO549" s="1"/>
      <c r="FP549" s="1"/>
      <c r="FQ549" s="1"/>
      <c r="FR549" s="2"/>
      <c r="FS549" s="1"/>
    </row>
    <row r="550" spans="1:175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R550" s="1"/>
      <c r="S550" s="1"/>
      <c r="T550" s="1"/>
      <c r="U550" s="1"/>
      <c r="V550" s="1"/>
      <c r="Y550" s="1"/>
      <c r="Z550" s="2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U550" s="1"/>
      <c r="AW550" s="1"/>
      <c r="AX550" s="1"/>
      <c r="AY550" s="1"/>
      <c r="AZ550" s="1"/>
      <c r="BA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  <c r="DC550" s="1"/>
      <c r="DD550" s="1"/>
      <c r="DE550" s="1"/>
      <c r="DF550" s="1"/>
      <c r="DG550" s="1"/>
      <c r="DH550" s="1"/>
      <c r="DI550" s="1"/>
      <c r="DJ550" s="1"/>
      <c r="DK550" s="1"/>
      <c r="DL550" s="1"/>
      <c r="DM550" s="1"/>
      <c r="DN550" s="1"/>
      <c r="DO550" s="1"/>
      <c r="DP550" s="1"/>
      <c r="DQ550" s="1"/>
      <c r="DR550" s="1"/>
      <c r="DS550" s="1"/>
      <c r="DT550" s="1"/>
      <c r="DU550" s="1"/>
      <c r="DV550" s="1"/>
      <c r="DW550" s="1"/>
      <c r="DX550" s="1"/>
      <c r="DY550" s="1"/>
      <c r="DZ550" s="1"/>
      <c r="EA550" s="1"/>
      <c r="EB550" s="1"/>
      <c r="EC550" s="1"/>
      <c r="ED550" s="1"/>
      <c r="EE550" s="1"/>
      <c r="EF550" s="1"/>
      <c r="EG550" s="1"/>
      <c r="EH550" s="1"/>
      <c r="EI550" s="1"/>
      <c r="EJ550" s="1"/>
      <c r="EK550" s="1"/>
      <c r="EL550" s="1"/>
      <c r="EM550" s="1"/>
      <c r="EN550" s="1"/>
      <c r="EO550" s="1"/>
      <c r="EP550" s="1"/>
      <c r="EQ550" s="1"/>
      <c r="ER550" s="1"/>
      <c r="ES550" s="1"/>
      <c r="ET550" s="1"/>
      <c r="EU550" s="1"/>
      <c r="EV550" s="1"/>
      <c r="EW550" s="1"/>
      <c r="EX550" s="1"/>
      <c r="EY550" s="1"/>
      <c r="EZ550" s="1"/>
      <c r="FA550" s="1"/>
      <c r="FB550" s="1"/>
      <c r="FC550" s="1"/>
      <c r="FD550" s="1"/>
      <c r="FE550" s="1"/>
      <c r="FF550" s="1"/>
      <c r="FG550" s="1"/>
      <c r="FH550" s="1"/>
      <c r="FI550" s="1"/>
      <c r="FJ550" s="1"/>
      <c r="FK550" s="1"/>
      <c r="FL550" s="1"/>
      <c r="FM550" s="1"/>
      <c r="FN550" s="1"/>
      <c r="FO550" s="1"/>
      <c r="FP550" s="1"/>
      <c r="FQ550" s="1"/>
      <c r="FR550" s="2"/>
      <c r="FS550" s="1"/>
    </row>
    <row r="551" spans="1:175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R551" s="1"/>
      <c r="S551" s="1"/>
      <c r="T551" s="1"/>
      <c r="U551" s="1"/>
      <c r="V551" s="1"/>
      <c r="Y551" s="1"/>
      <c r="Z551" s="2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U551" s="1"/>
      <c r="AW551" s="1"/>
      <c r="AX551" s="1"/>
      <c r="AY551" s="1"/>
      <c r="AZ551" s="1"/>
      <c r="BA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  <c r="DC551" s="1"/>
      <c r="DD551" s="1"/>
      <c r="DE551" s="1"/>
      <c r="DF551" s="1"/>
      <c r="DG551" s="1"/>
      <c r="DH551" s="1"/>
      <c r="DI551" s="1"/>
      <c r="DJ551" s="1"/>
      <c r="DK551" s="1"/>
      <c r="DL551" s="1"/>
      <c r="DM551" s="1"/>
      <c r="DN551" s="1"/>
      <c r="DO551" s="1"/>
      <c r="DP551" s="1"/>
      <c r="DQ551" s="1"/>
      <c r="DR551" s="1"/>
      <c r="DS551" s="1"/>
      <c r="DT551" s="1"/>
      <c r="DU551" s="1"/>
      <c r="DV551" s="1"/>
      <c r="DW551" s="1"/>
      <c r="DX551" s="1"/>
      <c r="DY551" s="1"/>
      <c r="DZ551" s="1"/>
      <c r="EA551" s="1"/>
      <c r="EB551" s="1"/>
      <c r="EC551" s="1"/>
      <c r="ED551" s="1"/>
      <c r="EE551" s="1"/>
      <c r="EF551" s="1"/>
      <c r="EG551" s="1"/>
      <c r="EH551" s="1"/>
      <c r="EI551" s="1"/>
      <c r="EJ551" s="1"/>
      <c r="EK551" s="1"/>
      <c r="EL551" s="1"/>
      <c r="EM551" s="1"/>
      <c r="EN551" s="1"/>
      <c r="EO551" s="1"/>
      <c r="EP551" s="1"/>
      <c r="EQ551" s="1"/>
      <c r="ER551" s="1"/>
      <c r="ES551" s="1"/>
      <c r="ET551" s="1"/>
      <c r="EU551" s="1"/>
      <c r="EV551" s="1"/>
      <c r="EW551" s="1"/>
      <c r="EX551" s="1"/>
      <c r="EY551" s="1"/>
      <c r="EZ551" s="1"/>
      <c r="FA551" s="1"/>
      <c r="FB551" s="1"/>
      <c r="FC551" s="1"/>
      <c r="FD551" s="1"/>
      <c r="FE551" s="1"/>
      <c r="FF551" s="1"/>
      <c r="FG551" s="1"/>
      <c r="FH551" s="1"/>
      <c r="FI551" s="1"/>
      <c r="FJ551" s="1"/>
      <c r="FK551" s="1"/>
      <c r="FL551" s="1"/>
      <c r="FM551" s="1"/>
      <c r="FN551" s="1"/>
      <c r="FO551" s="1"/>
      <c r="FP551" s="1"/>
      <c r="FQ551" s="1"/>
      <c r="FR551" s="2"/>
      <c r="FS551" s="1"/>
    </row>
    <row r="552" spans="1:175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R552" s="1"/>
      <c r="S552" s="1"/>
      <c r="T552" s="1"/>
      <c r="U552" s="1"/>
      <c r="V552" s="1"/>
      <c r="Y552" s="1"/>
      <c r="Z552" s="2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U552" s="1"/>
      <c r="AW552" s="1"/>
      <c r="AX552" s="1"/>
      <c r="AY552" s="1"/>
      <c r="AZ552" s="1"/>
      <c r="BA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  <c r="DC552" s="1"/>
      <c r="DD552" s="1"/>
      <c r="DE552" s="1"/>
      <c r="DF552" s="1"/>
      <c r="DG552" s="1"/>
      <c r="DH552" s="1"/>
      <c r="DI552" s="1"/>
      <c r="DJ552" s="1"/>
      <c r="DK552" s="1"/>
      <c r="DL552" s="1"/>
      <c r="DM552" s="1"/>
      <c r="DN552" s="1"/>
      <c r="DO552" s="1"/>
      <c r="DP552" s="1"/>
      <c r="DQ552" s="1"/>
      <c r="DR552" s="1"/>
      <c r="DS552" s="1"/>
      <c r="DT552" s="1"/>
      <c r="DU552" s="1"/>
      <c r="DV552" s="1"/>
      <c r="DW552" s="1"/>
      <c r="DX552" s="1"/>
      <c r="DY552" s="1"/>
      <c r="DZ552" s="1"/>
      <c r="EA552" s="1"/>
      <c r="EB552" s="1"/>
      <c r="EC552" s="1"/>
      <c r="ED552" s="1"/>
      <c r="EE552" s="1"/>
      <c r="EF552" s="1"/>
      <c r="EG552" s="1"/>
      <c r="EH552" s="1"/>
      <c r="EI552" s="1"/>
      <c r="EJ552" s="1"/>
      <c r="EK552" s="1"/>
      <c r="EL552" s="1"/>
      <c r="EM552" s="1"/>
      <c r="EN552" s="1"/>
      <c r="EO552" s="1"/>
      <c r="EP552" s="1"/>
      <c r="EQ552" s="1"/>
      <c r="ER552" s="1"/>
      <c r="ES552" s="1"/>
      <c r="ET552" s="1"/>
      <c r="EU552" s="1"/>
      <c r="EV552" s="1"/>
      <c r="EW552" s="1"/>
      <c r="EX552" s="1"/>
      <c r="EY552" s="1"/>
      <c r="EZ552" s="1"/>
      <c r="FA552" s="1"/>
      <c r="FB552" s="1"/>
      <c r="FC552" s="1"/>
      <c r="FD552" s="1"/>
      <c r="FE552" s="1"/>
      <c r="FF552" s="1"/>
      <c r="FG552" s="1"/>
      <c r="FH552" s="1"/>
      <c r="FI552" s="1"/>
      <c r="FJ552" s="1"/>
      <c r="FK552" s="1"/>
      <c r="FL552" s="1"/>
      <c r="FM552" s="1"/>
      <c r="FN552" s="1"/>
      <c r="FO552" s="1"/>
      <c r="FP552" s="1"/>
      <c r="FQ552" s="1"/>
      <c r="FR552" s="2"/>
      <c r="FS552" s="1"/>
    </row>
    <row r="553" spans="1:175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R553" s="1"/>
      <c r="S553" s="1"/>
      <c r="T553" s="1"/>
      <c r="U553" s="1"/>
      <c r="V553" s="1"/>
      <c r="Y553" s="1"/>
      <c r="Z553" s="2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U553" s="1"/>
      <c r="AW553" s="1"/>
      <c r="AX553" s="1"/>
      <c r="AY553" s="1"/>
      <c r="AZ553" s="1"/>
      <c r="BA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  <c r="DC553" s="1"/>
      <c r="DD553" s="1"/>
      <c r="DE553" s="1"/>
      <c r="DF553" s="1"/>
      <c r="DG553" s="1"/>
      <c r="DH553" s="1"/>
      <c r="DI553" s="1"/>
      <c r="DJ553" s="1"/>
      <c r="DK553" s="1"/>
      <c r="DL553" s="1"/>
      <c r="DM553" s="1"/>
      <c r="DN553" s="1"/>
      <c r="DO553" s="1"/>
      <c r="DP553" s="1"/>
      <c r="DQ553" s="1"/>
      <c r="DR553" s="1"/>
      <c r="DS553" s="1"/>
      <c r="DT553" s="1"/>
      <c r="DU553" s="1"/>
      <c r="DV553" s="1"/>
      <c r="DW553" s="1"/>
      <c r="DX553" s="1"/>
      <c r="DY553" s="1"/>
      <c r="DZ553" s="1"/>
      <c r="EA553" s="1"/>
      <c r="EB553" s="1"/>
      <c r="EC553" s="1"/>
      <c r="ED553" s="1"/>
      <c r="EE553" s="1"/>
      <c r="EF553" s="1"/>
      <c r="EG553" s="1"/>
      <c r="EH553" s="1"/>
      <c r="EI553" s="1"/>
      <c r="EJ553" s="1"/>
      <c r="EK553" s="1"/>
      <c r="EL553" s="1"/>
      <c r="EM553" s="1"/>
      <c r="EN553" s="1"/>
      <c r="EO553" s="1"/>
      <c r="EP553" s="1"/>
      <c r="EQ553" s="1"/>
      <c r="ER553" s="1"/>
      <c r="ES553" s="1"/>
      <c r="ET553" s="1"/>
      <c r="EU553" s="1"/>
      <c r="EV553" s="1"/>
      <c r="EW553" s="1"/>
      <c r="EX553" s="1"/>
      <c r="EY553" s="1"/>
      <c r="EZ553" s="1"/>
      <c r="FA553" s="1"/>
      <c r="FB553" s="1"/>
      <c r="FC553" s="1"/>
      <c r="FD553" s="1"/>
      <c r="FE553" s="1"/>
      <c r="FF553" s="1"/>
      <c r="FG553" s="1"/>
      <c r="FH553" s="1"/>
      <c r="FI553" s="1"/>
      <c r="FJ553" s="1"/>
      <c r="FK553" s="1"/>
      <c r="FL553" s="1"/>
      <c r="FM553" s="1"/>
      <c r="FN553" s="1"/>
      <c r="FO553" s="1"/>
      <c r="FP553" s="1"/>
      <c r="FQ553" s="1"/>
      <c r="FR553" s="2"/>
      <c r="FS553" s="1"/>
    </row>
    <row r="554" spans="1:175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R554" s="1"/>
      <c r="S554" s="1"/>
      <c r="T554" s="1"/>
      <c r="U554" s="1"/>
      <c r="V554" s="1"/>
      <c r="Y554" s="1"/>
      <c r="Z554" s="2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U554" s="1"/>
      <c r="AW554" s="1"/>
      <c r="AX554" s="1"/>
      <c r="AY554" s="1"/>
      <c r="AZ554" s="1"/>
      <c r="BA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  <c r="DC554" s="1"/>
      <c r="DD554" s="1"/>
      <c r="DE554" s="1"/>
      <c r="DF554" s="1"/>
      <c r="DG554" s="1"/>
      <c r="DH554" s="1"/>
      <c r="DI554" s="1"/>
      <c r="DJ554" s="1"/>
      <c r="DK554" s="1"/>
      <c r="DL554" s="1"/>
      <c r="DM554" s="1"/>
      <c r="DN554" s="1"/>
      <c r="DO554" s="1"/>
      <c r="DP554" s="1"/>
      <c r="DQ554" s="1"/>
      <c r="DR554" s="1"/>
      <c r="DS554" s="1"/>
      <c r="DT554" s="1"/>
      <c r="DU554" s="1"/>
      <c r="DV554" s="1"/>
      <c r="DW554" s="1"/>
      <c r="DX554" s="1"/>
      <c r="DY554" s="1"/>
      <c r="DZ554" s="1"/>
      <c r="EA554" s="1"/>
      <c r="EB554" s="1"/>
      <c r="EC554" s="1"/>
      <c r="ED554" s="1"/>
      <c r="EE554" s="1"/>
      <c r="EF554" s="1"/>
      <c r="EG554" s="1"/>
      <c r="EH554" s="1"/>
      <c r="EI554" s="1"/>
      <c r="EJ554" s="1"/>
      <c r="EK554" s="1"/>
      <c r="EL554" s="1"/>
      <c r="EM554" s="1"/>
      <c r="EN554" s="1"/>
      <c r="EO554" s="1"/>
      <c r="EP554" s="1"/>
      <c r="EQ554" s="1"/>
      <c r="ER554" s="1"/>
      <c r="ES554" s="1"/>
      <c r="ET554" s="1"/>
      <c r="EU554" s="1"/>
      <c r="EV554" s="1"/>
      <c r="EW554" s="1"/>
      <c r="EX554" s="1"/>
      <c r="EY554" s="1"/>
      <c r="EZ554" s="1"/>
      <c r="FA554" s="1"/>
      <c r="FB554" s="1"/>
      <c r="FC554" s="1"/>
      <c r="FD554" s="1"/>
      <c r="FE554" s="1"/>
      <c r="FF554" s="1"/>
      <c r="FG554" s="1"/>
      <c r="FH554" s="1"/>
      <c r="FI554" s="1"/>
      <c r="FJ554" s="1"/>
      <c r="FK554" s="1"/>
      <c r="FL554" s="1"/>
      <c r="FM554" s="1"/>
      <c r="FN554" s="1"/>
      <c r="FO554" s="1"/>
      <c r="FP554" s="1"/>
      <c r="FQ554" s="1"/>
      <c r="FR554" s="2"/>
      <c r="FS554" s="1"/>
    </row>
    <row r="555" spans="1:175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R555" s="1"/>
      <c r="S555" s="1"/>
      <c r="T555" s="1"/>
      <c r="U555" s="1"/>
      <c r="V555" s="1"/>
      <c r="Y555" s="1"/>
      <c r="Z555" s="2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U555" s="1"/>
      <c r="AW555" s="1"/>
      <c r="AX555" s="1"/>
      <c r="AY555" s="1"/>
      <c r="AZ555" s="1"/>
      <c r="BA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  <c r="DC555" s="1"/>
      <c r="DD555" s="1"/>
      <c r="DE555" s="1"/>
      <c r="DF555" s="1"/>
      <c r="DG555" s="1"/>
      <c r="DH555" s="1"/>
      <c r="DI555" s="1"/>
      <c r="DJ555" s="1"/>
      <c r="DK555" s="1"/>
      <c r="DL555" s="1"/>
      <c r="DM555" s="1"/>
      <c r="DN555" s="1"/>
      <c r="DO555" s="1"/>
      <c r="DP555" s="1"/>
      <c r="DQ555" s="1"/>
      <c r="DR555" s="1"/>
      <c r="DS555" s="1"/>
      <c r="DT555" s="1"/>
      <c r="DU555" s="1"/>
      <c r="DV555" s="1"/>
      <c r="DW555" s="1"/>
      <c r="DX555" s="1"/>
      <c r="DY555" s="1"/>
      <c r="DZ555" s="1"/>
      <c r="EA555" s="1"/>
      <c r="EB555" s="1"/>
      <c r="EC555" s="1"/>
      <c r="ED555" s="1"/>
      <c r="EE555" s="1"/>
      <c r="EF555" s="1"/>
      <c r="EG555" s="1"/>
      <c r="EH555" s="1"/>
      <c r="EI555" s="1"/>
      <c r="EJ555" s="1"/>
      <c r="EK555" s="1"/>
      <c r="EL555" s="1"/>
      <c r="EM555" s="1"/>
      <c r="EN555" s="1"/>
      <c r="EO555" s="1"/>
      <c r="EP555" s="1"/>
      <c r="EQ555" s="1"/>
      <c r="ER555" s="1"/>
      <c r="ES555" s="1"/>
      <c r="ET555" s="1"/>
      <c r="EU555" s="1"/>
      <c r="EV555" s="1"/>
      <c r="EW555" s="1"/>
      <c r="EX555" s="1"/>
      <c r="EY555" s="1"/>
      <c r="EZ555" s="1"/>
      <c r="FA555" s="1"/>
      <c r="FB555" s="1"/>
      <c r="FC555" s="1"/>
      <c r="FD555" s="1"/>
      <c r="FE555" s="1"/>
      <c r="FF555" s="1"/>
      <c r="FG555" s="1"/>
      <c r="FH555" s="1"/>
      <c r="FI555" s="1"/>
      <c r="FJ555" s="1"/>
      <c r="FK555" s="1"/>
      <c r="FL555" s="1"/>
      <c r="FM555" s="1"/>
      <c r="FN555" s="1"/>
      <c r="FO555" s="1"/>
      <c r="FP555" s="1"/>
      <c r="FQ555" s="1"/>
      <c r="FR555" s="2"/>
      <c r="FS555" s="1"/>
    </row>
    <row r="556" spans="1:175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R556" s="1"/>
      <c r="S556" s="1"/>
      <c r="T556" s="1"/>
      <c r="U556" s="1"/>
      <c r="V556" s="1"/>
      <c r="Y556" s="1"/>
      <c r="Z556" s="2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U556" s="1"/>
      <c r="AW556" s="1"/>
      <c r="AX556" s="1"/>
      <c r="AY556" s="1"/>
      <c r="AZ556" s="1"/>
      <c r="BA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  <c r="DC556" s="1"/>
      <c r="DD556" s="1"/>
      <c r="DE556" s="1"/>
      <c r="DF556" s="1"/>
      <c r="DG556" s="1"/>
      <c r="DH556" s="1"/>
      <c r="DI556" s="1"/>
      <c r="DJ556" s="1"/>
      <c r="DK556" s="1"/>
      <c r="DL556" s="1"/>
      <c r="DM556" s="1"/>
      <c r="DN556" s="1"/>
      <c r="DO556" s="1"/>
      <c r="DP556" s="1"/>
      <c r="DQ556" s="1"/>
      <c r="DR556" s="1"/>
      <c r="DS556" s="1"/>
      <c r="DT556" s="1"/>
      <c r="DU556" s="1"/>
      <c r="DV556" s="1"/>
      <c r="DW556" s="1"/>
      <c r="DX556" s="1"/>
      <c r="DY556" s="1"/>
      <c r="DZ556" s="1"/>
      <c r="EA556" s="1"/>
      <c r="EB556" s="1"/>
      <c r="EC556" s="1"/>
      <c r="ED556" s="1"/>
      <c r="EE556" s="1"/>
      <c r="EF556" s="1"/>
      <c r="EG556" s="1"/>
      <c r="EH556" s="1"/>
      <c r="EI556" s="1"/>
      <c r="EJ556" s="1"/>
      <c r="EK556" s="1"/>
      <c r="EL556" s="1"/>
      <c r="EM556" s="1"/>
      <c r="EN556" s="1"/>
      <c r="EO556" s="1"/>
      <c r="EP556" s="1"/>
      <c r="EQ556" s="1"/>
      <c r="ER556" s="1"/>
      <c r="ES556" s="1"/>
      <c r="ET556" s="1"/>
      <c r="EU556" s="1"/>
      <c r="EV556" s="1"/>
      <c r="EW556" s="1"/>
      <c r="EX556" s="1"/>
      <c r="EY556" s="1"/>
      <c r="EZ556" s="1"/>
      <c r="FA556" s="1"/>
      <c r="FB556" s="1"/>
      <c r="FC556" s="1"/>
      <c r="FD556" s="1"/>
      <c r="FE556" s="1"/>
      <c r="FF556" s="1"/>
      <c r="FG556" s="1"/>
      <c r="FH556" s="1"/>
      <c r="FI556" s="1"/>
      <c r="FJ556" s="1"/>
      <c r="FK556" s="1"/>
      <c r="FL556" s="1"/>
      <c r="FM556" s="1"/>
      <c r="FN556" s="1"/>
      <c r="FO556" s="1"/>
      <c r="FP556" s="1"/>
      <c r="FQ556" s="1"/>
      <c r="FR556" s="2"/>
      <c r="FS556" s="1"/>
    </row>
    <row r="557" spans="1:175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R557" s="1"/>
      <c r="S557" s="1"/>
      <c r="T557" s="1"/>
      <c r="U557" s="1"/>
      <c r="V557" s="1"/>
      <c r="Y557" s="1"/>
      <c r="Z557" s="2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U557" s="1"/>
      <c r="AW557" s="1"/>
      <c r="AX557" s="1"/>
      <c r="AY557" s="1"/>
      <c r="AZ557" s="1"/>
      <c r="BA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  <c r="DC557" s="1"/>
      <c r="DD557" s="1"/>
      <c r="DE557" s="1"/>
      <c r="DF557" s="1"/>
      <c r="DG557" s="1"/>
      <c r="DH557" s="1"/>
      <c r="DI557" s="1"/>
      <c r="DJ557" s="1"/>
      <c r="DK557" s="1"/>
      <c r="DL557" s="1"/>
      <c r="DM557" s="1"/>
      <c r="DN557" s="1"/>
      <c r="DO557" s="1"/>
      <c r="DP557" s="1"/>
      <c r="DQ557" s="1"/>
      <c r="DR557" s="1"/>
      <c r="DS557" s="1"/>
      <c r="DT557" s="1"/>
      <c r="DU557" s="1"/>
      <c r="DV557" s="1"/>
      <c r="DW557" s="1"/>
      <c r="DX557" s="1"/>
      <c r="DY557" s="1"/>
      <c r="DZ557" s="1"/>
      <c r="EA557" s="1"/>
      <c r="EB557" s="1"/>
      <c r="EC557" s="1"/>
      <c r="ED557" s="1"/>
      <c r="EE557" s="1"/>
      <c r="EF557" s="1"/>
      <c r="EG557" s="1"/>
      <c r="EH557" s="1"/>
      <c r="EI557" s="1"/>
      <c r="EJ557" s="1"/>
      <c r="EK557" s="1"/>
      <c r="EL557" s="1"/>
      <c r="EM557" s="1"/>
      <c r="EN557" s="1"/>
      <c r="EO557" s="1"/>
      <c r="EP557" s="1"/>
      <c r="EQ557" s="1"/>
      <c r="ER557" s="1"/>
      <c r="ES557" s="1"/>
      <c r="ET557" s="1"/>
      <c r="EU557" s="1"/>
      <c r="EV557" s="1"/>
      <c r="EW557" s="1"/>
      <c r="EX557" s="1"/>
      <c r="EY557" s="1"/>
      <c r="EZ557" s="1"/>
      <c r="FA557" s="1"/>
      <c r="FB557" s="1"/>
      <c r="FC557" s="1"/>
      <c r="FD557" s="1"/>
      <c r="FE557" s="1"/>
      <c r="FF557" s="1"/>
      <c r="FG557" s="1"/>
      <c r="FH557" s="1"/>
      <c r="FI557" s="1"/>
      <c r="FJ557" s="1"/>
      <c r="FK557" s="1"/>
      <c r="FL557" s="1"/>
      <c r="FM557" s="1"/>
      <c r="FN557" s="1"/>
      <c r="FO557" s="1"/>
      <c r="FP557" s="1"/>
      <c r="FQ557" s="1"/>
      <c r="FR557" s="2"/>
      <c r="FS557" s="1"/>
    </row>
    <row r="558" spans="1:175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R558" s="1"/>
      <c r="S558" s="1"/>
      <c r="T558" s="1"/>
      <c r="U558" s="1"/>
      <c r="V558" s="1"/>
      <c r="Y558" s="1"/>
      <c r="Z558" s="2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U558" s="1"/>
      <c r="AW558" s="1"/>
      <c r="AX558" s="1"/>
      <c r="AY558" s="1"/>
      <c r="AZ558" s="1"/>
      <c r="BA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  <c r="DC558" s="1"/>
      <c r="DD558" s="1"/>
      <c r="DE558" s="1"/>
      <c r="DF558" s="1"/>
      <c r="DG558" s="1"/>
      <c r="DH558" s="1"/>
      <c r="DI558" s="1"/>
      <c r="DJ558" s="1"/>
      <c r="DK558" s="1"/>
      <c r="DL558" s="1"/>
      <c r="DM558" s="1"/>
      <c r="DN558" s="1"/>
      <c r="DO558" s="1"/>
      <c r="DP558" s="1"/>
      <c r="DQ558" s="1"/>
      <c r="DR558" s="1"/>
      <c r="DS558" s="1"/>
      <c r="DT558" s="1"/>
      <c r="DU558" s="1"/>
      <c r="DV558" s="1"/>
      <c r="DW558" s="1"/>
      <c r="DX558" s="1"/>
      <c r="DY558" s="1"/>
      <c r="DZ558" s="1"/>
      <c r="EA558" s="1"/>
      <c r="EB558" s="1"/>
      <c r="EC558" s="1"/>
      <c r="ED558" s="1"/>
      <c r="EE558" s="1"/>
      <c r="EF558" s="1"/>
      <c r="EG558" s="1"/>
      <c r="EH558" s="1"/>
      <c r="EI558" s="1"/>
      <c r="EJ558" s="1"/>
      <c r="EK558" s="1"/>
      <c r="EL558" s="1"/>
      <c r="EM558" s="1"/>
      <c r="EN558" s="1"/>
      <c r="EO558" s="1"/>
      <c r="EP558" s="1"/>
      <c r="EQ558" s="1"/>
      <c r="ER558" s="1"/>
      <c r="ES558" s="1"/>
      <c r="ET558" s="1"/>
      <c r="EU558" s="1"/>
      <c r="EV558" s="1"/>
      <c r="EW558" s="1"/>
      <c r="EX558" s="1"/>
      <c r="EY558" s="1"/>
      <c r="EZ558" s="1"/>
      <c r="FA558" s="1"/>
      <c r="FB558" s="1"/>
      <c r="FC558" s="1"/>
      <c r="FD558" s="1"/>
      <c r="FE558" s="1"/>
      <c r="FF558" s="1"/>
      <c r="FG558" s="1"/>
      <c r="FH558" s="1"/>
      <c r="FI558" s="1"/>
      <c r="FJ558" s="1"/>
      <c r="FK558" s="1"/>
      <c r="FL558" s="1"/>
      <c r="FM558" s="1"/>
      <c r="FN558" s="1"/>
      <c r="FO558" s="1"/>
      <c r="FP558" s="1"/>
      <c r="FQ558" s="1"/>
      <c r="FR558" s="2"/>
      <c r="FS558" s="1"/>
    </row>
    <row r="559" spans="1:175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R559" s="1"/>
      <c r="S559" s="1"/>
      <c r="T559" s="1"/>
      <c r="U559" s="1"/>
      <c r="V559" s="1"/>
      <c r="Y559" s="1"/>
      <c r="Z559" s="2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U559" s="1"/>
      <c r="AW559" s="1"/>
      <c r="AX559" s="1"/>
      <c r="AY559" s="1"/>
      <c r="AZ559" s="1"/>
      <c r="BA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  <c r="DC559" s="1"/>
      <c r="DD559" s="1"/>
      <c r="DE559" s="1"/>
      <c r="DF559" s="1"/>
      <c r="DG559" s="1"/>
      <c r="DH559" s="1"/>
      <c r="DI559" s="1"/>
      <c r="DJ559" s="1"/>
      <c r="DK559" s="1"/>
      <c r="DL559" s="1"/>
      <c r="DM559" s="1"/>
      <c r="DN559" s="1"/>
      <c r="DO559" s="1"/>
      <c r="DP559" s="1"/>
      <c r="DQ559" s="1"/>
      <c r="DR559" s="1"/>
      <c r="DS559" s="1"/>
      <c r="DT559" s="1"/>
      <c r="DU559" s="1"/>
      <c r="DV559" s="1"/>
      <c r="DW559" s="1"/>
      <c r="DX559" s="1"/>
      <c r="DY559" s="1"/>
      <c r="DZ559" s="1"/>
      <c r="EA559" s="1"/>
      <c r="EB559" s="1"/>
      <c r="EC559" s="1"/>
      <c r="ED559" s="1"/>
      <c r="EE559" s="1"/>
      <c r="EF559" s="1"/>
      <c r="EG559" s="1"/>
      <c r="EH559" s="1"/>
      <c r="EI559" s="1"/>
      <c r="EJ559" s="1"/>
      <c r="EK559" s="1"/>
      <c r="EL559" s="1"/>
      <c r="EM559" s="1"/>
      <c r="EN559" s="1"/>
      <c r="EO559" s="1"/>
      <c r="EP559" s="1"/>
      <c r="EQ559" s="1"/>
      <c r="ER559" s="1"/>
      <c r="ES559" s="1"/>
      <c r="ET559" s="1"/>
      <c r="EU559" s="1"/>
      <c r="EV559" s="1"/>
      <c r="EW559" s="1"/>
      <c r="EX559" s="1"/>
      <c r="EY559" s="1"/>
      <c r="EZ559" s="1"/>
      <c r="FA559" s="1"/>
      <c r="FB559" s="1"/>
      <c r="FC559" s="1"/>
      <c r="FD559" s="1"/>
      <c r="FE559" s="1"/>
      <c r="FF559" s="1"/>
      <c r="FG559" s="1"/>
      <c r="FH559" s="1"/>
      <c r="FI559" s="1"/>
      <c r="FJ559" s="1"/>
      <c r="FK559" s="1"/>
      <c r="FL559" s="1"/>
      <c r="FM559" s="1"/>
      <c r="FN559" s="1"/>
      <c r="FO559" s="1"/>
      <c r="FP559" s="1"/>
      <c r="FQ559" s="1"/>
      <c r="FR559" s="2"/>
      <c r="FS559" s="1"/>
    </row>
    <row r="560" spans="1:175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R560" s="1"/>
      <c r="S560" s="1"/>
      <c r="T560" s="1"/>
      <c r="U560" s="1"/>
      <c r="V560" s="1"/>
      <c r="Y560" s="1"/>
      <c r="Z560" s="2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U560" s="1"/>
      <c r="AW560" s="1"/>
      <c r="AX560" s="1"/>
      <c r="AY560" s="1"/>
      <c r="AZ560" s="1"/>
      <c r="BA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  <c r="DC560" s="1"/>
      <c r="DD560" s="1"/>
      <c r="DE560" s="1"/>
      <c r="DF560" s="1"/>
      <c r="DG560" s="1"/>
      <c r="DH560" s="1"/>
      <c r="DI560" s="1"/>
      <c r="DJ560" s="1"/>
      <c r="DK560" s="1"/>
      <c r="DL560" s="1"/>
      <c r="DM560" s="1"/>
      <c r="DN560" s="1"/>
      <c r="DO560" s="1"/>
      <c r="DP560" s="1"/>
      <c r="DQ560" s="1"/>
      <c r="DR560" s="1"/>
      <c r="DS560" s="1"/>
      <c r="DT560" s="1"/>
      <c r="DU560" s="1"/>
      <c r="DV560" s="1"/>
      <c r="DW560" s="1"/>
      <c r="DX560" s="1"/>
      <c r="DY560" s="1"/>
      <c r="DZ560" s="1"/>
      <c r="EA560" s="1"/>
      <c r="EB560" s="1"/>
      <c r="EC560" s="1"/>
      <c r="ED560" s="1"/>
      <c r="EE560" s="1"/>
      <c r="EF560" s="1"/>
      <c r="EG560" s="1"/>
      <c r="EH560" s="1"/>
      <c r="EI560" s="1"/>
      <c r="EJ560" s="1"/>
      <c r="EK560" s="1"/>
      <c r="EL560" s="1"/>
      <c r="EM560" s="1"/>
      <c r="EN560" s="1"/>
      <c r="EO560" s="1"/>
      <c r="EP560" s="1"/>
      <c r="EQ560" s="1"/>
      <c r="ER560" s="1"/>
      <c r="ES560" s="1"/>
      <c r="ET560" s="1"/>
      <c r="EU560" s="1"/>
      <c r="EV560" s="1"/>
      <c r="EW560" s="1"/>
      <c r="EX560" s="1"/>
      <c r="EY560" s="1"/>
      <c r="EZ560" s="1"/>
      <c r="FA560" s="1"/>
      <c r="FB560" s="1"/>
      <c r="FC560" s="1"/>
      <c r="FD560" s="1"/>
      <c r="FE560" s="1"/>
      <c r="FF560" s="1"/>
      <c r="FG560" s="1"/>
      <c r="FH560" s="1"/>
      <c r="FI560" s="1"/>
      <c r="FJ560" s="1"/>
      <c r="FK560" s="1"/>
      <c r="FL560" s="1"/>
      <c r="FM560" s="1"/>
      <c r="FN560" s="1"/>
      <c r="FO560" s="1"/>
      <c r="FP560" s="1"/>
      <c r="FQ560" s="1"/>
      <c r="FR560" s="2"/>
      <c r="FS560" s="1"/>
    </row>
    <row r="561" spans="1:175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R561" s="1"/>
      <c r="S561" s="1"/>
      <c r="T561" s="1"/>
      <c r="U561" s="1"/>
      <c r="V561" s="1"/>
      <c r="Y561" s="1"/>
      <c r="Z561" s="2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U561" s="1"/>
      <c r="AW561" s="1"/>
      <c r="AX561" s="1"/>
      <c r="AY561" s="1"/>
      <c r="AZ561" s="1"/>
      <c r="BA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  <c r="DC561" s="1"/>
      <c r="DD561" s="1"/>
      <c r="DE561" s="1"/>
      <c r="DF561" s="1"/>
      <c r="DG561" s="1"/>
      <c r="DH561" s="1"/>
      <c r="DI561" s="1"/>
      <c r="DJ561" s="1"/>
      <c r="DK561" s="1"/>
      <c r="DL561" s="1"/>
      <c r="DM561" s="1"/>
      <c r="DN561" s="1"/>
      <c r="DO561" s="1"/>
      <c r="DP561" s="1"/>
      <c r="DQ561" s="1"/>
      <c r="DR561" s="1"/>
      <c r="DS561" s="1"/>
      <c r="DT561" s="1"/>
      <c r="DU561" s="1"/>
      <c r="DV561" s="1"/>
      <c r="DW561" s="1"/>
      <c r="DX561" s="1"/>
      <c r="DY561" s="1"/>
      <c r="DZ561" s="1"/>
      <c r="EA561" s="1"/>
      <c r="EB561" s="1"/>
      <c r="EC561" s="1"/>
      <c r="ED561" s="1"/>
      <c r="EE561" s="1"/>
      <c r="EF561" s="1"/>
      <c r="EG561" s="1"/>
      <c r="EH561" s="1"/>
      <c r="EI561" s="1"/>
      <c r="EJ561" s="1"/>
      <c r="EK561" s="1"/>
      <c r="EL561" s="1"/>
      <c r="EM561" s="1"/>
      <c r="EN561" s="1"/>
      <c r="EO561" s="1"/>
      <c r="EP561" s="1"/>
      <c r="EQ561" s="1"/>
      <c r="ER561" s="1"/>
      <c r="ES561" s="1"/>
      <c r="ET561" s="1"/>
      <c r="EU561" s="1"/>
      <c r="EV561" s="1"/>
      <c r="EW561" s="1"/>
      <c r="EX561" s="1"/>
      <c r="EY561" s="1"/>
      <c r="EZ561" s="1"/>
      <c r="FA561" s="1"/>
      <c r="FB561" s="1"/>
      <c r="FC561" s="1"/>
      <c r="FD561" s="1"/>
      <c r="FE561" s="1"/>
      <c r="FF561" s="1"/>
      <c r="FG561" s="1"/>
      <c r="FH561" s="1"/>
      <c r="FI561" s="1"/>
      <c r="FJ561" s="1"/>
      <c r="FK561" s="1"/>
      <c r="FL561" s="1"/>
      <c r="FM561" s="1"/>
      <c r="FN561" s="1"/>
      <c r="FO561" s="1"/>
      <c r="FP561" s="1"/>
      <c r="FQ561" s="1"/>
      <c r="FR561" s="2"/>
      <c r="FS561" s="1"/>
    </row>
    <row r="562" spans="1:175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R562" s="1"/>
      <c r="S562" s="1"/>
      <c r="T562" s="1"/>
      <c r="U562" s="1"/>
      <c r="V562" s="1"/>
      <c r="Y562" s="1"/>
      <c r="Z562" s="2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U562" s="1"/>
      <c r="AW562" s="1"/>
      <c r="AX562" s="1"/>
      <c r="AY562" s="1"/>
      <c r="AZ562" s="1"/>
      <c r="BA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  <c r="DC562" s="1"/>
      <c r="DD562" s="1"/>
      <c r="DE562" s="1"/>
      <c r="DF562" s="1"/>
      <c r="DG562" s="1"/>
      <c r="DH562" s="1"/>
      <c r="DI562" s="1"/>
      <c r="DJ562" s="1"/>
      <c r="DK562" s="1"/>
      <c r="DL562" s="1"/>
      <c r="DM562" s="1"/>
      <c r="DN562" s="1"/>
      <c r="DO562" s="1"/>
      <c r="DP562" s="1"/>
      <c r="DQ562" s="1"/>
      <c r="DR562" s="1"/>
      <c r="DS562" s="1"/>
      <c r="DT562" s="1"/>
      <c r="DU562" s="1"/>
      <c r="DV562" s="1"/>
      <c r="DW562" s="1"/>
      <c r="DX562" s="1"/>
      <c r="DY562" s="1"/>
      <c r="DZ562" s="1"/>
      <c r="EA562" s="1"/>
      <c r="EB562" s="1"/>
      <c r="EC562" s="1"/>
      <c r="ED562" s="1"/>
      <c r="EE562" s="1"/>
      <c r="EF562" s="1"/>
      <c r="EG562" s="1"/>
      <c r="EH562" s="1"/>
      <c r="EI562" s="1"/>
      <c r="EJ562" s="1"/>
      <c r="EK562" s="1"/>
      <c r="EL562" s="1"/>
      <c r="EM562" s="1"/>
      <c r="EN562" s="1"/>
      <c r="EO562" s="1"/>
      <c r="EP562" s="1"/>
      <c r="EQ562" s="1"/>
      <c r="ER562" s="1"/>
      <c r="ES562" s="1"/>
      <c r="ET562" s="1"/>
      <c r="EU562" s="1"/>
      <c r="EV562" s="1"/>
      <c r="EW562" s="1"/>
      <c r="EX562" s="1"/>
      <c r="EY562" s="1"/>
      <c r="EZ562" s="1"/>
      <c r="FA562" s="1"/>
      <c r="FB562" s="1"/>
      <c r="FC562" s="1"/>
      <c r="FD562" s="1"/>
      <c r="FE562" s="1"/>
      <c r="FF562" s="1"/>
      <c r="FG562" s="1"/>
      <c r="FH562" s="1"/>
      <c r="FI562" s="1"/>
      <c r="FJ562" s="1"/>
      <c r="FK562" s="1"/>
      <c r="FL562" s="1"/>
      <c r="FM562" s="1"/>
      <c r="FN562" s="1"/>
      <c r="FO562" s="1"/>
      <c r="FP562" s="1"/>
      <c r="FQ562" s="1"/>
      <c r="FR562" s="2"/>
      <c r="FS562" s="1"/>
    </row>
    <row r="563" spans="1:175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R563" s="1"/>
      <c r="S563" s="1"/>
      <c r="T563" s="1"/>
      <c r="U563" s="1"/>
      <c r="V563" s="1"/>
      <c r="Y563" s="1"/>
      <c r="Z563" s="2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U563" s="1"/>
      <c r="AW563" s="1"/>
      <c r="AX563" s="1"/>
      <c r="AY563" s="1"/>
      <c r="AZ563" s="1"/>
      <c r="BA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  <c r="DC563" s="1"/>
      <c r="DD563" s="1"/>
      <c r="DE563" s="1"/>
      <c r="DF563" s="1"/>
      <c r="DG563" s="1"/>
      <c r="DH563" s="1"/>
      <c r="DI563" s="1"/>
      <c r="DJ563" s="1"/>
      <c r="DK563" s="1"/>
      <c r="DL563" s="1"/>
      <c r="DM563" s="1"/>
      <c r="DN563" s="1"/>
      <c r="DO563" s="1"/>
      <c r="DP563" s="1"/>
      <c r="DQ563" s="1"/>
      <c r="DR563" s="1"/>
      <c r="DS563" s="1"/>
      <c r="DT563" s="1"/>
      <c r="DU563" s="1"/>
      <c r="DV563" s="1"/>
      <c r="DW563" s="1"/>
      <c r="DX563" s="1"/>
      <c r="DY563" s="1"/>
      <c r="DZ563" s="1"/>
      <c r="EA563" s="1"/>
      <c r="EB563" s="1"/>
      <c r="EC563" s="1"/>
      <c r="ED563" s="1"/>
      <c r="EE563" s="1"/>
      <c r="EF563" s="1"/>
      <c r="EG563" s="1"/>
      <c r="EH563" s="1"/>
      <c r="EI563" s="1"/>
      <c r="EJ563" s="1"/>
      <c r="EK563" s="1"/>
      <c r="EL563" s="1"/>
      <c r="EM563" s="1"/>
      <c r="EN563" s="1"/>
      <c r="EO563" s="1"/>
      <c r="EP563" s="1"/>
      <c r="EQ563" s="1"/>
      <c r="ER563" s="1"/>
      <c r="ES563" s="1"/>
      <c r="ET563" s="1"/>
      <c r="EU563" s="1"/>
      <c r="EV563" s="1"/>
      <c r="EW563" s="1"/>
      <c r="EX563" s="1"/>
      <c r="EY563" s="1"/>
      <c r="EZ563" s="1"/>
      <c r="FA563" s="1"/>
      <c r="FB563" s="1"/>
      <c r="FC563" s="1"/>
      <c r="FD563" s="1"/>
      <c r="FE563" s="1"/>
      <c r="FF563" s="1"/>
      <c r="FG563" s="1"/>
      <c r="FH563" s="1"/>
      <c r="FI563" s="1"/>
      <c r="FJ563" s="1"/>
      <c r="FK563" s="1"/>
      <c r="FL563" s="1"/>
      <c r="FM563" s="1"/>
      <c r="FN563" s="1"/>
      <c r="FO563" s="1"/>
      <c r="FP563" s="1"/>
      <c r="FQ563" s="1"/>
      <c r="FR563" s="2"/>
      <c r="FS563" s="1"/>
    </row>
    <row r="564" spans="1:175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R564" s="1"/>
      <c r="S564" s="1"/>
      <c r="T564" s="1"/>
      <c r="U564" s="1"/>
      <c r="V564" s="1"/>
      <c r="Y564" s="1"/>
      <c r="Z564" s="2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U564" s="1"/>
      <c r="AW564" s="1"/>
      <c r="AX564" s="1"/>
      <c r="AY564" s="1"/>
      <c r="AZ564" s="1"/>
      <c r="BA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  <c r="DC564" s="1"/>
      <c r="DD564" s="1"/>
      <c r="DE564" s="1"/>
      <c r="DF564" s="1"/>
      <c r="DG564" s="1"/>
      <c r="DH564" s="1"/>
      <c r="DI564" s="1"/>
      <c r="DJ564" s="1"/>
      <c r="DK564" s="1"/>
      <c r="DL564" s="1"/>
      <c r="DM564" s="1"/>
      <c r="DN564" s="1"/>
      <c r="DO564" s="1"/>
      <c r="DP564" s="1"/>
      <c r="DQ564" s="1"/>
      <c r="DR564" s="1"/>
      <c r="DS564" s="1"/>
      <c r="DT564" s="1"/>
      <c r="DU564" s="1"/>
      <c r="DV564" s="1"/>
      <c r="DW564" s="1"/>
      <c r="DX564" s="1"/>
      <c r="DY564" s="1"/>
      <c r="DZ564" s="1"/>
      <c r="EA564" s="1"/>
      <c r="EB564" s="1"/>
      <c r="EC564" s="1"/>
      <c r="ED564" s="1"/>
      <c r="EE564" s="1"/>
      <c r="EF564" s="1"/>
      <c r="EG564" s="1"/>
      <c r="EH564" s="1"/>
      <c r="EI564" s="1"/>
      <c r="EJ564" s="1"/>
      <c r="EK564" s="1"/>
      <c r="EL564" s="1"/>
      <c r="EM564" s="1"/>
      <c r="EN564" s="1"/>
      <c r="EO564" s="1"/>
      <c r="EP564" s="1"/>
      <c r="EQ564" s="1"/>
      <c r="ER564" s="1"/>
      <c r="ES564" s="1"/>
      <c r="ET564" s="1"/>
      <c r="EU564" s="1"/>
      <c r="EV564" s="1"/>
      <c r="EW564" s="1"/>
      <c r="EX564" s="1"/>
      <c r="EY564" s="1"/>
      <c r="EZ564" s="1"/>
      <c r="FA564" s="1"/>
      <c r="FB564" s="1"/>
      <c r="FC564" s="1"/>
      <c r="FD564" s="1"/>
      <c r="FE564" s="1"/>
      <c r="FF564" s="1"/>
      <c r="FG564" s="1"/>
      <c r="FH564" s="1"/>
      <c r="FI564" s="1"/>
      <c r="FJ564" s="1"/>
      <c r="FK564" s="1"/>
      <c r="FL564" s="1"/>
      <c r="FM564" s="1"/>
      <c r="FN564" s="1"/>
      <c r="FO564" s="1"/>
      <c r="FP564" s="1"/>
      <c r="FQ564" s="1"/>
      <c r="FR564" s="2"/>
      <c r="FS564" s="1"/>
    </row>
    <row r="565" spans="1:175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R565" s="1"/>
      <c r="S565" s="1"/>
      <c r="T565" s="1"/>
      <c r="U565" s="1"/>
      <c r="V565" s="1"/>
      <c r="Y565" s="1"/>
      <c r="Z565" s="2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U565" s="1"/>
      <c r="AW565" s="1"/>
      <c r="AX565" s="1"/>
      <c r="AY565" s="1"/>
      <c r="AZ565" s="1"/>
      <c r="BA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  <c r="DC565" s="1"/>
      <c r="DD565" s="1"/>
      <c r="DE565" s="1"/>
      <c r="DF565" s="1"/>
      <c r="DG565" s="1"/>
      <c r="DH565" s="1"/>
      <c r="DI565" s="1"/>
      <c r="DJ565" s="1"/>
      <c r="DK565" s="1"/>
      <c r="DL565" s="1"/>
      <c r="DM565" s="1"/>
      <c r="DN565" s="1"/>
      <c r="DO565" s="1"/>
      <c r="DP565" s="1"/>
      <c r="DQ565" s="1"/>
      <c r="DR565" s="1"/>
      <c r="DS565" s="1"/>
      <c r="DT565" s="1"/>
      <c r="DU565" s="1"/>
      <c r="DV565" s="1"/>
      <c r="DW565" s="1"/>
      <c r="DX565" s="1"/>
      <c r="DY565" s="1"/>
      <c r="DZ565" s="1"/>
      <c r="EA565" s="1"/>
      <c r="EB565" s="1"/>
      <c r="EC565" s="1"/>
      <c r="ED565" s="1"/>
      <c r="EE565" s="1"/>
      <c r="EF565" s="1"/>
      <c r="EG565" s="1"/>
      <c r="EH565" s="1"/>
      <c r="EI565" s="1"/>
      <c r="EJ565" s="1"/>
      <c r="EK565" s="1"/>
      <c r="EL565" s="1"/>
      <c r="EM565" s="1"/>
      <c r="EN565" s="1"/>
      <c r="EO565" s="1"/>
      <c r="EP565" s="1"/>
      <c r="EQ565" s="1"/>
      <c r="ER565" s="1"/>
      <c r="ES565" s="1"/>
      <c r="ET565" s="1"/>
      <c r="EU565" s="1"/>
      <c r="EV565" s="1"/>
      <c r="EW565" s="1"/>
      <c r="EX565" s="1"/>
      <c r="EY565" s="1"/>
      <c r="EZ565" s="1"/>
      <c r="FA565" s="1"/>
      <c r="FB565" s="1"/>
      <c r="FC565" s="1"/>
      <c r="FD565" s="1"/>
      <c r="FE565" s="1"/>
      <c r="FF565" s="1"/>
      <c r="FG565" s="1"/>
      <c r="FH565" s="1"/>
      <c r="FI565" s="1"/>
      <c r="FJ565" s="1"/>
      <c r="FK565" s="1"/>
      <c r="FL565" s="1"/>
      <c r="FM565" s="1"/>
      <c r="FN565" s="1"/>
      <c r="FO565" s="1"/>
      <c r="FP565" s="1"/>
      <c r="FQ565" s="1"/>
      <c r="FR565" s="2"/>
      <c r="FS565" s="1"/>
    </row>
    <row r="566" spans="1:175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R566" s="1"/>
      <c r="S566" s="1"/>
      <c r="T566" s="1"/>
      <c r="U566" s="1"/>
      <c r="V566" s="1"/>
      <c r="Y566" s="1"/>
      <c r="Z566" s="2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U566" s="1"/>
      <c r="AW566" s="1"/>
      <c r="AX566" s="1"/>
      <c r="AY566" s="1"/>
      <c r="AZ566" s="1"/>
      <c r="BA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  <c r="DC566" s="1"/>
      <c r="DD566" s="1"/>
      <c r="DE566" s="1"/>
      <c r="DF566" s="1"/>
      <c r="DG566" s="1"/>
      <c r="DH566" s="1"/>
      <c r="DI566" s="1"/>
      <c r="DJ566" s="1"/>
      <c r="DK566" s="1"/>
      <c r="DL566" s="1"/>
      <c r="DM566" s="1"/>
      <c r="DN566" s="1"/>
      <c r="DO566" s="1"/>
      <c r="DP566" s="1"/>
      <c r="DQ566" s="1"/>
      <c r="DR566" s="1"/>
      <c r="DS566" s="1"/>
      <c r="DT566" s="1"/>
      <c r="DU566" s="1"/>
      <c r="DV566" s="1"/>
      <c r="DW566" s="1"/>
      <c r="DX566" s="1"/>
      <c r="DY566" s="1"/>
      <c r="DZ566" s="1"/>
      <c r="EA566" s="1"/>
      <c r="EB566" s="1"/>
      <c r="EC566" s="1"/>
      <c r="ED566" s="1"/>
      <c r="EE566" s="1"/>
      <c r="EF566" s="1"/>
      <c r="EG566" s="1"/>
      <c r="EH566" s="1"/>
      <c r="EI566" s="1"/>
      <c r="EJ566" s="1"/>
      <c r="EK566" s="1"/>
      <c r="EL566" s="1"/>
      <c r="EM566" s="1"/>
      <c r="EN566" s="1"/>
      <c r="EO566" s="1"/>
      <c r="EP566" s="1"/>
      <c r="EQ566" s="1"/>
      <c r="ER566" s="1"/>
      <c r="ES566" s="1"/>
      <c r="ET566" s="1"/>
      <c r="EU566" s="1"/>
      <c r="EV566" s="1"/>
      <c r="EW566" s="1"/>
      <c r="EX566" s="1"/>
      <c r="EY566" s="1"/>
      <c r="EZ566" s="1"/>
      <c r="FA566" s="1"/>
      <c r="FB566" s="1"/>
      <c r="FC566" s="1"/>
      <c r="FD566" s="1"/>
      <c r="FE566" s="1"/>
      <c r="FF566" s="1"/>
      <c r="FG566" s="1"/>
      <c r="FH566" s="1"/>
      <c r="FI566" s="1"/>
      <c r="FJ566" s="1"/>
      <c r="FK566" s="1"/>
      <c r="FL566" s="1"/>
      <c r="FM566" s="1"/>
      <c r="FN566" s="1"/>
      <c r="FO566" s="1"/>
      <c r="FP566" s="1"/>
      <c r="FQ566" s="1"/>
      <c r="FR566" s="2"/>
      <c r="FS566" s="1"/>
    </row>
    <row r="567" spans="1:175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R567" s="1"/>
      <c r="S567" s="1"/>
      <c r="T567" s="1"/>
      <c r="U567" s="1"/>
      <c r="V567" s="1"/>
      <c r="Y567" s="1"/>
      <c r="Z567" s="2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U567" s="1"/>
      <c r="AW567" s="1"/>
      <c r="AX567" s="1"/>
      <c r="AY567" s="1"/>
      <c r="AZ567" s="1"/>
      <c r="BA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  <c r="DC567" s="1"/>
      <c r="DD567" s="1"/>
      <c r="DE567" s="1"/>
      <c r="DF567" s="1"/>
      <c r="DG567" s="1"/>
      <c r="DH567" s="1"/>
      <c r="DI567" s="1"/>
      <c r="DJ567" s="1"/>
      <c r="DK567" s="1"/>
      <c r="DL567" s="1"/>
      <c r="DM567" s="1"/>
      <c r="DN567" s="1"/>
      <c r="DO567" s="1"/>
      <c r="DP567" s="1"/>
      <c r="DQ567" s="1"/>
      <c r="DR567" s="1"/>
      <c r="DS567" s="1"/>
      <c r="DT567" s="1"/>
      <c r="DU567" s="1"/>
      <c r="DV567" s="1"/>
      <c r="DW567" s="1"/>
      <c r="DX567" s="1"/>
      <c r="DY567" s="1"/>
      <c r="DZ567" s="1"/>
      <c r="EA567" s="1"/>
      <c r="EB567" s="1"/>
      <c r="EC567" s="1"/>
      <c r="ED567" s="1"/>
      <c r="EE567" s="1"/>
      <c r="EF567" s="1"/>
      <c r="EG567" s="1"/>
      <c r="EH567" s="1"/>
      <c r="EI567" s="1"/>
      <c r="EJ567" s="1"/>
      <c r="EK567" s="1"/>
      <c r="EL567" s="1"/>
      <c r="EM567" s="1"/>
      <c r="EN567" s="1"/>
      <c r="EO567" s="1"/>
      <c r="EP567" s="1"/>
      <c r="EQ567" s="1"/>
      <c r="ER567" s="1"/>
      <c r="ES567" s="1"/>
      <c r="ET567" s="1"/>
      <c r="EU567" s="1"/>
      <c r="EV567" s="1"/>
      <c r="EW567" s="1"/>
      <c r="EX567" s="1"/>
      <c r="EY567" s="1"/>
      <c r="EZ567" s="1"/>
      <c r="FA567" s="1"/>
      <c r="FB567" s="1"/>
      <c r="FC567" s="1"/>
      <c r="FD567" s="1"/>
      <c r="FE567" s="1"/>
      <c r="FF567" s="1"/>
      <c r="FG567" s="1"/>
      <c r="FH567" s="1"/>
      <c r="FI567" s="1"/>
      <c r="FJ567" s="1"/>
      <c r="FK567" s="1"/>
      <c r="FL567" s="1"/>
      <c r="FM567" s="1"/>
      <c r="FN567" s="1"/>
      <c r="FO567" s="1"/>
      <c r="FP567" s="1"/>
      <c r="FQ567" s="1"/>
      <c r="FR567" s="2"/>
      <c r="FS567" s="1"/>
    </row>
    <row r="568" spans="1:175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R568" s="1"/>
      <c r="S568" s="1"/>
      <c r="T568" s="1"/>
      <c r="U568" s="1"/>
      <c r="V568" s="1"/>
      <c r="Y568" s="1"/>
      <c r="Z568" s="2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U568" s="1"/>
      <c r="AW568" s="1"/>
      <c r="AX568" s="1"/>
      <c r="AY568" s="1"/>
      <c r="AZ568" s="1"/>
      <c r="BA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  <c r="DC568" s="1"/>
      <c r="DD568" s="1"/>
      <c r="DE568" s="1"/>
      <c r="DF568" s="1"/>
      <c r="DG568" s="1"/>
      <c r="DH568" s="1"/>
      <c r="DI568" s="1"/>
      <c r="DJ568" s="1"/>
      <c r="DK568" s="1"/>
      <c r="DL568" s="1"/>
      <c r="DM568" s="1"/>
      <c r="DN568" s="1"/>
      <c r="DO568" s="1"/>
      <c r="DP568" s="1"/>
      <c r="DQ568" s="1"/>
      <c r="DR568" s="1"/>
      <c r="DS568" s="1"/>
      <c r="DT568" s="1"/>
      <c r="DU568" s="1"/>
      <c r="DV568" s="1"/>
      <c r="DW568" s="1"/>
      <c r="DX568" s="1"/>
      <c r="DY568" s="1"/>
      <c r="DZ568" s="1"/>
      <c r="EA568" s="1"/>
      <c r="EB568" s="1"/>
      <c r="EC568" s="1"/>
      <c r="ED568" s="1"/>
      <c r="EE568" s="1"/>
      <c r="EF568" s="1"/>
      <c r="EG568" s="1"/>
      <c r="EH568" s="1"/>
      <c r="EI568" s="1"/>
      <c r="EJ568" s="1"/>
      <c r="EK568" s="1"/>
      <c r="EL568" s="1"/>
      <c r="EM568" s="1"/>
      <c r="EN568" s="1"/>
      <c r="EO568" s="1"/>
      <c r="EP568" s="1"/>
      <c r="EQ568" s="1"/>
      <c r="ER568" s="1"/>
      <c r="ES568" s="1"/>
      <c r="ET568" s="1"/>
      <c r="EU568" s="1"/>
      <c r="EV568" s="1"/>
      <c r="EW568" s="1"/>
      <c r="EX568" s="1"/>
      <c r="EY568" s="1"/>
      <c r="EZ568" s="1"/>
      <c r="FA568" s="1"/>
      <c r="FB568" s="1"/>
      <c r="FC568" s="1"/>
      <c r="FD568" s="1"/>
      <c r="FE568" s="1"/>
      <c r="FF568" s="1"/>
      <c r="FG568" s="1"/>
      <c r="FH568" s="1"/>
      <c r="FI568" s="1"/>
      <c r="FJ568" s="1"/>
      <c r="FK568" s="1"/>
      <c r="FL568" s="1"/>
      <c r="FM568" s="1"/>
      <c r="FN568" s="1"/>
      <c r="FO568" s="1"/>
      <c r="FP568" s="1"/>
      <c r="FQ568" s="1"/>
      <c r="FR568" s="2"/>
      <c r="FS568" s="1"/>
    </row>
    <row r="569" spans="1:175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R569" s="1"/>
      <c r="S569" s="1"/>
      <c r="T569" s="1"/>
      <c r="U569" s="1"/>
      <c r="V569" s="1"/>
      <c r="Y569" s="1"/>
      <c r="Z569" s="2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U569" s="1"/>
      <c r="AW569" s="1"/>
      <c r="AX569" s="1"/>
      <c r="AY569" s="1"/>
      <c r="AZ569" s="1"/>
      <c r="BA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  <c r="DC569" s="1"/>
      <c r="DD569" s="1"/>
      <c r="DE569" s="1"/>
      <c r="DF569" s="1"/>
      <c r="DG569" s="1"/>
      <c r="DH569" s="1"/>
      <c r="DI569" s="1"/>
      <c r="DJ569" s="1"/>
      <c r="DK569" s="1"/>
      <c r="DL569" s="1"/>
      <c r="DM569" s="1"/>
      <c r="DN569" s="1"/>
      <c r="DO569" s="1"/>
      <c r="DP569" s="1"/>
      <c r="DQ569" s="1"/>
      <c r="DR569" s="1"/>
      <c r="DS569" s="1"/>
      <c r="DT569" s="1"/>
      <c r="DU569" s="1"/>
      <c r="DV569" s="1"/>
      <c r="DW569" s="1"/>
      <c r="DX569" s="1"/>
      <c r="DY569" s="1"/>
      <c r="DZ569" s="1"/>
      <c r="EA569" s="1"/>
      <c r="EB569" s="1"/>
      <c r="EC569" s="1"/>
      <c r="ED569" s="1"/>
      <c r="EE569" s="1"/>
      <c r="EF569" s="1"/>
      <c r="EG569" s="1"/>
      <c r="EH569" s="1"/>
      <c r="EI569" s="1"/>
      <c r="EJ569" s="1"/>
      <c r="EK569" s="1"/>
      <c r="EL569" s="1"/>
      <c r="EM569" s="1"/>
      <c r="EN569" s="1"/>
      <c r="EO569" s="1"/>
      <c r="EP569" s="1"/>
      <c r="EQ569" s="1"/>
      <c r="ER569" s="1"/>
      <c r="ES569" s="1"/>
      <c r="ET569" s="1"/>
      <c r="EU569" s="1"/>
      <c r="EV569" s="1"/>
      <c r="EW569" s="1"/>
      <c r="EX569" s="1"/>
      <c r="EY569" s="1"/>
      <c r="EZ569" s="1"/>
      <c r="FA569" s="1"/>
      <c r="FB569" s="1"/>
      <c r="FC569" s="1"/>
      <c r="FD569" s="1"/>
      <c r="FE569" s="1"/>
      <c r="FF569" s="1"/>
      <c r="FG569" s="1"/>
      <c r="FH569" s="1"/>
      <c r="FI569" s="1"/>
      <c r="FJ569" s="1"/>
      <c r="FK569" s="1"/>
      <c r="FL569" s="1"/>
      <c r="FM569" s="1"/>
      <c r="FN569" s="1"/>
      <c r="FO569" s="1"/>
      <c r="FP569" s="1"/>
      <c r="FQ569" s="1"/>
      <c r="FR569" s="2"/>
      <c r="FS569" s="1"/>
    </row>
    <row r="570" spans="1:175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R570" s="1"/>
      <c r="S570" s="1"/>
      <c r="T570" s="1"/>
      <c r="U570" s="1"/>
      <c r="V570" s="1"/>
      <c r="Y570" s="1"/>
      <c r="Z570" s="2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U570" s="1"/>
      <c r="AW570" s="1"/>
      <c r="AX570" s="1"/>
      <c r="AY570" s="1"/>
      <c r="AZ570" s="1"/>
      <c r="BA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  <c r="DC570" s="1"/>
      <c r="DD570" s="1"/>
      <c r="DE570" s="1"/>
      <c r="DF570" s="1"/>
      <c r="DG570" s="1"/>
      <c r="DH570" s="1"/>
      <c r="DI570" s="1"/>
      <c r="DJ570" s="1"/>
      <c r="DK570" s="1"/>
      <c r="DL570" s="1"/>
      <c r="DM570" s="1"/>
      <c r="DN570" s="1"/>
      <c r="DO570" s="1"/>
      <c r="DP570" s="1"/>
      <c r="DQ570" s="1"/>
      <c r="DR570" s="1"/>
      <c r="DS570" s="1"/>
      <c r="DT570" s="1"/>
      <c r="DU570" s="1"/>
      <c r="DV570" s="1"/>
      <c r="DW570" s="1"/>
      <c r="DX570" s="1"/>
      <c r="DY570" s="1"/>
      <c r="DZ570" s="1"/>
      <c r="EA570" s="1"/>
      <c r="EB570" s="1"/>
      <c r="EC570" s="1"/>
      <c r="ED570" s="1"/>
      <c r="EE570" s="1"/>
      <c r="EF570" s="1"/>
      <c r="EG570" s="1"/>
      <c r="EH570" s="1"/>
      <c r="EI570" s="1"/>
      <c r="EJ570" s="1"/>
      <c r="EK570" s="1"/>
      <c r="EL570" s="1"/>
      <c r="EM570" s="1"/>
      <c r="EN570" s="1"/>
      <c r="EO570" s="1"/>
      <c r="EP570" s="1"/>
      <c r="EQ570" s="1"/>
      <c r="ER570" s="1"/>
      <c r="ES570" s="1"/>
      <c r="ET570" s="1"/>
      <c r="EU570" s="1"/>
      <c r="EV570" s="1"/>
      <c r="EW570" s="1"/>
      <c r="EX570" s="1"/>
      <c r="EY570" s="1"/>
      <c r="EZ570" s="1"/>
      <c r="FA570" s="1"/>
      <c r="FB570" s="1"/>
      <c r="FC570" s="1"/>
      <c r="FD570" s="1"/>
      <c r="FE570" s="1"/>
      <c r="FF570" s="1"/>
      <c r="FG570" s="1"/>
      <c r="FH570" s="1"/>
      <c r="FI570" s="1"/>
      <c r="FJ570" s="1"/>
      <c r="FK570" s="1"/>
      <c r="FL570" s="1"/>
      <c r="FM570" s="1"/>
      <c r="FN570" s="1"/>
      <c r="FO570" s="1"/>
      <c r="FP570" s="1"/>
      <c r="FQ570" s="1"/>
      <c r="FR570" s="2"/>
      <c r="FS570" s="1"/>
    </row>
    <row r="571" spans="1:175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R571" s="1"/>
      <c r="S571" s="1"/>
      <c r="T571" s="1"/>
      <c r="U571" s="1"/>
      <c r="V571" s="1"/>
      <c r="Y571" s="1"/>
      <c r="Z571" s="2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U571" s="1"/>
      <c r="AW571" s="1"/>
      <c r="AX571" s="1"/>
      <c r="AY571" s="1"/>
      <c r="AZ571" s="1"/>
      <c r="BA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  <c r="DC571" s="1"/>
      <c r="DD571" s="1"/>
      <c r="DE571" s="1"/>
      <c r="DF571" s="1"/>
      <c r="DG571" s="1"/>
      <c r="DH571" s="1"/>
      <c r="DI571" s="1"/>
      <c r="DJ571" s="1"/>
      <c r="DK571" s="1"/>
      <c r="DL571" s="1"/>
      <c r="DM571" s="1"/>
      <c r="DN571" s="1"/>
      <c r="DO571" s="1"/>
      <c r="DP571" s="1"/>
      <c r="DQ571" s="1"/>
      <c r="DR571" s="1"/>
      <c r="DS571" s="1"/>
      <c r="DT571" s="1"/>
      <c r="DU571" s="1"/>
      <c r="DV571" s="1"/>
      <c r="DW571" s="1"/>
      <c r="DX571" s="1"/>
      <c r="DY571" s="1"/>
      <c r="DZ571" s="1"/>
      <c r="EA571" s="1"/>
      <c r="EB571" s="1"/>
      <c r="EC571" s="1"/>
      <c r="ED571" s="1"/>
      <c r="EE571" s="1"/>
      <c r="EF571" s="1"/>
      <c r="EG571" s="1"/>
      <c r="EH571" s="1"/>
      <c r="EI571" s="1"/>
      <c r="EJ571" s="1"/>
      <c r="EK571" s="1"/>
      <c r="EL571" s="1"/>
      <c r="EM571" s="1"/>
      <c r="EN571" s="1"/>
      <c r="EO571" s="1"/>
      <c r="EP571" s="1"/>
      <c r="EQ571" s="1"/>
      <c r="ER571" s="1"/>
      <c r="ES571" s="1"/>
      <c r="ET571" s="1"/>
      <c r="EU571" s="1"/>
      <c r="EV571" s="1"/>
      <c r="EW571" s="1"/>
      <c r="EX571" s="1"/>
      <c r="EY571" s="1"/>
      <c r="EZ571" s="1"/>
      <c r="FA571" s="1"/>
      <c r="FB571" s="1"/>
      <c r="FC571" s="1"/>
      <c r="FD571" s="1"/>
      <c r="FE571" s="1"/>
      <c r="FF571" s="1"/>
      <c r="FG571" s="1"/>
      <c r="FH571" s="1"/>
      <c r="FI571" s="1"/>
      <c r="FJ571" s="1"/>
      <c r="FK571" s="1"/>
      <c r="FL571" s="1"/>
      <c r="FM571" s="1"/>
      <c r="FN571" s="1"/>
      <c r="FO571" s="1"/>
      <c r="FP571" s="1"/>
      <c r="FQ571" s="1"/>
      <c r="FR571" s="2"/>
      <c r="FS571" s="1"/>
    </row>
    <row r="572" spans="1:175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R572" s="1"/>
      <c r="S572" s="1"/>
      <c r="T572" s="1"/>
      <c r="U572" s="1"/>
      <c r="V572" s="1"/>
      <c r="Y572" s="1"/>
      <c r="Z572" s="2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U572" s="1"/>
      <c r="AW572" s="1"/>
      <c r="AX572" s="1"/>
      <c r="AY572" s="1"/>
      <c r="AZ572" s="1"/>
      <c r="BA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  <c r="DC572" s="1"/>
      <c r="DD572" s="1"/>
      <c r="DE572" s="1"/>
      <c r="DF572" s="1"/>
      <c r="DG572" s="1"/>
      <c r="DH572" s="1"/>
      <c r="DI572" s="1"/>
      <c r="DJ572" s="1"/>
      <c r="DK572" s="1"/>
      <c r="DL572" s="1"/>
      <c r="DM572" s="1"/>
      <c r="DN572" s="1"/>
      <c r="DO572" s="1"/>
      <c r="DP572" s="1"/>
      <c r="DQ572" s="1"/>
      <c r="DR572" s="1"/>
      <c r="DS572" s="1"/>
      <c r="DT572" s="1"/>
      <c r="DU572" s="1"/>
      <c r="DV572" s="1"/>
      <c r="DW572" s="1"/>
      <c r="DX572" s="1"/>
      <c r="DY572" s="1"/>
      <c r="DZ572" s="1"/>
      <c r="EA572" s="1"/>
      <c r="EB572" s="1"/>
      <c r="EC572" s="1"/>
      <c r="ED572" s="1"/>
      <c r="EE572" s="1"/>
      <c r="EF572" s="1"/>
      <c r="EG572" s="1"/>
      <c r="EH572" s="1"/>
      <c r="EI572" s="1"/>
      <c r="EJ572" s="1"/>
      <c r="EK572" s="1"/>
      <c r="EL572" s="1"/>
      <c r="EM572" s="1"/>
      <c r="EN572" s="1"/>
      <c r="EO572" s="1"/>
      <c r="EP572" s="1"/>
      <c r="EQ572" s="1"/>
      <c r="ER572" s="1"/>
      <c r="ES572" s="1"/>
      <c r="ET572" s="1"/>
      <c r="EU572" s="1"/>
      <c r="EV572" s="1"/>
      <c r="EW572" s="1"/>
      <c r="EX572" s="1"/>
      <c r="EY572" s="1"/>
      <c r="EZ572" s="1"/>
      <c r="FA572" s="1"/>
      <c r="FB572" s="1"/>
      <c r="FC572" s="1"/>
      <c r="FD572" s="1"/>
      <c r="FE572" s="1"/>
      <c r="FF572" s="1"/>
      <c r="FG572" s="1"/>
      <c r="FH572" s="1"/>
      <c r="FI572" s="1"/>
      <c r="FJ572" s="1"/>
      <c r="FK572" s="1"/>
      <c r="FL572" s="1"/>
      <c r="FM572" s="1"/>
      <c r="FN572" s="1"/>
      <c r="FO572" s="1"/>
      <c r="FP572" s="1"/>
      <c r="FQ572" s="1"/>
      <c r="FR572" s="2"/>
      <c r="FS572" s="1"/>
    </row>
    <row r="573" spans="1:175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R573" s="1"/>
      <c r="S573" s="1"/>
      <c r="T573" s="1"/>
      <c r="U573" s="1"/>
      <c r="V573" s="1"/>
      <c r="Y573" s="1"/>
      <c r="Z573" s="2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U573" s="1"/>
      <c r="AW573" s="1"/>
      <c r="AX573" s="1"/>
      <c r="AY573" s="1"/>
      <c r="AZ573" s="1"/>
      <c r="BA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  <c r="DC573" s="1"/>
      <c r="DD573" s="1"/>
      <c r="DE573" s="1"/>
      <c r="DF573" s="1"/>
      <c r="DG573" s="1"/>
      <c r="DH573" s="1"/>
      <c r="DI573" s="1"/>
      <c r="DJ573" s="1"/>
      <c r="DK573" s="1"/>
      <c r="DL573" s="1"/>
      <c r="DM573" s="1"/>
      <c r="DN573" s="1"/>
      <c r="DO573" s="1"/>
      <c r="DP573" s="1"/>
      <c r="DQ573" s="1"/>
      <c r="DR573" s="1"/>
      <c r="DS573" s="1"/>
      <c r="DT573" s="1"/>
      <c r="DU573" s="1"/>
      <c r="DV573" s="1"/>
      <c r="DW573" s="1"/>
      <c r="DX573" s="1"/>
      <c r="DY573" s="1"/>
      <c r="DZ573" s="1"/>
      <c r="EA573" s="1"/>
      <c r="EB573" s="1"/>
      <c r="EC573" s="1"/>
      <c r="ED573" s="1"/>
      <c r="EE573" s="1"/>
      <c r="EF573" s="1"/>
      <c r="EG573" s="1"/>
      <c r="EH573" s="1"/>
      <c r="EI573" s="1"/>
      <c r="EJ573" s="1"/>
      <c r="EK573" s="1"/>
      <c r="EL573" s="1"/>
      <c r="EM573" s="1"/>
      <c r="EN573" s="1"/>
      <c r="EO573" s="1"/>
      <c r="EP573" s="1"/>
      <c r="EQ573" s="1"/>
      <c r="ER573" s="1"/>
      <c r="ES573" s="1"/>
      <c r="ET573" s="1"/>
      <c r="EU573" s="1"/>
      <c r="EV573" s="1"/>
      <c r="EW573" s="1"/>
      <c r="EX573" s="1"/>
      <c r="EY573" s="1"/>
      <c r="EZ573" s="1"/>
      <c r="FA573" s="1"/>
      <c r="FB573" s="1"/>
      <c r="FC573" s="1"/>
      <c r="FD573" s="1"/>
      <c r="FE573" s="1"/>
      <c r="FF573" s="1"/>
      <c r="FG573" s="1"/>
      <c r="FH573" s="1"/>
      <c r="FI573" s="1"/>
      <c r="FJ573" s="1"/>
      <c r="FK573" s="1"/>
      <c r="FL573" s="1"/>
      <c r="FM573" s="1"/>
      <c r="FN573" s="1"/>
      <c r="FO573" s="1"/>
      <c r="FP573" s="1"/>
      <c r="FQ573" s="1"/>
      <c r="FR573" s="2"/>
      <c r="FS573" s="1"/>
    </row>
    <row r="574" spans="1:175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R574" s="1"/>
      <c r="S574" s="1"/>
      <c r="T574" s="1"/>
      <c r="U574" s="1"/>
      <c r="V574" s="1"/>
      <c r="Y574" s="1"/>
      <c r="Z574" s="2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U574" s="1"/>
      <c r="AW574" s="1"/>
      <c r="AX574" s="1"/>
      <c r="AY574" s="1"/>
      <c r="AZ574" s="1"/>
      <c r="BA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  <c r="DC574" s="1"/>
      <c r="DD574" s="1"/>
      <c r="DE574" s="1"/>
      <c r="DF574" s="1"/>
      <c r="DG574" s="1"/>
      <c r="DH574" s="1"/>
      <c r="DI574" s="1"/>
      <c r="DJ574" s="1"/>
      <c r="DK574" s="1"/>
      <c r="DL574" s="1"/>
      <c r="DM574" s="1"/>
      <c r="DN574" s="1"/>
      <c r="DO574" s="1"/>
      <c r="DP574" s="1"/>
      <c r="DQ574" s="1"/>
      <c r="DR574" s="1"/>
      <c r="DS574" s="1"/>
      <c r="DT574" s="1"/>
      <c r="DU574" s="1"/>
      <c r="DV574" s="1"/>
      <c r="DW574" s="1"/>
      <c r="DX574" s="1"/>
      <c r="DY574" s="1"/>
      <c r="DZ574" s="1"/>
      <c r="EA574" s="1"/>
      <c r="EB574" s="1"/>
      <c r="EC574" s="1"/>
      <c r="ED574" s="1"/>
      <c r="EE574" s="1"/>
      <c r="EF574" s="1"/>
      <c r="EG574" s="1"/>
      <c r="EH574" s="1"/>
      <c r="EI574" s="1"/>
      <c r="EJ574" s="1"/>
      <c r="EK574" s="1"/>
      <c r="EL574" s="1"/>
      <c r="EM574" s="1"/>
      <c r="EN574" s="1"/>
      <c r="EO574" s="1"/>
      <c r="EP574" s="1"/>
      <c r="EQ574" s="1"/>
      <c r="ER574" s="1"/>
      <c r="ES574" s="1"/>
      <c r="ET574" s="1"/>
      <c r="EU574" s="1"/>
      <c r="EV574" s="1"/>
      <c r="EW574" s="1"/>
      <c r="EX574" s="1"/>
      <c r="EY574" s="1"/>
      <c r="EZ574" s="1"/>
      <c r="FA574" s="1"/>
      <c r="FB574" s="1"/>
      <c r="FC574" s="1"/>
      <c r="FD574" s="1"/>
      <c r="FE574" s="1"/>
      <c r="FF574" s="1"/>
      <c r="FG574" s="1"/>
      <c r="FH574" s="1"/>
      <c r="FI574" s="1"/>
      <c r="FJ574" s="1"/>
      <c r="FK574" s="1"/>
      <c r="FL574" s="1"/>
      <c r="FM574" s="1"/>
      <c r="FN574" s="1"/>
      <c r="FO574" s="1"/>
      <c r="FP574" s="1"/>
      <c r="FQ574" s="1"/>
      <c r="FR574" s="2"/>
      <c r="FS574" s="1"/>
    </row>
    <row r="575" spans="1:175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R575" s="1"/>
      <c r="S575" s="1"/>
      <c r="T575" s="1"/>
      <c r="U575" s="1"/>
      <c r="V575" s="1"/>
      <c r="Y575" s="1"/>
      <c r="Z575" s="2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U575" s="1"/>
      <c r="AW575" s="1"/>
      <c r="AX575" s="1"/>
      <c r="AY575" s="1"/>
      <c r="AZ575" s="1"/>
      <c r="BA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  <c r="DC575" s="1"/>
      <c r="DD575" s="1"/>
      <c r="DE575" s="1"/>
      <c r="DF575" s="1"/>
      <c r="DG575" s="1"/>
      <c r="DH575" s="1"/>
      <c r="DI575" s="1"/>
      <c r="DJ575" s="1"/>
      <c r="DK575" s="1"/>
      <c r="DL575" s="1"/>
      <c r="DM575" s="1"/>
      <c r="DN575" s="1"/>
      <c r="DO575" s="1"/>
      <c r="DP575" s="1"/>
      <c r="DQ575" s="1"/>
      <c r="DR575" s="1"/>
      <c r="DS575" s="1"/>
      <c r="DT575" s="1"/>
      <c r="DU575" s="1"/>
      <c r="DV575" s="1"/>
      <c r="DW575" s="1"/>
      <c r="DX575" s="1"/>
      <c r="DY575" s="1"/>
      <c r="DZ575" s="1"/>
      <c r="EA575" s="1"/>
      <c r="EB575" s="1"/>
      <c r="EC575" s="1"/>
      <c r="ED575" s="1"/>
      <c r="EE575" s="1"/>
      <c r="EF575" s="1"/>
      <c r="EG575" s="1"/>
      <c r="EH575" s="1"/>
      <c r="EI575" s="1"/>
      <c r="EJ575" s="1"/>
      <c r="EK575" s="1"/>
      <c r="EL575" s="1"/>
      <c r="EM575" s="1"/>
      <c r="EN575" s="1"/>
      <c r="EO575" s="1"/>
      <c r="EP575" s="1"/>
      <c r="EQ575" s="1"/>
      <c r="ER575" s="1"/>
      <c r="ES575" s="1"/>
      <c r="ET575" s="1"/>
      <c r="EU575" s="1"/>
      <c r="EV575" s="1"/>
      <c r="EW575" s="1"/>
      <c r="EX575" s="1"/>
      <c r="EY575" s="1"/>
      <c r="EZ575" s="1"/>
      <c r="FA575" s="1"/>
      <c r="FB575" s="1"/>
      <c r="FC575" s="1"/>
      <c r="FD575" s="1"/>
      <c r="FE575" s="1"/>
      <c r="FF575" s="1"/>
      <c r="FG575" s="1"/>
      <c r="FH575" s="1"/>
      <c r="FI575" s="1"/>
      <c r="FJ575" s="1"/>
      <c r="FK575" s="1"/>
      <c r="FL575" s="1"/>
      <c r="FM575" s="1"/>
      <c r="FN575" s="1"/>
      <c r="FO575" s="1"/>
      <c r="FP575" s="1"/>
      <c r="FQ575" s="1"/>
      <c r="FR575" s="2"/>
      <c r="FS575" s="1"/>
    </row>
    <row r="576" spans="1:175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R576" s="1"/>
      <c r="S576" s="1"/>
      <c r="T576" s="1"/>
      <c r="U576" s="1"/>
      <c r="V576" s="1"/>
      <c r="Y576" s="1"/>
      <c r="Z576" s="2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U576" s="1"/>
      <c r="AW576" s="1"/>
      <c r="AX576" s="1"/>
      <c r="AY576" s="1"/>
      <c r="AZ576" s="1"/>
      <c r="BA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  <c r="DC576" s="1"/>
      <c r="DD576" s="1"/>
      <c r="DE576" s="1"/>
      <c r="DF576" s="1"/>
      <c r="DG576" s="1"/>
      <c r="DH576" s="1"/>
      <c r="DI576" s="1"/>
      <c r="DJ576" s="1"/>
      <c r="DK576" s="1"/>
      <c r="DL576" s="1"/>
      <c r="DM576" s="1"/>
      <c r="DN576" s="1"/>
      <c r="DO576" s="1"/>
      <c r="DP576" s="1"/>
      <c r="DQ576" s="1"/>
      <c r="DR576" s="1"/>
      <c r="DS576" s="1"/>
      <c r="DT576" s="1"/>
      <c r="DU576" s="1"/>
      <c r="DV576" s="1"/>
      <c r="DW576" s="1"/>
      <c r="DX576" s="1"/>
      <c r="DY576" s="1"/>
      <c r="DZ576" s="1"/>
      <c r="EA576" s="1"/>
      <c r="EB576" s="1"/>
      <c r="EC576" s="1"/>
      <c r="ED576" s="1"/>
      <c r="EE576" s="1"/>
      <c r="EF576" s="1"/>
      <c r="EG576" s="1"/>
      <c r="EH576" s="1"/>
      <c r="EI576" s="1"/>
      <c r="EJ576" s="1"/>
      <c r="EK576" s="1"/>
      <c r="EL576" s="1"/>
      <c r="EM576" s="1"/>
      <c r="EN576" s="1"/>
      <c r="EO576" s="1"/>
      <c r="EP576" s="1"/>
      <c r="EQ576" s="1"/>
      <c r="ER576" s="1"/>
      <c r="ES576" s="1"/>
      <c r="ET576" s="1"/>
      <c r="EU576" s="1"/>
      <c r="EV576" s="1"/>
      <c r="EW576" s="1"/>
      <c r="EX576" s="1"/>
      <c r="EY576" s="1"/>
      <c r="EZ576" s="1"/>
      <c r="FA576" s="1"/>
      <c r="FB576" s="1"/>
      <c r="FC576" s="1"/>
      <c r="FD576" s="1"/>
      <c r="FE576" s="1"/>
      <c r="FF576" s="1"/>
      <c r="FG576" s="1"/>
      <c r="FH576" s="1"/>
      <c r="FI576" s="1"/>
      <c r="FJ576" s="1"/>
      <c r="FK576" s="1"/>
      <c r="FL576" s="1"/>
      <c r="FM576" s="1"/>
      <c r="FN576" s="1"/>
      <c r="FO576" s="1"/>
      <c r="FP576" s="1"/>
      <c r="FQ576" s="1"/>
      <c r="FR576" s="2"/>
      <c r="FS576" s="1"/>
    </row>
    <row r="577" spans="1:175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R577" s="1"/>
      <c r="S577" s="1"/>
      <c r="T577" s="1"/>
      <c r="U577" s="1"/>
      <c r="V577" s="1"/>
      <c r="Y577" s="1"/>
      <c r="Z577" s="2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U577" s="1"/>
      <c r="AW577" s="1"/>
      <c r="AX577" s="1"/>
      <c r="AY577" s="1"/>
      <c r="AZ577" s="1"/>
      <c r="BA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  <c r="DC577" s="1"/>
      <c r="DD577" s="1"/>
      <c r="DE577" s="1"/>
      <c r="DF577" s="1"/>
      <c r="DG577" s="1"/>
      <c r="DH577" s="1"/>
      <c r="DI577" s="1"/>
      <c r="DJ577" s="1"/>
      <c r="DK577" s="1"/>
      <c r="DL577" s="1"/>
      <c r="DM577" s="1"/>
      <c r="DN577" s="1"/>
      <c r="DO577" s="1"/>
      <c r="DP577" s="1"/>
      <c r="DQ577" s="1"/>
      <c r="DR577" s="1"/>
      <c r="DS577" s="1"/>
      <c r="DT577" s="1"/>
      <c r="DU577" s="1"/>
      <c r="DV577" s="1"/>
      <c r="DW577" s="1"/>
      <c r="DX577" s="1"/>
      <c r="DY577" s="1"/>
      <c r="DZ577" s="1"/>
      <c r="EA577" s="1"/>
      <c r="EB577" s="1"/>
      <c r="EC577" s="1"/>
      <c r="ED577" s="1"/>
      <c r="EE577" s="1"/>
      <c r="EF577" s="1"/>
      <c r="EG577" s="1"/>
      <c r="EH577" s="1"/>
      <c r="EI577" s="1"/>
      <c r="EJ577" s="1"/>
      <c r="EK577" s="1"/>
      <c r="EL577" s="1"/>
      <c r="EM577" s="1"/>
      <c r="EN577" s="1"/>
      <c r="EO577" s="1"/>
      <c r="EP577" s="1"/>
      <c r="EQ577" s="1"/>
      <c r="ER577" s="1"/>
      <c r="ES577" s="1"/>
      <c r="ET577" s="1"/>
      <c r="EU577" s="1"/>
      <c r="EV577" s="1"/>
      <c r="EW577" s="1"/>
      <c r="EX577" s="1"/>
      <c r="EY577" s="1"/>
      <c r="EZ577" s="1"/>
      <c r="FA577" s="1"/>
      <c r="FB577" s="1"/>
      <c r="FC577" s="1"/>
      <c r="FD577" s="1"/>
      <c r="FE577" s="1"/>
      <c r="FF577" s="1"/>
      <c r="FG577" s="1"/>
      <c r="FH577" s="1"/>
      <c r="FI577" s="1"/>
      <c r="FJ577" s="1"/>
      <c r="FK577" s="1"/>
      <c r="FL577" s="1"/>
      <c r="FM577" s="1"/>
      <c r="FN577" s="1"/>
      <c r="FO577" s="1"/>
      <c r="FP577" s="1"/>
      <c r="FQ577" s="1"/>
      <c r="FR577" s="2"/>
      <c r="FS577" s="1"/>
    </row>
    <row r="578" spans="1:175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R578" s="1"/>
      <c r="S578" s="1"/>
      <c r="T578" s="1"/>
      <c r="U578" s="1"/>
      <c r="V578" s="1"/>
      <c r="Y578" s="1"/>
      <c r="Z578" s="2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U578" s="1"/>
      <c r="AW578" s="1"/>
      <c r="AX578" s="1"/>
      <c r="AY578" s="1"/>
      <c r="AZ578" s="1"/>
      <c r="BA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  <c r="DC578" s="1"/>
      <c r="DD578" s="1"/>
      <c r="DE578" s="1"/>
      <c r="DF578" s="1"/>
      <c r="DG578" s="1"/>
      <c r="DH578" s="1"/>
      <c r="DI578" s="1"/>
      <c r="DJ578" s="1"/>
      <c r="DK578" s="1"/>
      <c r="DL578" s="1"/>
      <c r="DM578" s="1"/>
      <c r="DN578" s="1"/>
      <c r="DO578" s="1"/>
      <c r="DP578" s="1"/>
      <c r="DQ578" s="1"/>
      <c r="DR578" s="1"/>
      <c r="DS578" s="1"/>
      <c r="DT578" s="1"/>
      <c r="DU578" s="1"/>
      <c r="DV578" s="1"/>
      <c r="DW578" s="1"/>
      <c r="DX578" s="1"/>
      <c r="DY578" s="1"/>
      <c r="DZ578" s="1"/>
      <c r="EA578" s="1"/>
      <c r="EB578" s="1"/>
      <c r="EC578" s="1"/>
      <c r="ED578" s="1"/>
      <c r="EE578" s="1"/>
      <c r="EF578" s="1"/>
      <c r="EG578" s="1"/>
      <c r="EH578" s="1"/>
      <c r="EI578" s="1"/>
      <c r="EJ578" s="1"/>
      <c r="EK578" s="1"/>
      <c r="EL578" s="1"/>
      <c r="EM578" s="1"/>
      <c r="EN578" s="1"/>
      <c r="EO578" s="1"/>
      <c r="EP578" s="1"/>
      <c r="EQ578" s="1"/>
      <c r="ER578" s="1"/>
      <c r="ES578" s="1"/>
      <c r="ET578" s="1"/>
      <c r="EU578" s="1"/>
      <c r="EV578" s="1"/>
      <c r="EW578" s="1"/>
      <c r="EX578" s="1"/>
      <c r="EY578" s="1"/>
      <c r="EZ578" s="1"/>
      <c r="FA578" s="1"/>
      <c r="FB578" s="1"/>
      <c r="FC578" s="1"/>
      <c r="FD578" s="1"/>
      <c r="FE578" s="1"/>
      <c r="FF578" s="1"/>
      <c r="FG578" s="1"/>
      <c r="FH578" s="1"/>
      <c r="FI578" s="1"/>
      <c r="FJ578" s="1"/>
      <c r="FK578" s="1"/>
      <c r="FL578" s="1"/>
      <c r="FM578" s="1"/>
      <c r="FN578" s="1"/>
      <c r="FO578" s="1"/>
      <c r="FP578" s="1"/>
      <c r="FQ578" s="1"/>
      <c r="FR578" s="2"/>
      <c r="FS578" s="1"/>
    </row>
    <row r="579" spans="1:175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R579" s="1"/>
      <c r="S579" s="1"/>
      <c r="T579" s="1"/>
      <c r="U579" s="1"/>
      <c r="V579" s="1"/>
      <c r="Y579" s="1"/>
      <c r="Z579" s="2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U579" s="1"/>
      <c r="AW579" s="1"/>
      <c r="AX579" s="1"/>
      <c r="AY579" s="1"/>
      <c r="AZ579" s="1"/>
      <c r="BA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  <c r="DC579" s="1"/>
      <c r="DD579" s="1"/>
      <c r="DE579" s="1"/>
      <c r="DF579" s="1"/>
      <c r="DG579" s="1"/>
      <c r="DH579" s="1"/>
      <c r="DI579" s="1"/>
      <c r="DJ579" s="1"/>
      <c r="DK579" s="1"/>
      <c r="DL579" s="1"/>
      <c r="DM579" s="1"/>
      <c r="DN579" s="1"/>
      <c r="DO579" s="1"/>
      <c r="DP579" s="1"/>
      <c r="DQ579" s="1"/>
      <c r="DR579" s="1"/>
      <c r="DS579" s="1"/>
      <c r="DT579" s="1"/>
      <c r="DU579" s="1"/>
      <c r="DV579" s="1"/>
      <c r="DW579" s="1"/>
      <c r="DX579" s="1"/>
      <c r="DY579" s="1"/>
      <c r="DZ579" s="1"/>
      <c r="EA579" s="1"/>
      <c r="EB579" s="1"/>
      <c r="EC579" s="1"/>
      <c r="ED579" s="1"/>
      <c r="EE579" s="1"/>
      <c r="EF579" s="1"/>
      <c r="EG579" s="1"/>
      <c r="EH579" s="1"/>
      <c r="EI579" s="1"/>
      <c r="EJ579" s="1"/>
      <c r="EK579" s="1"/>
      <c r="EL579" s="1"/>
      <c r="EM579" s="1"/>
      <c r="EN579" s="1"/>
      <c r="EO579" s="1"/>
      <c r="EP579" s="1"/>
      <c r="EQ579" s="1"/>
      <c r="ER579" s="1"/>
      <c r="ES579" s="1"/>
      <c r="ET579" s="1"/>
      <c r="EU579" s="1"/>
      <c r="EV579" s="1"/>
      <c r="EW579" s="1"/>
      <c r="EX579" s="1"/>
      <c r="EY579" s="1"/>
      <c r="EZ579" s="1"/>
      <c r="FA579" s="1"/>
      <c r="FB579" s="1"/>
      <c r="FC579" s="1"/>
      <c r="FD579" s="1"/>
      <c r="FE579" s="1"/>
      <c r="FF579" s="1"/>
      <c r="FG579" s="1"/>
      <c r="FH579" s="1"/>
      <c r="FI579" s="1"/>
      <c r="FJ579" s="1"/>
      <c r="FK579" s="1"/>
      <c r="FL579" s="1"/>
      <c r="FM579" s="1"/>
      <c r="FN579" s="1"/>
      <c r="FO579" s="1"/>
      <c r="FP579" s="1"/>
      <c r="FQ579" s="1"/>
      <c r="FR579" s="2"/>
      <c r="FS579" s="1"/>
    </row>
    <row r="580" spans="1:175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R580" s="1"/>
      <c r="S580" s="1"/>
      <c r="T580" s="1"/>
      <c r="U580" s="1"/>
      <c r="V580" s="1"/>
      <c r="Y580" s="1"/>
      <c r="Z580" s="2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U580" s="1"/>
      <c r="AW580" s="1"/>
      <c r="AX580" s="1"/>
      <c r="AY580" s="1"/>
      <c r="AZ580" s="1"/>
      <c r="BA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  <c r="DC580" s="1"/>
      <c r="DD580" s="1"/>
      <c r="DE580" s="1"/>
      <c r="DF580" s="1"/>
      <c r="DG580" s="1"/>
      <c r="DH580" s="1"/>
      <c r="DI580" s="1"/>
      <c r="DJ580" s="1"/>
      <c r="DK580" s="1"/>
      <c r="DL580" s="1"/>
      <c r="DM580" s="1"/>
      <c r="DN580" s="1"/>
      <c r="DO580" s="1"/>
      <c r="DP580" s="1"/>
      <c r="DQ580" s="1"/>
      <c r="DR580" s="1"/>
      <c r="DS580" s="1"/>
      <c r="DT580" s="1"/>
      <c r="DU580" s="1"/>
      <c r="DV580" s="1"/>
      <c r="DW580" s="1"/>
      <c r="DX580" s="1"/>
      <c r="DY580" s="1"/>
      <c r="DZ580" s="1"/>
      <c r="EA580" s="1"/>
      <c r="EB580" s="1"/>
      <c r="EC580" s="1"/>
      <c r="ED580" s="1"/>
      <c r="EE580" s="1"/>
      <c r="EF580" s="1"/>
      <c r="EG580" s="1"/>
      <c r="EH580" s="1"/>
      <c r="EI580" s="1"/>
      <c r="EJ580" s="1"/>
      <c r="EK580" s="1"/>
      <c r="EL580" s="1"/>
      <c r="EM580" s="1"/>
      <c r="EN580" s="1"/>
      <c r="EO580" s="1"/>
      <c r="EP580" s="1"/>
      <c r="EQ580" s="1"/>
      <c r="ER580" s="1"/>
      <c r="ES580" s="1"/>
      <c r="ET580" s="1"/>
      <c r="EU580" s="1"/>
      <c r="EV580" s="1"/>
      <c r="EW580" s="1"/>
      <c r="EX580" s="1"/>
      <c r="EY580" s="1"/>
      <c r="EZ580" s="1"/>
      <c r="FA580" s="1"/>
      <c r="FB580" s="1"/>
      <c r="FC580" s="1"/>
      <c r="FD580" s="1"/>
      <c r="FE580" s="1"/>
      <c r="FF580" s="1"/>
      <c r="FG580" s="1"/>
      <c r="FH580" s="1"/>
      <c r="FI580" s="1"/>
      <c r="FJ580" s="1"/>
      <c r="FK580" s="1"/>
      <c r="FL580" s="1"/>
      <c r="FM580" s="1"/>
      <c r="FN580" s="1"/>
      <c r="FO580" s="1"/>
      <c r="FP580" s="1"/>
      <c r="FQ580" s="1"/>
      <c r="FR580" s="2"/>
      <c r="FS580" s="1"/>
    </row>
    <row r="581" spans="1:175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R581" s="1"/>
      <c r="S581" s="1"/>
      <c r="T581" s="1"/>
      <c r="U581" s="1"/>
      <c r="V581" s="1"/>
      <c r="Y581" s="1"/>
      <c r="Z581" s="2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U581" s="1"/>
      <c r="AW581" s="1"/>
      <c r="AX581" s="1"/>
      <c r="AY581" s="1"/>
      <c r="AZ581" s="1"/>
      <c r="BA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  <c r="DC581" s="1"/>
      <c r="DD581" s="1"/>
      <c r="DE581" s="1"/>
      <c r="DF581" s="1"/>
      <c r="DG581" s="1"/>
      <c r="DH581" s="1"/>
      <c r="DI581" s="1"/>
      <c r="DJ581" s="1"/>
      <c r="DK581" s="1"/>
      <c r="DL581" s="1"/>
      <c r="DM581" s="1"/>
      <c r="DN581" s="1"/>
      <c r="DO581" s="1"/>
      <c r="DP581" s="1"/>
      <c r="DQ581" s="1"/>
      <c r="DR581" s="1"/>
      <c r="DS581" s="1"/>
      <c r="DT581" s="1"/>
      <c r="DU581" s="1"/>
      <c r="DV581" s="1"/>
      <c r="DW581" s="1"/>
      <c r="DX581" s="1"/>
      <c r="DY581" s="1"/>
      <c r="DZ581" s="1"/>
      <c r="EA581" s="1"/>
      <c r="EB581" s="1"/>
      <c r="EC581" s="1"/>
      <c r="ED581" s="1"/>
      <c r="EE581" s="1"/>
      <c r="EF581" s="1"/>
      <c r="EG581" s="1"/>
      <c r="EH581" s="1"/>
      <c r="EI581" s="1"/>
      <c r="EJ581" s="1"/>
      <c r="EK581" s="1"/>
      <c r="EL581" s="1"/>
      <c r="EM581" s="1"/>
      <c r="EN581" s="1"/>
      <c r="EO581" s="1"/>
      <c r="EP581" s="1"/>
      <c r="EQ581" s="1"/>
      <c r="ER581" s="1"/>
      <c r="ES581" s="1"/>
      <c r="ET581" s="1"/>
      <c r="EU581" s="1"/>
      <c r="EV581" s="1"/>
      <c r="EW581" s="1"/>
      <c r="EX581" s="1"/>
      <c r="EY581" s="1"/>
      <c r="EZ581" s="1"/>
      <c r="FA581" s="1"/>
      <c r="FB581" s="1"/>
      <c r="FC581" s="1"/>
      <c r="FD581" s="1"/>
      <c r="FE581" s="1"/>
      <c r="FF581" s="1"/>
      <c r="FG581" s="1"/>
      <c r="FH581" s="1"/>
      <c r="FI581" s="1"/>
      <c r="FJ581" s="1"/>
      <c r="FK581" s="1"/>
      <c r="FL581" s="1"/>
      <c r="FM581" s="1"/>
      <c r="FN581" s="1"/>
      <c r="FO581" s="1"/>
      <c r="FP581" s="1"/>
      <c r="FQ581" s="1"/>
      <c r="FR581" s="2"/>
      <c r="FS581" s="1"/>
    </row>
    <row r="582" spans="1:175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R582" s="1"/>
      <c r="S582" s="1"/>
      <c r="T582" s="1"/>
      <c r="U582" s="1"/>
      <c r="V582" s="1"/>
      <c r="Y582" s="1"/>
      <c r="Z582" s="2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U582" s="1"/>
      <c r="AW582" s="1"/>
      <c r="AX582" s="1"/>
      <c r="AY582" s="1"/>
      <c r="AZ582" s="1"/>
      <c r="BA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  <c r="DC582" s="1"/>
      <c r="DD582" s="1"/>
      <c r="DE582" s="1"/>
      <c r="DF582" s="1"/>
      <c r="DG582" s="1"/>
      <c r="DH582" s="1"/>
      <c r="DI582" s="1"/>
      <c r="DJ582" s="1"/>
      <c r="DK582" s="1"/>
      <c r="DL582" s="1"/>
      <c r="DM582" s="1"/>
      <c r="DN582" s="1"/>
      <c r="DO582" s="1"/>
      <c r="DP582" s="1"/>
      <c r="DQ582" s="1"/>
      <c r="DR582" s="1"/>
      <c r="DS582" s="1"/>
      <c r="DT582" s="1"/>
      <c r="DU582" s="1"/>
      <c r="DV582" s="1"/>
      <c r="DW582" s="1"/>
      <c r="DX582" s="1"/>
      <c r="DY582" s="1"/>
      <c r="DZ582" s="1"/>
      <c r="EA582" s="1"/>
      <c r="EB582" s="1"/>
      <c r="EC582" s="1"/>
      <c r="ED582" s="1"/>
      <c r="EE582" s="1"/>
      <c r="EF582" s="1"/>
      <c r="EG582" s="1"/>
      <c r="EH582" s="1"/>
      <c r="EI582" s="1"/>
      <c r="EJ582" s="1"/>
      <c r="EK582" s="1"/>
      <c r="EL582" s="1"/>
      <c r="EM582" s="1"/>
      <c r="EN582" s="1"/>
      <c r="EO582" s="1"/>
      <c r="EP582" s="1"/>
      <c r="EQ582" s="1"/>
      <c r="ER582" s="1"/>
      <c r="ES582" s="1"/>
      <c r="ET582" s="1"/>
      <c r="EU582" s="1"/>
      <c r="EV582" s="1"/>
      <c r="EW582" s="1"/>
      <c r="EX582" s="1"/>
      <c r="EY582" s="1"/>
      <c r="EZ582" s="1"/>
      <c r="FA582" s="1"/>
      <c r="FB582" s="1"/>
      <c r="FC582" s="1"/>
      <c r="FD582" s="1"/>
      <c r="FE582" s="1"/>
      <c r="FF582" s="1"/>
      <c r="FG582" s="1"/>
      <c r="FH582" s="1"/>
      <c r="FI582" s="1"/>
      <c r="FJ582" s="1"/>
      <c r="FK582" s="1"/>
      <c r="FL582" s="1"/>
      <c r="FM582" s="1"/>
      <c r="FN582" s="1"/>
      <c r="FO582" s="1"/>
      <c r="FP582" s="1"/>
      <c r="FQ582" s="1"/>
      <c r="FR582" s="2"/>
      <c r="FS582" s="1"/>
    </row>
    <row r="583" spans="1:175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R583" s="1"/>
      <c r="S583" s="1"/>
      <c r="T583" s="1"/>
      <c r="U583" s="1"/>
      <c r="V583" s="1"/>
      <c r="Y583" s="1"/>
      <c r="Z583" s="2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U583" s="1"/>
      <c r="AW583" s="1"/>
      <c r="AX583" s="1"/>
      <c r="AY583" s="1"/>
      <c r="AZ583" s="1"/>
      <c r="BA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  <c r="DC583" s="1"/>
      <c r="DD583" s="1"/>
      <c r="DE583" s="1"/>
      <c r="DF583" s="1"/>
      <c r="DG583" s="1"/>
      <c r="DH583" s="1"/>
      <c r="DI583" s="1"/>
      <c r="DJ583" s="1"/>
      <c r="DK583" s="1"/>
      <c r="DL583" s="1"/>
      <c r="DM583" s="1"/>
      <c r="DN583" s="1"/>
      <c r="DO583" s="1"/>
      <c r="DP583" s="1"/>
      <c r="DQ583" s="1"/>
      <c r="DR583" s="1"/>
      <c r="DS583" s="1"/>
      <c r="DT583" s="1"/>
      <c r="DU583" s="1"/>
      <c r="DV583" s="1"/>
      <c r="DW583" s="1"/>
      <c r="DX583" s="1"/>
      <c r="DY583" s="1"/>
      <c r="DZ583" s="1"/>
      <c r="EA583" s="1"/>
      <c r="EB583" s="1"/>
      <c r="EC583" s="1"/>
      <c r="ED583" s="1"/>
      <c r="EE583" s="1"/>
      <c r="EF583" s="1"/>
      <c r="EG583" s="1"/>
      <c r="EH583" s="1"/>
      <c r="EI583" s="1"/>
      <c r="EJ583" s="1"/>
      <c r="EK583" s="1"/>
      <c r="EL583" s="1"/>
      <c r="EM583" s="1"/>
      <c r="EN583" s="1"/>
      <c r="EO583" s="1"/>
      <c r="EP583" s="1"/>
      <c r="EQ583" s="1"/>
      <c r="ER583" s="1"/>
      <c r="ES583" s="1"/>
      <c r="ET583" s="1"/>
      <c r="EU583" s="1"/>
      <c r="EV583" s="1"/>
      <c r="EW583" s="1"/>
      <c r="EX583" s="1"/>
      <c r="EY583" s="1"/>
      <c r="EZ583" s="1"/>
      <c r="FA583" s="1"/>
      <c r="FB583" s="1"/>
      <c r="FC583" s="1"/>
      <c r="FD583" s="1"/>
      <c r="FE583" s="1"/>
      <c r="FF583" s="1"/>
      <c r="FG583" s="1"/>
      <c r="FH583" s="1"/>
      <c r="FI583" s="1"/>
      <c r="FJ583" s="1"/>
      <c r="FK583" s="1"/>
      <c r="FL583" s="1"/>
      <c r="FM583" s="1"/>
      <c r="FN583" s="1"/>
      <c r="FO583" s="1"/>
      <c r="FP583" s="1"/>
      <c r="FQ583" s="1"/>
      <c r="FR583" s="2"/>
      <c r="FS583" s="1"/>
    </row>
    <row r="584" spans="1:175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R584" s="1"/>
      <c r="S584" s="1"/>
      <c r="T584" s="1"/>
      <c r="U584" s="1"/>
      <c r="V584" s="1"/>
      <c r="Y584" s="1"/>
      <c r="Z584" s="2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U584" s="1"/>
      <c r="AW584" s="1"/>
      <c r="AX584" s="1"/>
      <c r="AY584" s="1"/>
      <c r="AZ584" s="1"/>
      <c r="BA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  <c r="DC584" s="1"/>
      <c r="DD584" s="1"/>
      <c r="DE584" s="1"/>
      <c r="DF584" s="1"/>
      <c r="DG584" s="1"/>
      <c r="DH584" s="1"/>
      <c r="DI584" s="1"/>
      <c r="DJ584" s="1"/>
      <c r="DK584" s="1"/>
      <c r="DL584" s="1"/>
      <c r="DM584" s="1"/>
      <c r="DN584" s="1"/>
      <c r="DO584" s="1"/>
      <c r="DP584" s="1"/>
      <c r="DQ584" s="1"/>
      <c r="DR584" s="1"/>
      <c r="DS584" s="1"/>
      <c r="DT584" s="1"/>
      <c r="DU584" s="1"/>
      <c r="DV584" s="1"/>
      <c r="DW584" s="1"/>
      <c r="DX584" s="1"/>
      <c r="DY584" s="1"/>
      <c r="DZ584" s="1"/>
      <c r="EA584" s="1"/>
      <c r="EB584" s="1"/>
      <c r="EC584" s="1"/>
      <c r="ED584" s="1"/>
      <c r="EE584" s="1"/>
      <c r="EF584" s="1"/>
      <c r="EG584" s="1"/>
      <c r="EH584" s="1"/>
      <c r="EI584" s="1"/>
      <c r="EJ584" s="1"/>
      <c r="EK584" s="1"/>
      <c r="EL584" s="1"/>
      <c r="EM584" s="1"/>
      <c r="EN584" s="1"/>
      <c r="EO584" s="1"/>
      <c r="EP584" s="1"/>
      <c r="EQ584" s="1"/>
      <c r="ER584" s="1"/>
      <c r="ES584" s="1"/>
      <c r="ET584" s="1"/>
      <c r="EU584" s="1"/>
      <c r="EV584" s="1"/>
      <c r="EW584" s="1"/>
      <c r="EX584" s="1"/>
      <c r="EY584" s="1"/>
      <c r="EZ584" s="1"/>
      <c r="FA584" s="1"/>
      <c r="FB584" s="1"/>
      <c r="FC584" s="1"/>
      <c r="FD584" s="1"/>
      <c r="FE584" s="1"/>
      <c r="FF584" s="1"/>
      <c r="FG584" s="1"/>
      <c r="FH584" s="1"/>
      <c r="FI584" s="1"/>
      <c r="FJ584" s="1"/>
      <c r="FK584" s="1"/>
      <c r="FL584" s="1"/>
      <c r="FM584" s="1"/>
      <c r="FN584" s="1"/>
      <c r="FO584" s="1"/>
      <c r="FP584" s="1"/>
      <c r="FQ584" s="1"/>
      <c r="FR584" s="2"/>
      <c r="FS584" s="1"/>
    </row>
    <row r="585" spans="1:175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R585" s="1"/>
      <c r="S585" s="1"/>
      <c r="T585" s="1"/>
      <c r="U585" s="1"/>
      <c r="V585" s="1"/>
      <c r="Y585" s="1"/>
      <c r="Z585" s="2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U585" s="1"/>
      <c r="AW585" s="1"/>
      <c r="AX585" s="1"/>
      <c r="AY585" s="1"/>
      <c r="AZ585" s="1"/>
      <c r="BA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  <c r="DC585" s="1"/>
      <c r="DD585" s="1"/>
      <c r="DE585" s="1"/>
      <c r="DF585" s="1"/>
      <c r="DG585" s="1"/>
      <c r="DH585" s="1"/>
      <c r="DI585" s="1"/>
      <c r="DJ585" s="1"/>
      <c r="DK585" s="1"/>
      <c r="DL585" s="1"/>
      <c r="DM585" s="1"/>
      <c r="DN585" s="1"/>
      <c r="DO585" s="1"/>
      <c r="DP585" s="1"/>
      <c r="DQ585" s="1"/>
      <c r="DR585" s="1"/>
      <c r="DS585" s="1"/>
      <c r="DT585" s="1"/>
      <c r="DU585" s="1"/>
      <c r="DV585" s="1"/>
      <c r="DW585" s="1"/>
      <c r="DX585" s="1"/>
      <c r="DY585" s="1"/>
      <c r="DZ585" s="1"/>
      <c r="EA585" s="1"/>
      <c r="EB585" s="1"/>
      <c r="EC585" s="1"/>
      <c r="ED585" s="1"/>
      <c r="EE585" s="1"/>
      <c r="EF585" s="1"/>
      <c r="EG585" s="1"/>
      <c r="EH585" s="1"/>
      <c r="EI585" s="1"/>
      <c r="EJ585" s="1"/>
      <c r="EK585" s="1"/>
      <c r="EL585" s="1"/>
      <c r="EM585" s="1"/>
      <c r="EN585" s="1"/>
      <c r="EO585" s="1"/>
      <c r="EP585" s="1"/>
      <c r="EQ585" s="1"/>
      <c r="ER585" s="1"/>
      <c r="ES585" s="1"/>
      <c r="ET585" s="1"/>
      <c r="EU585" s="1"/>
      <c r="EV585" s="1"/>
      <c r="EW585" s="1"/>
      <c r="EX585" s="1"/>
      <c r="EY585" s="1"/>
      <c r="EZ585" s="1"/>
      <c r="FA585" s="1"/>
      <c r="FB585" s="1"/>
      <c r="FC585" s="1"/>
      <c r="FD585" s="1"/>
      <c r="FE585" s="1"/>
      <c r="FF585" s="1"/>
      <c r="FG585" s="1"/>
      <c r="FH585" s="1"/>
      <c r="FI585" s="1"/>
      <c r="FJ585" s="1"/>
      <c r="FK585" s="1"/>
      <c r="FL585" s="1"/>
      <c r="FM585" s="1"/>
      <c r="FN585" s="1"/>
      <c r="FO585" s="1"/>
      <c r="FP585" s="1"/>
      <c r="FQ585" s="1"/>
      <c r="FR585" s="2"/>
      <c r="FS585" s="1"/>
    </row>
    <row r="586" spans="1:175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R586" s="1"/>
      <c r="S586" s="1"/>
      <c r="T586" s="1"/>
      <c r="U586" s="1"/>
      <c r="V586" s="1"/>
      <c r="Y586" s="1"/>
      <c r="Z586" s="2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U586" s="1"/>
      <c r="AW586" s="1"/>
      <c r="AX586" s="1"/>
      <c r="AY586" s="1"/>
      <c r="AZ586" s="1"/>
      <c r="BA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  <c r="DC586" s="1"/>
      <c r="DD586" s="1"/>
      <c r="DE586" s="1"/>
      <c r="DF586" s="1"/>
      <c r="DG586" s="1"/>
      <c r="DH586" s="1"/>
      <c r="DI586" s="1"/>
      <c r="DJ586" s="1"/>
      <c r="DK586" s="1"/>
      <c r="DL586" s="1"/>
      <c r="DM586" s="1"/>
      <c r="DN586" s="1"/>
      <c r="DO586" s="1"/>
      <c r="DP586" s="1"/>
      <c r="DQ586" s="1"/>
      <c r="DR586" s="1"/>
      <c r="DS586" s="1"/>
      <c r="DT586" s="1"/>
      <c r="DU586" s="1"/>
      <c r="DV586" s="1"/>
      <c r="DW586" s="1"/>
      <c r="DX586" s="1"/>
      <c r="DY586" s="1"/>
      <c r="DZ586" s="1"/>
      <c r="EA586" s="1"/>
      <c r="EB586" s="1"/>
      <c r="EC586" s="1"/>
      <c r="ED586" s="1"/>
      <c r="EE586" s="1"/>
      <c r="EF586" s="1"/>
      <c r="EG586" s="1"/>
      <c r="EH586" s="1"/>
      <c r="EI586" s="1"/>
      <c r="EJ586" s="1"/>
      <c r="EK586" s="1"/>
      <c r="EL586" s="1"/>
      <c r="EM586" s="1"/>
      <c r="EN586" s="1"/>
      <c r="EO586" s="1"/>
      <c r="EP586" s="1"/>
      <c r="EQ586" s="1"/>
      <c r="ER586" s="1"/>
      <c r="ES586" s="1"/>
      <c r="ET586" s="1"/>
      <c r="EU586" s="1"/>
      <c r="EV586" s="1"/>
      <c r="EW586" s="1"/>
      <c r="EX586" s="1"/>
      <c r="EY586" s="1"/>
      <c r="EZ586" s="1"/>
      <c r="FA586" s="1"/>
      <c r="FB586" s="1"/>
      <c r="FC586" s="1"/>
      <c r="FD586" s="1"/>
      <c r="FE586" s="1"/>
      <c r="FF586" s="1"/>
      <c r="FG586" s="1"/>
      <c r="FH586" s="1"/>
      <c r="FI586" s="1"/>
      <c r="FJ586" s="1"/>
      <c r="FK586" s="1"/>
      <c r="FL586" s="1"/>
      <c r="FM586" s="1"/>
      <c r="FN586" s="1"/>
      <c r="FO586" s="1"/>
      <c r="FP586" s="1"/>
      <c r="FQ586" s="1"/>
      <c r="FR586" s="2"/>
      <c r="FS586" s="1"/>
    </row>
    <row r="587" spans="1:175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R587" s="1"/>
      <c r="S587" s="1"/>
      <c r="T587" s="1"/>
      <c r="U587" s="1"/>
      <c r="V587" s="1"/>
      <c r="Y587" s="1"/>
      <c r="Z587" s="2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U587" s="1"/>
      <c r="AW587" s="1"/>
      <c r="AX587" s="1"/>
      <c r="AY587" s="1"/>
      <c r="AZ587" s="1"/>
      <c r="BA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  <c r="DC587" s="1"/>
      <c r="DD587" s="1"/>
      <c r="DE587" s="1"/>
      <c r="DF587" s="1"/>
      <c r="DG587" s="1"/>
      <c r="DH587" s="1"/>
      <c r="DI587" s="1"/>
      <c r="DJ587" s="1"/>
      <c r="DK587" s="1"/>
      <c r="DL587" s="1"/>
      <c r="DM587" s="1"/>
      <c r="DN587" s="1"/>
      <c r="DO587" s="1"/>
      <c r="DP587" s="1"/>
      <c r="DQ587" s="1"/>
      <c r="DR587" s="1"/>
      <c r="DS587" s="1"/>
      <c r="DT587" s="1"/>
      <c r="DU587" s="1"/>
      <c r="DV587" s="1"/>
      <c r="DW587" s="1"/>
      <c r="DX587" s="1"/>
      <c r="DY587" s="1"/>
      <c r="DZ587" s="1"/>
      <c r="EA587" s="1"/>
      <c r="EB587" s="1"/>
      <c r="EC587" s="1"/>
      <c r="ED587" s="1"/>
      <c r="EE587" s="1"/>
      <c r="EF587" s="1"/>
      <c r="EG587" s="1"/>
      <c r="EH587" s="1"/>
      <c r="EI587" s="1"/>
      <c r="EJ587" s="1"/>
      <c r="EK587" s="1"/>
      <c r="EL587" s="1"/>
      <c r="EM587" s="1"/>
      <c r="EN587" s="1"/>
      <c r="EO587" s="1"/>
      <c r="EP587" s="1"/>
      <c r="EQ587" s="1"/>
      <c r="ER587" s="1"/>
      <c r="ES587" s="1"/>
      <c r="ET587" s="1"/>
      <c r="EU587" s="1"/>
      <c r="EV587" s="1"/>
      <c r="EW587" s="1"/>
      <c r="EX587" s="1"/>
      <c r="EY587" s="1"/>
      <c r="EZ587" s="1"/>
      <c r="FA587" s="1"/>
      <c r="FB587" s="1"/>
      <c r="FC587" s="1"/>
      <c r="FD587" s="1"/>
      <c r="FE587" s="1"/>
      <c r="FF587" s="1"/>
      <c r="FG587" s="1"/>
      <c r="FH587" s="1"/>
      <c r="FI587" s="1"/>
      <c r="FJ587" s="1"/>
      <c r="FK587" s="1"/>
      <c r="FL587" s="1"/>
      <c r="FM587" s="1"/>
      <c r="FN587" s="1"/>
      <c r="FO587" s="1"/>
      <c r="FP587" s="1"/>
      <c r="FQ587" s="1"/>
      <c r="FR587" s="2"/>
      <c r="FS587" s="1"/>
    </row>
    <row r="588" spans="1:175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R588" s="1"/>
      <c r="S588" s="1"/>
      <c r="T588" s="1"/>
      <c r="U588" s="1"/>
      <c r="V588" s="1"/>
      <c r="Y588" s="1"/>
      <c r="Z588" s="2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U588" s="1"/>
      <c r="AW588" s="1"/>
      <c r="AX588" s="1"/>
      <c r="AY588" s="1"/>
      <c r="AZ588" s="1"/>
      <c r="BA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  <c r="DC588" s="1"/>
      <c r="DD588" s="1"/>
      <c r="DE588" s="1"/>
      <c r="DF588" s="1"/>
      <c r="DG588" s="1"/>
      <c r="DH588" s="1"/>
      <c r="DI588" s="1"/>
      <c r="DJ588" s="1"/>
      <c r="DK588" s="1"/>
      <c r="DL588" s="1"/>
      <c r="DM588" s="1"/>
      <c r="DN588" s="1"/>
      <c r="DO588" s="1"/>
      <c r="DP588" s="1"/>
      <c r="DQ588" s="1"/>
      <c r="DR588" s="1"/>
      <c r="DS588" s="1"/>
      <c r="DT588" s="1"/>
      <c r="DU588" s="1"/>
      <c r="DV588" s="1"/>
      <c r="DW588" s="1"/>
      <c r="DX588" s="1"/>
      <c r="DY588" s="1"/>
      <c r="DZ588" s="1"/>
      <c r="EA588" s="1"/>
      <c r="EB588" s="1"/>
      <c r="EC588" s="1"/>
      <c r="ED588" s="1"/>
      <c r="EE588" s="1"/>
      <c r="EF588" s="1"/>
      <c r="EG588" s="1"/>
      <c r="EH588" s="1"/>
      <c r="EI588" s="1"/>
      <c r="EJ588" s="1"/>
      <c r="EK588" s="1"/>
      <c r="EL588" s="1"/>
      <c r="EM588" s="1"/>
      <c r="EN588" s="1"/>
      <c r="EO588" s="1"/>
      <c r="EP588" s="1"/>
      <c r="EQ588" s="1"/>
      <c r="ER588" s="1"/>
      <c r="ES588" s="1"/>
      <c r="ET588" s="1"/>
      <c r="EU588" s="1"/>
      <c r="EV588" s="1"/>
      <c r="EW588" s="1"/>
      <c r="EX588" s="1"/>
      <c r="EY588" s="1"/>
      <c r="EZ588" s="1"/>
      <c r="FA588" s="1"/>
      <c r="FB588" s="1"/>
      <c r="FC588" s="1"/>
      <c r="FD588" s="1"/>
      <c r="FE588" s="1"/>
      <c r="FF588" s="1"/>
      <c r="FG588" s="1"/>
      <c r="FH588" s="1"/>
      <c r="FI588" s="1"/>
      <c r="FJ588" s="1"/>
      <c r="FK588" s="1"/>
      <c r="FL588" s="1"/>
      <c r="FM588" s="1"/>
      <c r="FN588" s="1"/>
      <c r="FO588" s="1"/>
      <c r="FP588" s="1"/>
      <c r="FQ588" s="1"/>
      <c r="FR588" s="2"/>
      <c r="FS588" s="1"/>
    </row>
    <row r="589" spans="1:175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R589" s="1"/>
      <c r="S589" s="1"/>
      <c r="T589" s="1"/>
      <c r="U589" s="1"/>
      <c r="V589" s="1"/>
      <c r="Y589" s="1"/>
      <c r="Z589" s="2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U589" s="1"/>
      <c r="AW589" s="1"/>
      <c r="AX589" s="1"/>
      <c r="AY589" s="1"/>
      <c r="AZ589" s="1"/>
      <c r="BA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  <c r="DC589" s="1"/>
      <c r="DD589" s="1"/>
      <c r="DE589" s="1"/>
      <c r="DF589" s="1"/>
      <c r="DG589" s="1"/>
      <c r="DH589" s="1"/>
      <c r="DI589" s="1"/>
      <c r="DJ589" s="1"/>
      <c r="DK589" s="1"/>
      <c r="DL589" s="1"/>
      <c r="DM589" s="1"/>
      <c r="DN589" s="1"/>
      <c r="DO589" s="1"/>
      <c r="DP589" s="1"/>
      <c r="DQ589" s="1"/>
      <c r="DR589" s="1"/>
      <c r="DS589" s="1"/>
      <c r="DT589" s="1"/>
      <c r="DU589" s="1"/>
      <c r="DV589" s="1"/>
      <c r="DW589" s="1"/>
      <c r="DX589" s="1"/>
      <c r="DY589" s="1"/>
      <c r="DZ589" s="1"/>
      <c r="EA589" s="1"/>
      <c r="EB589" s="1"/>
      <c r="EC589" s="1"/>
      <c r="ED589" s="1"/>
      <c r="EE589" s="1"/>
      <c r="EF589" s="1"/>
      <c r="EG589" s="1"/>
      <c r="EH589" s="1"/>
      <c r="EI589" s="1"/>
      <c r="EJ589" s="1"/>
      <c r="EK589" s="1"/>
      <c r="EL589" s="1"/>
      <c r="EM589" s="1"/>
      <c r="EN589" s="1"/>
      <c r="EO589" s="1"/>
      <c r="EP589" s="1"/>
      <c r="EQ589" s="1"/>
      <c r="ER589" s="1"/>
      <c r="ES589" s="1"/>
      <c r="ET589" s="1"/>
      <c r="EU589" s="1"/>
      <c r="EV589" s="1"/>
      <c r="EW589" s="1"/>
      <c r="EX589" s="1"/>
      <c r="EY589" s="1"/>
      <c r="EZ589" s="1"/>
      <c r="FA589" s="1"/>
      <c r="FB589" s="1"/>
      <c r="FC589" s="1"/>
      <c r="FD589" s="1"/>
      <c r="FE589" s="1"/>
      <c r="FF589" s="1"/>
      <c r="FG589" s="1"/>
      <c r="FH589" s="1"/>
      <c r="FI589" s="1"/>
      <c r="FJ589" s="1"/>
      <c r="FK589" s="1"/>
      <c r="FL589" s="1"/>
      <c r="FM589" s="1"/>
      <c r="FN589" s="1"/>
      <c r="FO589" s="1"/>
      <c r="FP589" s="1"/>
      <c r="FQ589" s="1"/>
      <c r="FR589" s="2"/>
      <c r="FS589" s="1"/>
    </row>
    <row r="590" spans="1:175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R590" s="1"/>
      <c r="S590" s="1"/>
      <c r="T590" s="1"/>
      <c r="U590" s="1"/>
      <c r="V590" s="1"/>
      <c r="Y590" s="1"/>
      <c r="Z590" s="2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U590" s="1"/>
      <c r="AW590" s="1"/>
      <c r="AX590" s="1"/>
      <c r="AY590" s="1"/>
      <c r="AZ590" s="1"/>
      <c r="BA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  <c r="DC590" s="1"/>
      <c r="DD590" s="1"/>
      <c r="DE590" s="1"/>
      <c r="DF590" s="1"/>
      <c r="DG590" s="1"/>
      <c r="DH590" s="1"/>
      <c r="DI590" s="1"/>
      <c r="DJ590" s="1"/>
      <c r="DK590" s="1"/>
      <c r="DL590" s="1"/>
      <c r="DM590" s="1"/>
      <c r="DN590" s="1"/>
      <c r="DO590" s="1"/>
      <c r="DP590" s="1"/>
      <c r="DQ590" s="1"/>
      <c r="DR590" s="1"/>
      <c r="DS590" s="1"/>
      <c r="DT590" s="1"/>
      <c r="DU590" s="1"/>
      <c r="DV590" s="1"/>
      <c r="DW590" s="1"/>
      <c r="DX590" s="1"/>
      <c r="DY590" s="1"/>
      <c r="DZ590" s="1"/>
      <c r="EA590" s="1"/>
      <c r="EB590" s="1"/>
      <c r="EC590" s="1"/>
      <c r="ED590" s="1"/>
      <c r="EE590" s="1"/>
      <c r="EF590" s="1"/>
      <c r="EG590" s="1"/>
      <c r="EH590" s="1"/>
      <c r="EI590" s="1"/>
      <c r="EJ590" s="1"/>
      <c r="EK590" s="1"/>
      <c r="EL590" s="1"/>
      <c r="EM590" s="1"/>
      <c r="EN590" s="1"/>
      <c r="EO590" s="1"/>
      <c r="EP590" s="1"/>
      <c r="EQ590" s="1"/>
      <c r="ER590" s="1"/>
      <c r="ES590" s="1"/>
      <c r="ET590" s="1"/>
      <c r="EU590" s="1"/>
      <c r="EV590" s="1"/>
      <c r="EW590" s="1"/>
      <c r="EX590" s="1"/>
      <c r="EY590" s="1"/>
      <c r="EZ590" s="1"/>
      <c r="FA590" s="1"/>
      <c r="FB590" s="1"/>
      <c r="FC590" s="1"/>
      <c r="FD590" s="1"/>
      <c r="FE590" s="1"/>
      <c r="FF590" s="1"/>
      <c r="FG590" s="1"/>
      <c r="FH590" s="1"/>
      <c r="FI590" s="1"/>
      <c r="FJ590" s="1"/>
      <c r="FK590" s="1"/>
      <c r="FL590" s="1"/>
      <c r="FM590" s="1"/>
      <c r="FN590" s="1"/>
      <c r="FO590" s="1"/>
      <c r="FP590" s="1"/>
      <c r="FQ590" s="1"/>
      <c r="FR590" s="2"/>
      <c r="FS590" s="1"/>
    </row>
    <row r="591" spans="1:175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R591" s="1"/>
      <c r="S591" s="1"/>
      <c r="T591" s="1"/>
      <c r="U591" s="1"/>
      <c r="V591" s="1"/>
      <c r="Y591" s="1"/>
      <c r="Z591" s="2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U591" s="1"/>
      <c r="AW591" s="1"/>
      <c r="AX591" s="1"/>
      <c r="AY591" s="1"/>
      <c r="AZ591" s="1"/>
      <c r="BA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  <c r="DC591" s="1"/>
      <c r="DD591" s="1"/>
      <c r="DE591" s="1"/>
      <c r="DF591" s="1"/>
      <c r="DG591" s="1"/>
      <c r="DH591" s="1"/>
      <c r="DI591" s="1"/>
      <c r="DJ591" s="1"/>
      <c r="DK591" s="1"/>
      <c r="DL591" s="1"/>
      <c r="DM591" s="1"/>
      <c r="DN591" s="1"/>
      <c r="DO591" s="1"/>
      <c r="DP591" s="1"/>
      <c r="DQ591" s="1"/>
      <c r="DR591" s="1"/>
      <c r="DS591" s="1"/>
      <c r="DT591" s="1"/>
      <c r="DU591" s="1"/>
      <c r="DV591" s="1"/>
      <c r="DW591" s="1"/>
      <c r="DX591" s="1"/>
      <c r="DY591" s="1"/>
      <c r="DZ591" s="1"/>
      <c r="EA591" s="1"/>
      <c r="EB591" s="1"/>
      <c r="EC591" s="1"/>
      <c r="ED591" s="1"/>
      <c r="EE591" s="1"/>
      <c r="EF591" s="1"/>
      <c r="EG591" s="1"/>
      <c r="EH591" s="1"/>
      <c r="EI591" s="1"/>
      <c r="EJ591" s="1"/>
      <c r="EK591" s="1"/>
      <c r="EL591" s="1"/>
      <c r="EM591" s="1"/>
      <c r="EN591" s="1"/>
      <c r="EO591" s="1"/>
      <c r="EP591" s="1"/>
      <c r="EQ591" s="1"/>
      <c r="ER591" s="1"/>
      <c r="ES591" s="1"/>
      <c r="ET591" s="1"/>
      <c r="EU591" s="1"/>
      <c r="EV591" s="1"/>
      <c r="EW591" s="1"/>
      <c r="EX591" s="1"/>
      <c r="EY591" s="1"/>
      <c r="EZ591" s="1"/>
      <c r="FA591" s="1"/>
      <c r="FB591" s="1"/>
      <c r="FC591" s="1"/>
      <c r="FD591" s="1"/>
      <c r="FE591" s="1"/>
      <c r="FF591" s="1"/>
      <c r="FG591" s="1"/>
      <c r="FH591" s="1"/>
      <c r="FI591" s="1"/>
      <c r="FJ591" s="1"/>
      <c r="FK591" s="1"/>
      <c r="FL591" s="1"/>
      <c r="FM591" s="1"/>
      <c r="FN591" s="1"/>
      <c r="FO591" s="1"/>
      <c r="FP591" s="1"/>
      <c r="FQ591" s="1"/>
      <c r="FR591" s="2"/>
      <c r="FS591" s="1"/>
    </row>
    <row r="592" spans="1:175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R592" s="1"/>
      <c r="S592" s="1"/>
      <c r="T592" s="1"/>
      <c r="U592" s="1"/>
      <c r="V592" s="1"/>
      <c r="Y592" s="1"/>
      <c r="Z592" s="2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U592" s="1"/>
      <c r="AW592" s="1"/>
      <c r="AX592" s="1"/>
      <c r="AY592" s="1"/>
      <c r="AZ592" s="1"/>
      <c r="BA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  <c r="DC592" s="1"/>
      <c r="DD592" s="1"/>
      <c r="DE592" s="1"/>
      <c r="DF592" s="1"/>
      <c r="DG592" s="1"/>
      <c r="DH592" s="1"/>
      <c r="DI592" s="1"/>
      <c r="DJ592" s="1"/>
      <c r="DK592" s="1"/>
      <c r="DL592" s="1"/>
      <c r="DM592" s="1"/>
      <c r="DN592" s="1"/>
      <c r="DO592" s="1"/>
      <c r="DP592" s="1"/>
      <c r="DQ592" s="1"/>
      <c r="DR592" s="1"/>
      <c r="DS592" s="1"/>
      <c r="DT592" s="1"/>
      <c r="DU592" s="1"/>
      <c r="DV592" s="1"/>
      <c r="DW592" s="1"/>
      <c r="DX592" s="1"/>
      <c r="DY592" s="1"/>
      <c r="DZ592" s="1"/>
      <c r="EA592" s="1"/>
      <c r="EB592" s="1"/>
      <c r="EC592" s="1"/>
      <c r="ED592" s="1"/>
      <c r="EE592" s="1"/>
      <c r="EF592" s="1"/>
      <c r="EG592" s="1"/>
      <c r="EH592" s="1"/>
      <c r="EI592" s="1"/>
      <c r="EJ592" s="1"/>
      <c r="EK592" s="1"/>
      <c r="EL592" s="1"/>
      <c r="EM592" s="1"/>
      <c r="EN592" s="1"/>
      <c r="EO592" s="1"/>
      <c r="EP592" s="1"/>
      <c r="EQ592" s="1"/>
      <c r="ER592" s="1"/>
      <c r="ES592" s="1"/>
      <c r="ET592" s="1"/>
      <c r="EU592" s="1"/>
      <c r="EV592" s="1"/>
      <c r="EW592" s="1"/>
      <c r="EX592" s="1"/>
      <c r="EY592" s="1"/>
      <c r="EZ592" s="1"/>
      <c r="FA592" s="1"/>
      <c r="FB592" s="1"/>
      <c r="FC592" s="1"/>
      <c r="FD592" s="1"/>
      <c r="FE592" s="1"/>
      <c r="FF592" s="1"/>
      <c r="FG592" s="1"/>
      <c r="FH592" s="1"/>
      <c r="FI592" s="1"/>
      <c r="FJ592" s="1"/>
      <c r="FK592" s="1"/>
      <c r="FL592" s="1"/>
      <c r="FM592" s="1"/>
      <c r="FN592" s="1"/>
      <c r="FO592" s="1"/>
      <c r="FP592" s="1"/>
      <c r="FQ592" s="1"/>
      <c r="FR592" s="2"/>
      <c r="FS592" s="1"/>
    </row>
    <row r="593" spans="1:175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R593" s="1"/>
      <c r="S593" s="1"/>
      <c r="T593" s="1"/>
      <c r="U593" s="1"/>
      <c r="V593" s="1"/>
      <c r="Y593" s="1"/>
      <c r="Z593" s="2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U593" s="1"/>
      <c r="AW593" s="1"/>
      <c r="AX593" s="1"/>
      <c r="AY593" s="1"/>
      <c r="AZ593" s="1"/>
      <c r="BA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  <c r="DC593" s="1"/>
      <c r="DD593" s="1"/>
      <c r="DE593" s="1"/>
      <c r="DF593" s="1"/>
      <c r="DG593" s="1"/>
      <c r="DH593" s="1"/>
      <c r="DI593" s="1"/>
      <c r="DJ593" s="1"/>
      <c r="DK593" s="1"/>
      <c r="DL593" s="1"/>
      <c r="DM593" s="1"/>
      <c r="DN593" s="1"/>
      <c r="DO593" s="1"/>
      <c r="DP593" s="1"/>
      <c r="DQ593" s="1"/>
      <c r="DR593" s="1"/>
      <c r="DS593" s="1"/>
      <c r="DT593" s="1"/>
      <c r="DU593" s="1"/>
      <c r="DV593" s="1"/>
      <c r="DW593" s="1"/>
      <c r="DX593" s="1"/>
      <c r="DY593" s="1"/>
      <c r="DZ593" s="1"/>
      <c r="EA593" s="1"/>
      <c r="EB593" s="1"/>
      <c r="EC593" s="1"/>
      <c r="ED593" s="1"/>
      <c r="EE593" s="1"/>
      <c r="EF593" s="1"/>
      <c r="EG593" s="1"/>
      <c r="EH593" s="1"/>
      <c r="EI593" s="1"/>
      <c r="EJ593" s="1"/>
      <c r="EK593" s="1"/>
      <c r="EL593" s="1"/>
      <c r="EM593" s="1"/>
      <c r="EN593" s="1"/>
      <c r="EO593" s="1"/>
      <c r="EP593" s="1"/>
      <c r="EQ593" s="1"/>
      <c r="ER593" s="1"/>
      <c r="ES593" s="1"/>
      <c r="ET593" s="1"/>
      <c r="EU593" s="1"/>
      <c r="EV593" s="1"/>
      <c r="EW593" s="1"/>
      <c r="EX593" s="1"/>
      <c r="EY593" s="1"/>
      <c r="EZ593" s="1"/>
      <c r="FA593" s="1"/>
      <c r="FB593" s="1"/>
      <c r="FC593" s="1"/>
      <c r="FD593" s="1"/>
      <c r="FE593" s="1"/>
      <c r="FF593" s="1"/>
      <c r="FG593" s="1"/>
      <c r="FH593" s="1"/>
      <c r="FI593" s="1"/>
      <c r="FJ593" s="1"/>
      <c r="FK593" s="1"/>
      <c r="FL593" s="1"/>
      <c r="FM593" s="1"/>
      <c r="FN593" s="1"/>
      <c r="FO593" s="1"/>
      <c r="FP593" s="1"/>
      <c r="FQ593" s="1"/>
      <c r="FR593" s="2"/>
      <c r="FS593" s="1"/>
    </row>
    <row r="594" spans="1:175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R594" s="1"/>
      <c r="S594" s="1"/>
      <c r="T594" s="1"/>
      <c r="U594" s="1"/>
      <c r="V594" s="1"/>
      <c r="Y594" s="1"/>
      <c r="Z594" s="2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U594" s="1"/>
      <c r="AW594" s="1"/>
      <c r="AX594" s="1"/>
      <c r="AY594" s="1"/>
      <c r="AZ594" s="1"/>
      <c r="BA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  <c r="DC594" s="1"/>
      <c r="DD594" s="1"/>
      <c r="DE594" s="1"/>
      <c r="DF594" s="1"/>
      <c r="DG594" s="1"/>
      <c r="DH594" s="1"/>
      <c r="DI594" s="1"/>
      <c r="DJ594" s="1"/>
      <c r="DK594" s="1"/>
      <c r="DL594" s="1"/>
      <c r="DM594" s="1"/>
      <c r="DN594" s="1"/>
      <c r="DO594" s="1"/>
      <c r="DP594" s="1"/>
      <c r="DQ594" s="1"/>
      <c r="DR594" s="1"/>
      <c r="DS594" s="1"/>
      <c r="DT594" s="1"/>
      <c r="DU594" s="1"/>
      <c r="DV594" s="1"/>
      <c r="DW594" s="1"/>
      <c r="DX594" s="1"/>
      <c r="DY594" s="1"/>
      <c r="DZ594" s="1"/>
      <c r="EA594" s="1"/>
      <c r="EB594" s="1"/>
      <c r="EC594" s="1"/>
      <c r="ED594" s="1"/>
      <c r="EE594" s="1"/>
      <c r="EF594" s="1"/>
      <c r="EG594" s="1"/>
      <c r="EH594" s="1"/>
      <c r="EI594" s="1"/>
      <c r="EJ594" s="1"/>
      <c r="EK594" s="1"/>
      <c r="EL594" s="1"/>
      <c r="EM594" s="1"/>
      <c r="EN594" s="1"/>
      <c r="EO594" s="1"/>
      <c r="EP594" s="1"/>
      <c r="EQ594" s="1"/>
      <c r="ER594" s="1"/>
      <c r="ES594" s="1"/>
      <c r="ET594" s="1"/>
      <c r="EU594" s="1"/>
      <c r="EV594" s="1"/>
      <c r="EW594" s="1"/>
      <c r="EX594" s="1"/>
      <c r="EY594" s="1"/>
      <c r="EZ594" s="1"/>
      <c r="FA594" s="1"/>
      <c r="FB594" s="1"/>
      <c r="FC594" s="1"/>
      <c r="FD594" s="1"/>
      <c r="FE594" s="1"/>
      <c r="FF594" s="1"/>
      <c r="FG594" s="1"/>
      <c r="FH594" s="1"/>
      <c r="FI594" s="1"/>
      <c r="FJ594" s="1"/>
      <c r="FK594" s="1"/>
      <c r="FL594" s="1"/>
      <c r="FM594" s="1"/>
      <c r="FN594" s="1"/>
      <c r="FO594" s="1"/>
      <c r="FP594" s="1"/>
      <c r="FQ594" s="1"/>
      <c r="FR594" s="2"/>
      <c r="FS594" s="1"/>
    </row>
    <row r="595" spans="1:175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R595" s="1"/>
      <c r="S595" s="1"/>
      <c r="T595" s="1"/>
      <c r="U595" s="1"/>
      <c r="V595" s="1"/>
      <c r="Y595" s="1"/>
      <c r="Z595" s="2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U595" s="1"/>
      <c r="AW595" s="1"/>
      <c r="AX595" s="1"/>
      <c r="AY595" s="1"/>
      <c r="AZ595" s="1"/>
      <c r="BA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  <c r="DC595" s="1"/>
      <c r="DD595" s="1"/>
      <c r="DE595" s="1"/>
      <c r="DF595" s="1"/>
      <c r="DG595" s="1"/>
      <c r="DH595" s="1"/>
      <c r="DI595" s="1"/>
      <c r="DJ595" s="1"/>
      <c r="DK595" s="1"/>
      <c r="DL595" s="1"/>
      <c r="DM595" s="1"/>
      <c r="DN595" s="1"/>
      <c r="DO595" s="1"/>
      <c r="DP595" s="1"/>
      <c r="DQ595" s="1"/>
      <c r="DR595" s="1"/>
      <c r="DS595" s="1"/>
      <c r="DT595" s="1"/>
      <c r="DU595" s="1"/>
      <c r="DV595" s="1"/>
      <c r="DW595" s="1"/>
      <c r="DX595" s="1"/>
      <c r="DY595" s="1"/>
      <c r="DZ595" s="1"/>
      <c r="EA595" s="1"/>
      <c r="EB595" s="1"/>
      <c r="EC595" s="1"/>
      <c r="ED595" s="1"/>
      <c r="EE595" s="1"/>
      <c r="EF595" s="1"/>
      <c r="EG595" s="1"/>
      <c r="EH595" s="1"/>
      <c r="EI595" s="1"/>
      <c r="EJ595" s="1"/>
      <c r="EK595" s="1"/>
      <c r="EL595" s="1"/>
      <c r="EM595" s="1"/>
      <c r="EN595" s="1"/>
      <c r="EO595" s="1"/>
      <c r="EP595" s="1"/>
      <c r="EQ595" s="1"/>
      <c r="ER595" s="1"/>
      <c r="ES595" s="1"/>
      <c r="ET595" s="1"/>
      <c r="EU595" s="1"/>
      <c r="EV595" s="1"/>
      <c r="EW595" s="1"/>
      <c r="EX595" s="1"/>
      <c r="EY595" s="1"/>
      <c r="EZ595" s="1"/>
      <c r="FA595" s="1"/>
      <c r="FB595" s="1"/>
      <c r="FC595" s="1"/>
      <c r="FD595" s="1"/>
      <c r="FE595" s="1"/>
      <c r="FF595" s="1"/>
      <c r="FG595" s="1"/>
      <c r="FH595" s="1"/>
      <c r="FI595" s="1"/>
      <c r="FJ595" s="1"/>
      <c r="FK595" s="1"/>
      <c r="FL595" s="1"/>
      <c r="FM595" s="1"/>
      <c r="FN595" s="1"/>
      <c r="FO595" s="1"/>
      <c r="FP595" s="1"/>
      <c r="FQ595" s="1"/>
      <c r="FR595" s="2"/>
      <c r="FS595" s="1"/>
    </row>
    <row r="596" spans="1:175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R596" s="1"/>
      <c r="S596" s="1"/>
      <c r="T596" s="1"/>
      <c r="U596" s="1"/>
      <c r="V596" s="1"/>
      <c r="Y596" s="1"/>
      <c r="Z596" s="2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U596" s="1"/>
      <c r="AW596" s="1"/>
      <c r="AX596" s="1"/>
      <c r="AY596" s="1"/>
      <c r="AZ596" s="1"/>
      <c r="BA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  <c r="DC596" s="1"/>
      <c r="DD596" s="1"/>
      <c r="DE596" s="1"/>
      <c r="DF596" s="1"/>
      <c r="DG596" s="1"/>
      <c r="DH596" s="1"/>
      <c r="DI596" s="1"/>
      <c r="DJ596" s="1"/>
      <c r="DK596" s="1"/>
      <c r="DL596" s="1"/>
      <c r="DM596" s="1"/>
      <c r="DN596" s="1"/>
      <c r="DO596" s="1"/>
      <c r="DP596" s="1"/>
      <c r="DQ596" s="1"/>
      <c r="DR596" s="1"/>
      <c r="DS596" s="1"/>
      <c r="DT596" s="1"/>
      <c r="DU596" s="1"/>
      <c r="DV596" s="1"/>
      <c r="DW596" s="1"/>
      <c r="DX596" s="1"/>
      <c r="DY596" s="1"/>
      <c r="DZ596" s="1"/>
      <c r="EA596" s="1"/>
      <c r="EB596" s="1"/>
      <c r="EC596" s="1"/>
      <c r="ED596" s="1"/>
      <c r="EE596" s="1"/>
      <c r="EF596" s="1"/>
      <c r="EG596" s="1"/>
      <c r="EH596" s="1"/>
      <c r="EI596" s="1"/>
      <c r="EJ596" s="1"/>
      <c r="EK596" s="1"/>
      <c r="EL596" s="1"/>
      <c r="EM596" s="1"/>
      <c r="EN596" s="1"/>
      <c r="EO596" s="1"/>
      <c r="EP596" s="1"/>
      <c r="EQ596" s="1"/>
      <c r="ER596" s="1"/>
      <c r="ES596" s="1"/>
      <c r="ET596" s="1"/>
      <c r="EU596" s="1"/>
      <c r="EV596" s="1"/>
      <c r="EW596" s="1"/>
      <c r="EX596" s="1"/>
      <c r="EY596" s="1"/>
      <c r="EZ596" s="1"/>
      <c r="FA596" s="1"/>
      <c r="FB596" s="1"/>
      <c r="FC596" s="1"/>
      <c r="FD596" s="1"/>
      <c r="FE596" s="1"/>
      <c r="FF596" s="1"/>
      <c r="FG596" s="1"/>
      <c r="FH596" s="1"/>
      <c r="FI596" s="1"/>
      <c r="FJ596" s="1"/>
      <c r="FK596" s="1"/>
      <c r="FL596" s="1"/>
      <c r="FM596" s="1"/>
      <c r="FN596" s="1"/>
      <c r="FO596" s="1"/>
      <c r="FP596" s="1"/>
      <c r="FQ596" s="1"/>
      <c r="FR596" s="2"/>
      <c r="FS596" s="1"/>
    </row>
    <row r="597" spans="1:175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R597" s="1"/>
      <c r="S597" s="1"/>
      <c r="T597" s="1"/>
      <c r="U597" s="1"/>
      <c r="V597" s="1"/>
      <c r="Y597" s="1"/>
      <c r="Z597" s="2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U597" s="1"/>
      <c r="AW597" s="1"/>
      <c r="AX597" s="1"/>
      <c r="AY597" s="1"/>
      <c r="AZ597" s="1"/>
      <c r="BA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  <c r="DC597" s="1"/>
      <c r="DD597" s="1"/>
      <c r="DE597" s="1"/>
      <c r="DF597" s="1"/>
      <c r="DG597" s="1"/>
      <c r="DH597" s="1"/>
      <c r="DI597" s="1"/>
      <c r="DJ597" s="1"/>
      <c r="DK597" s="1"/>
      <c r="DL597" s="1"/>
      <c r="DM597" s="1"/>
      <c r="DN597" s="1"/>
      <c r="DO597" s="1"/>
      <c r="DP597" s="1"/>
      <c r="DQ597" s="1"/>
      <c r="DR597" s="1"/>
      <c r="DS597" s="1"/>
      <c r="DT597" s="1"/>
      <c r="DU597" s="1"/>
      <c r="DV597" s="1"/>
      <c r="DW597" s="1"/>
      <c r="DX597" s="1"/>
      <c r="DY597" s="1"/>
      <c r="DZ597" s="1"/>
      <c r="EA597" s="1"/>
      <c r="EB597" s="1"/>
      <c r="EC597" s="1"/>
      <c r="ED597" s="1"/>
      <c r="EE597" s="1"/>
      <c r="EF597" s="1"/>
      <c r="EG597" s="1"/>
      <c r="EH597" s="1"/>
      <c r="EI597" s="1"/>
      <c r="EJ597" s="1"/>
      <c r="EK597" s="1"/>
      <c r="EL597" s="1"/>
      <c r="EM597" s="1"/>
      <c r="EN597" s="1"/>
      <c r="EO597" s="1"/>
      <c r="EP597" s="1"/>
      <c r="EQ597" s="1"/>
      <c r="ER597" s="1"/>
      <c r="ES597" s="1"/>
      <c r="ET597" s="1"/>
      <c r="EU597" s="1"/>
      <c r="EV597" s="1"/>
      <c r="EW597" s="1"/>
      <c r="EX597" s="1"/>
      <c r="EY597" s="1"/>
      <c r="EZ597" s="1"/>
      <c r="FA597" s="1"/>
      <c r="FB597" s="1"/>
      <c r="FC597" s="1"/>
      <c r="FD597" s="1"/>
      <c r="FE597" s="1"/>
      <c r="FF597" s="1"/>
      <c r="FG597" s="1"/>
      <c r="FH597" s="1"/>
      <c r="FI597" s="1"/>
      <c r="FJ597" s="1"/>
      <c r="FK597" s="1"/>
      <c r="FL597" s="1"/>
      <c r="FM597" s="1"/>
      <c r="FN597" s="1"/>
      <c r="FO597" s="1"/>
      <c r="FP597" s="1"/>
      <c r="FQ597" s="1"/>
      <c r="FR597" s="2"/>
      <c r="FS597" s="1"/>
    </row>
    <row r="598" spans="1:175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R598" s="1"/>
      <c r="S598" s="1"/>
      <c r="T598" s="1"/>
      <c r="U598" s="1"/>
      <c r="V598" s="1"/>
      <c r="Y598" s="1"/>
      <c r="Z598" s="2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U598" s="1"/>
      <c r="AW598" s="1"/>
      <c r="AX598" s="1"/>
      <c r="AY598" s="1"/>
      <c r="AZ598" s="1"/>
      <c r="BA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  <c r="DC598" s="1"/>
      <c r="DD598" s="1"/>
      <c r="DE598" s="1"/>
      <c r="DF598" s="1"/>
      <c r="DG598" s="1"/>
      <c r="DH598" s="1"/>
      <c r="DI598" s="1"/>
      <c r="DJ598" s="1"/>
      <c r="DK598" s="1"/>
      <c r="DL598" s="1"/>
      <c r="DM598" s="1"/>
      <c r="DN598" s="1"/>
      <c r="DO598" s="1"/>
      <c r="DP598" s="1"/>
      <c r="DQ598" s="1"/>
      <c r="DR598" s="1"/>
      <c r="DS598" s="1"/>
      <c r="DT598" s="1"/>
      <c r="DU598" s="1"/>
      <c r="DV598" s="1"/>
      <c r="DW598" s="1"/>
      <c r="DX598" s="1"/>
      <c r="DY598" s="1"/>
      <c r="DZ598" s="1"/>
      <c r="EA598" s="1"/>
      <c r="EB598" s="1"/>
      <c r="EC598" s="1"/>
      <c r="ED598" s="1"/>
      <c r="EE598" s="1"/>
      <c r="EF598" s="1"/>
      <c r="EG598" s="1"/>
      <c r="EH598" s="1"/>
      <c r="EI598" s="1"/>
      <c r="EJ598" s="1"/>
      <c r="EK598" s="1"/>
      <c r="EL598" s="1"/>
      <c r="EM598" s="1"/>
      <c r="EN598" s="1"/>
      <c r="EO598" s="1"/>
      <c r="EP598" s="1"/>
      <c r="EQ598" s="1"/>
      <c r="ER598" s="1"/>
      <c r="ES598" s="1"/>
      <c r="ET598" s="1"/>
      <c r="EU598" s="1"/>
      <c r="EV598" s="1"/>
      <c r="EW598" s="1"/>
      <c r="EX598" s="1"/>
      <c r="EY598" s="1"/>
      <c r="EZ598" s="1"/>
      <c r="FA598" s="1"/>
      <c r="FB598" s="1"/>
      <c r="FC598" s="1"/>
      <c r="FD598" s="1"/>
      <c r="FE598" s="1"/>
      <c r="FF598" s="1"/>
      <c r="FG598" s="1"/>
      <c r="FH598" s="1"/>
      <c r="FI598" s="1"/>
      <c r="FJ598" s="1"/>
      <c r="FK598" s="1"/>
      <c r="FL598" s="1"/>
      <c r="FM598" s="1"/>
      <c r="FN598" s="1"/>
      <c r="FO598" s="1"/>
      <c r="FP598" s="1"/>
      <c r="FQ598" s="1"/>
      <c r="FR598" s="2"/>
      <c r="FS598" s="1"/>
    </row>
    <row r="599" spans="1:175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R599" s="1"/>
      <c r="S599" s="1"/>
      <c r="T599" s="1"/>
      <c r="U599" s="1"/>
      <c r="V599" s="1"/>
      <c r="Y599" s="1"/>
      <c r="Z599" s="2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U599" s="1"/>
      <c r="AW599" s="1"/>
      <c r="AX599" s="1"/>
      <c r="AY599" s="1"/>
      <c r="AZ599" s="1"/>
      <c r="BA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  <c r="DC599" s="1"/>
      <c r="DD599" s="1"/>
      <c r="DE599" s="1"/>
      <c r="DF599" s="1"/>
      <c r="DG599" s="1"/>
      <c r="DH599" s="1"/>
      <c r="DI599" s="1"/>
      <c r="DJ599" s="1"/>
      <c r="DK599" s="1"/>
      <c r="DL599" s="1"/>
      <c r="DM599" s="1"/>
      <c r="DN599" s="1"/>
      <c r="DO599" s="1"/>
      <c r="DP599" s="1"/>
      <c r="DQ599" s="1"/>
      <c r="DR599" s="1"/>
      <c r="DS599" s="1"/>
      <c r="DT599" s="1"/>
      <c r="DU599" s="1"/>
      <c r="DV599" s="1"/>
      <c r="DW599" s="1"/>
      <c r="DX599" s="1"/>
      <c r="DY599" s="1"/>
      <c r="DZ599" s="1"/>
      <c r="EA599" s="1"/>
      <c r="EB599" s="1"/>
      <c r="EC599" s="1"/>
      <c r="ED599" s="1"/>
      <c r="EE599" s="1"/>
      <c r="EF599" s="1"/>
      <c r="EG599" s="1"/>
      <c r="EH599" s="1"/>
      <c r="EI599" s="1"/>
      <c r="EJ599" s="1"/>
      <c r="EK599" s="1"/>
      <c r="EL599" s="1"/>
      <c r="EM599" s="1"/>
      <c r="EN599" s="1"/>
      <c r="EO599" s="1"/>
      <c r="EP599" s="1"/>
      <c r="EQ599" s="1"/>
      <c r="ER599" s="1"/>
      <c r="ES599" s="1"/>
      <c r="ET599" s="1"/>
      <c r="EU599" s="1"/>
      <c r="EV599" s="1"/>
      <c r="EW599" s="1"/>
      <c r="EX599" s="1"/>
      <c r="EY599" s="1"/>
      <c r="EZ599" s="1"/>
      <c r="FA599" s="1"/>
      <c r="FB599" s="1"/>
      <c r="FC599" s="1"/>
      <c r="FD599" s="1"/>
      <c r="FE599" s="1"/>
      <c r="FF599" s="1"/>
      <c r="FG599" s="1"/>
      <c r="FH599" s="1"/>
      <c r="FI599" s="1"/>
      <c r="FJ599" s="1"/>
      <c r="FK599" s="1"/>
      <c r="FL599" s="1"/>
      <c r="FM599" s="1"/>
      <c r="FN599" s="1"/>
      <c r="FO599" s="1"/>
      <c r="FP599" s="1"/>
      <c r="FQ599" s="1"/>
      <c r="FR599" s="2"/>
      <c r="FS599" s="1"/>
    </row>
    <row r="600" spans="1:175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R600" s="1"/>
      <c r="S600" s="1"/>
      <c r="T600" s="1"/>
      <c r="U600" s="1"/>
      <c r="V600" s="1"/>
      <c r="Y600" s="1"/>
      <c r="Z600" s="2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U600" s="1"/>
      <c r="AW600" s="1"/>
      <c r="AX600" s="1"/>
      <c r="AY600" s="1"/>
      <c r="AZ600" s="1"/>
      <c r="BA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  <c r="DC600" s="1"/>
      <c r="DD600" s="1"/>
      <c r="DE600" s="1"/>
      <c r="DF600" s="1"/>
      <c r="DG600" s="1"/>
      <c r="DH600" s="1"/>
      <c r="DI600" s="1"/>
      <c r="DJ600" s="1"/>
      <c r="DK600" s="1"/>
      <c r="DL600" s="1"/>
      <c r="DM600" s="1"/>
      <c r="DN600" s="1"/>
      <c r="DO600" s="1"/>
      <c r="DP600" s="1"/>
      <c r="DQ600" s="1"/>
      <c r="DR600" s="1"/>
      <c r="DS600" s="1"/>
      <c r="DT600" s="1"/>
      <c r="DU600" s="1"/>
      <c r="DV600" s="1"/>
      <c r="DW600" s="1"/>
      <c r="DX600" s="1"/>
      <c r="DY600" s="1"/>
      <c r="DZ600" s="1"/>
      <c r="EA600" s="1"/>
      <c r="EB600" s="1"/>
      <c r="EC600" s="1"/>
      <c r="ED600" s="1"/>
      <c r="EE600" s="1"/>
      <c r="EF600" s="1"/>
      <c r="EG600" s="1"/>
      <c r="EH600" s="1"/>
      <c r="EI600" s="1"/>
      <c r="EJ600" s="1"/>
      <c r="EK600" s="1"/>
      <c r="EL600" s="1"/>
      <c r="EM600" s="1"/>
      <c r="EN600" s="1"/>
      <c r="EO600" s="1"/>
      <c r="EP600" s="1"/>
      <c r="EQ600" s="1"/>
      <c r="ER600" s="1"/>
      <c r="ES600" s="1"/>
      <c r="ET600" s="1"/>
      <c r="EU600" s="1"/>
      <c r="EV600" s="1"/>
      <c r="EW600" s="1"/>
      <c r="EX600" s="1"/>
      <c r="EY600" s="1"/>
      <c r="EZ600" s="1"/>
      <c r="FA600" s="1"/>
      <c r="FB600" s="1"/>
      <c r="FC600" s="1"/>
      <c r="FD600" s="1"/>
      <c r="FE600" s="1"/>
      <c r="FF600" s="1"/>
      <c r="FG600" s="1"/>
      <c r="FH600" s="1"/>
      <c r="FI600" s="1"/>
      <c r="FJ600" s="1"/>
      <c r="FK600" s="1"/>
      <c r="FL600" s="1"/>
      <c r="FM600" s="1"/>
      <c r="FN600" s="1"/>
      <c r="FO600" s="1"/>
      <c r="FP600" s="1"/>
      <c r="FQ600" s="1"/>
      <c r="FR600" s="2"/>
      <c r="FS600" s="1"/>
    </row>
    <row r="601" spans="1:175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R601" s="1"/>
      <c r="S601" s="1"/>
      <c r="T601" s="1"/>
      <c r="U601" s="1"/>
      <c r="V601" s="1"/>
      <c r="Y601" s="1"/>
      <c r="Z601" s="2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U601" s="1"/>
      <c r="AW601" s="1"/>
      <c r="AX601" s="1"/>
      <c r="AY601" s="1"/>
      <c r="AZ601" s="1"/>
      <c r="BA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  <c r="DC601" s="1"/>
      <c r="DD601" s="1"/>
      <c r="DE601" s="1"/>
      <c r="DF601" s="1"/>
      <c r="DG601" s="1"/>
      <c r="DH601" s="1"/>
      <c r="DI601" s="1"/>
      <c r="DJ601" s="1"/>
      <c r="DK601" s="1"/>
      <c r="DL601" s="1"/>
      <c r="DM601" s="1"/>
      <c r="DN601" s="1"/>
      <c r="DO601" s="1"/>
      <c r="DP601" s="1"/>
      <c r="DQ601" s="1"/>
      <c r="DR601" s="1"/>
      <c r="DS601" s="1"/>
      <c r="DT601" s="1"/>
      <c r="DU601" s="1"/>
      <c r="DV601" s="1"/>
      <c r="DW601" s="1"/>
      <c r="DX601" s="1"/>
      <c r="DY601" s="1"/>
      <c r="DZ601" s="1"/>
      <c r="EA601" s="1"/>
      <c r="EB601" s="1"/>
      <c r="EC601" s="1"/>
      <c r="ED601" s="1"/>
      <c r="EE601" s="1"/>
      <c r="EF601" s="1"/>
      <c r="EG601" s="1"/>
      <c r="EH601" s="1"/>
      <c r="EI601" s="1"/>
      <c r="EJ601" s="1"/>
      <c r="EK601" s="1"/>
      <c r="EL601" s="1"/>
      <c r="EM601" s="1"/>
      <c r="EN601" s="1"/>
      <c r="EO601" s="1"/>
      <c r="EP601" s="1"/>
      <c r="EQ601" s="1"/>
      <c r="ER601" s="1"/>
      <c r="ES601" s="1"/>
      <c r="ET601" s="1"/>
      <c r="EU601" s="1"/>
      <c r="EV601" s="1"/>
      <c r="EW601" s="1"/>
      <c r="EX601" s="1"/>
      <c r="EY601" s="1"/>
      <c r="EZ601" s="1"/>
      <c r="FA601" s="1"/>
      <c r="FB601" s="1"/>
      <c r="FC601" s="1"/>
      <c r="FD601" s="1"/>
      <c r="FE601" s="1"/>
      <c r="FF601" s="1"/>
      <c r="FG601" s="1"/>
      <c r="FH601" s="1"/>
      <c r="FI601" s="1"/>
      <c r="FJ601" s="1"/>
      <c r="FK601" s="1"/>
      <c r="FL601" s="1"/>
      <c r="FM601" s="1"/>
      <c r="FN601" s="1"/>
      <c r="FO601" s="1"/>
      <c r="FP601" s="1"/>
      <c r="FQ601" s="1"/>
      <c r="FR601" s="2"/>
      <c r="FS601" s="1"/>
    </row>
    <row r="602" spans="1:175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R602" s="1"/>
      <c r="S602" s="1"/>
      <c r="T602" s="1"/>
      <c r="U602" s="1"/>
      <c r="V602" s="1"/>
      <c r="Y602" s="1"/>
      <c r="Z602" s="2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U602" s="1"/>
      <c r="AW602" s="1"/>
      <c r="AX602" s="1"/>
      <c r="AY602" s="1"/>
      <c r="AZ602" s="1"/>
      <c r="BA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  <c r="DC602" s="1"/>
      <c r="DD602" s="1"/>
      <c r="DE602" s="1"/>
      <c r="DF602" s="1"/>
      <c r="DG602" s="1"/>
      <c r="DH602" s="1"/>
      <c r="DI602" s="1"/>
      <c r="DJ602" s="1"/>
      <c r="DK602" s="1"/>
      <c r="DL602" s="1"/>
      <c r="DM602" s="1"/>
      <c r="DN602" s="1"/>
      <c r="DO602" s="1"/>
      <c r="DP602" s="1"/>
      <c r="DQ602" s="1"/>
      <c r="DR602" s="1"/>
      <c r="DS602" s="1"/>
      <c r="DT602" s="1"/>
      <c r="DU602" s="1"/>
      <c r="DV602" s="1"/>
      <c r="DW602" s="1"/>
      <c r="DX602" s="1"/>
      <c r="DY602" s="1"/>
      <c r="DZ602" s="1"/>
      <c r="EA602" s="1"/>
      <c r="EB602" s="1"/>
      <c r="EC602" s="1"/>
      <c r="ED602" s="1"/>
      <c r="EE602" s="1"/>
      <c r="EF602" s="1"/>
      <c r="EG602" s="1"/>
      <c r="EH602" s="1"/>
      <c r="EI602" s="1"/>
      <c r="EJ602" s="1"/>
      <c r="EK602" s="1"/>
      <c r="EL602" s="1"/>
      <c r="EM602" s="1"/>
      <c r="EN602" s="1"/>
      <c r="EO602" s="1"/>
      <c r="EP602" s="1"/>
      <c r="EQ602" s="1"/>
      <c r="ER602" s="1"/>
      <c r="ES602" s="1"/>
      <c r="ET602" s="1"/>
      <c r="EU602" s="1"/>
      <c r="EV602" s="1"/>
      <c r="EW602" s="1"/>
      <c r="EX602" s="1"/>
      <c r="EY602" s="1"/>
      <c r="EZ602" s="1"/>
      <c r="FA602" s="1"/>
      <c r="FB602" s="1"/>
      <c r="FC602" s="1"/>
      <c r="FD602" s="1"/>
      <c r="FE602" s="1"/>
      <c r="FF602" s="1"/>
      <c r="FG602" s="1"/>
      <c r="FH602" s="1"/>
      <c r="FI602" s="1"/>
      <c r="FJ602" s="1"/>
      <c r="FK602" s="1"/>
      <c r="FL602" s="1"/>
      <c r="FM602" s="1"/>
      <c r="FN602" s="1"/>
      <c r="FO602" s="1"/>
      <c r="FP602" s="1"/>
      <c r="FQ602" s="1"/>
      <c r="FR602" s="2"/>
      <c r="FS602" s="1"/>
    </row>
    <row r="603" spans="1:175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R603" s="1"/>
      <c r="S603" s="1"/>
      <c r="T603" s="1"/>
      <c r="U603" s="1"/>
      <c r="V603" s="1"/>
      <c r="Y603" s="1"/>
      <c r="Z603" s="2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U603" s="1"/>
      <c r="AW603" s="1"/>
      <c r="AX603" s="1"/>
      <c r="AY603" s="1"/>
      <c r="AZ603" s="1"/>
      <c r="BA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  <c r="DC603" s="1"/>
      <c r="DD603" s="1"/>
      <c r="DE603" s="1"/>
      <c r="DF603" s="1"/>
      <c r="DG603" s="1"/>
      <c r="DH603" s="1"/>
      <c r="DI603" s="1"/>
      <c r="DJ603" s="1"/>
      <c r="DK603" s="1"/>
      <c r="DL603" s="1"/>
      <c r="DM603" s="1"/>
      <c r="DN603" s="1"/>
      <c r="DO603" s="1"/>
      <c r="DP603" s="1"/>
      <c r="DQ603" s="1"/>
      <c r="DR603" s="1"/>
      <c r="DS603" s="1"/>
      <c r="DT603" s="1"/>
      <c r="DU603" s="1"/>
      <c r="DV603" s="1"/>
      <c r="DW603" s="1"/>
      <c r="DX603" s="1"/>
      <c r="DY603" s="1"/>
      <c r="DZ603" s="1"/>
      <c r="EA603" s="1"/>
      <c r="EB603" s="1"/>
      <c r="EC603" s="1"/>
      <c r="ED603" s="1"/>
      <c r="EE603" s="1"/>
      <c r="EF603" s="1"/>
      <c r="EG603" s="1"/>
      <c r="EH603" s="1"/>
      <c r="EI603" s="1"/>
      <c r="EJ603" s="1"/>
      <c r="EK603" s="1"/>
      <c r="EL603" s="1"/>
      <c r="EM603" s="1"/>
      <c r="EN603" s="1"/>
      <c r="EO603" s="1"/>
      <c r="EP603" s="1"/>
      <c r="EQ603" s="1"/>
      <c r="ER603" s="1"/>
      <c r="ES603" s="1"/>
      <c r="ET603" s="1"/>
      <c r="EU603" s="1"/>
      <c r="EV603" s="1"/>
      <c r="EW603" s="1"/>
      <c r="EX603" s="1"/>
      <c r="EY603" s="1"/>
      <c r="EZ603" s="1"/>
      <c r="FA603" s="1"/>
      <c r="FB603" s="1"/>
      <c r="FC603" s="1"/>
      <c r="FD603" s="1"/>
      <c r="FE603" s="1"/>
      <c r="FF603" s="1"/>
      <c r="FG603" s="1"/>
      <c r="FH603" s="1"/>
      <c r="FI603" s="1"/>
      <c r="FJ603" s="1"/>
      <c r="FK603" s="1"/>
      <c r="FL603" s="1"/>
      <c r="FM603" s="1"/>
      <c r="FN603" s="1"/>
      <c r="FO603" s="1"/>
      <c r="FP603" s="1"/>
      <c r="FQ603" s="1"/>
      <c r="FR603" s="2"/>
      <c r="FS603" s="1"/>
    </row>
    <row r="604" spans="1:175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R604" s="1"/>
      <c r="S604" s="1"/>
      <c r="T604" s="1"/>
      <c r="U604" s="1"/>
      <c r="V604" s="1"/>
      <c r="Y604" s="1"/>
      <c r="Z604" s="2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U604" s="1"/>
      <c r="AW604" s="1"/>
      <c r="AX604" s="1"/>
      <c r="AY604" s="1"/>
      <c r="AZ604" s="1"/>
      <c r="BA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  <c r="DC604" s="1"/>
      <c r="DD604" s="1"/>
      <c r="DE604" s="1"/>
      <c r="DF604" s="1"/>
      <c r="DG604" s="1"/>
      <c r="DH604" s="1"/>
      <c r="DI604" s="1"/>
      <c r="DJ604" s="1"/>
      <c r="DK604" s="1"/>
      <c r="DL604" s="1"/>
      <c r="DM604" s="1"/>
      <c r="DN604" s="1"/>
      <c r="DO604" s="1"/>
      <c r="DP604" s="1"/>
      <c r="DQ604" s="1"/>
      <c r="DR604" s="1"/>
      <c r="DS604" s="1"/>
      <c r="DT604" s="1"/>
      <c r="DU604" s="1"/>
      <c r="DV604" s="1"/>
      <c r="DW604" s="1"/>
      <c r="DX604" s="1"/>
      <c r="DY604" s="1"/>
      <c r="DZ604" s="1"/>
      <c r="EA604" s="1"/>
      <c r="EB604" s="1"/>
      <c r="EC604" s="1"/>
      <c r="ED604" s="1"/>
      <c r="EE604" s="1"/>
      <c r="EF604" s="1"/>
      <c r="EG604" s="1"/>
      <c r="EH604" s="1"/>
      <c r="EI604" s="1"/>
      <c r="EJ604" s="1"/>
      <c r="EK604" s="1"/>
      <c r="EL604" s="1"/>
      <c r="EM604" s="1"/>
      <c r="EN604" s="1"/>
      <c r="EO604" s="1"/>
      <c r="EP604" s="1"/>
      <c r="EQ604" s="1"/>
      <c r="ER604" s="1"/>
      <c r="ES604" s="1"/>
      <c r="ET604" s="1"/>
      <c r="EU604" s="1"/>
      <c r="EV604" s="1"/>
      <c r="EW604" s="1"/>
      <c r="EX604" s="1"/>
      <c r="EY604" s="1"/>
      <c r="EZ604" s="1"/>
      <c r="FA604" s="1"/>
      <c r="FB604" s="1"/>
      <c r="FC604" s="1"/>
      <c r="FD604" s="1"/>
      <c r="FE604" s="1"/>
      <c r="FF604" s="1"/>
      <c r="FG604" s="1"/>
      <c r="FH604" s="1"/>
      <c r="FI604" s="1"/>
      <c r="FJ604" s="1"/>
      <c r="FK604" s="1"/>
      <c r="FL604" s="1"/>
      <c r="FM604" s="1"/>
      <c r="FN604" s="1"/>
      <c r="FO604" s="1"/>
      <c r="FP604" s="1"/>
      <c r="FQ604" s="1"/>
      <c r="FR604" s="2"/>
      <c r="FS604" s="1"/>
    </row>
    <row r="605" spans="1:175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R605" s="1"/>
      <c r="S605" s="1"/>
      <c r="T605" s="1"/>
      <c r="U605" s="1"/>
      <c r="V605" s="1"/>
      <c r="Y605" s="1"/>
      <c r="Z605" s="2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U605" s="1"/>
      <c r="AW605" s="1"/>
      <c r="AX605" s="1"/>
      <c r="AY605" s="1"/>
      <c r="AZ605" s="1"/>
      <c r="BA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  <c r="DC605" s="1"/>
      <c r="DD605" s="1"/>
      <c r="DE605" s="1"/>
      <c r="DF605" s="1"/>
      <c r="DG605" s="1"/>
      <c r="DH605" s="1"/>
      <c r="DI605" s="1"/>
      <c r="DJ605" s="1"/>
      <c r="DK605" s="1"/>
      <c r="DL605" s="1"/>
      <c r="DM605" s="1"/>
      <c r="DN605" s="1"/>
      <c r="DO605" s="1"/>
      <c r="DP605" s="1"/>
      <c r="DQ605" s="1"/>
      <c r="DR605" s="1"/>
      <c r="DS605" s="1"/>
      <c r="DT605" s="1"/>
      <c r="DU605" s="1"/>
      <c r="DV605" s="1"/>
      <c r="DW605" s="1"/>
      <c r="DX605" s="1"/>
      <c r="DY605" s="1"/>
      <c r="DZ605" s="1"/>
      <c r="EA605" s="1"/>
      <c r="EB605" s="1"/>
      <c r="EC605" s="1"/>
      <c r="ED605" s="1"/>
      <c r="EE605" s="1"/>
      <c r="EF605" s="1"/>
      <c r="EG605" s="1"/>
      <c r="EH605" s="1"/>
      <c r="EI605" s="1"/>
      <c r="EJ605" s="1"/>
      <c r="EK605" s="1"/>
      <c r="EL605" s="1"/>
      <c r="EM605" s="1"/>
      <c r="EN605" s="1"/>
      <c r="EO605" s="1"/>
      <c r="EP605" s="1"/>
      <c r="EQ605" s="1"/>
      <c r="ER605" s="1"/>
      <c r="ES605" s="1"/>
      <c r="ET605" s="1"/>
      <c r="EU605" s="1"/>
      <c r="EV605" s="1"/>
      <c r="EW605" s="1"/>
      <c r="EX605" s="1"/>
      <c r="EY605" s="1"/>
      <c r="EZ605" s="1"/>
      <c r="FA605" s="1"/>
      <c r="FB605" s="1"/>
      <c r="FC605" s="1"/>
      <c r="FD605" s="1"/>
      <c r="FE605" s="1"/>
      <c r="FF605" s="1"/>
      <c r="FG605" s="1"/>
      <c r="FH605" s="1"/>
      <c r="FI605" s="1"/>
      <c r="FJ605" s="1"/>
      <c r="FK605" s="1"/>
      <c r="FL605" s="1"/>
      <c r="FM605" s="1"/>
      <c r="FN605" s="1"/>
      <c r="FO605" s="1"/>
      <c r="FP605" s="1"/>
      <c r="FQ605" s="1"/>
      <c r="FR605" s="2"/>
      <c r="FS605" s="1"/>
    </row>
    <row r="606" spans="1:175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R606" s="1"/>
      <c r="S606" s="1"/>
      <c r="T606" s="1"/>
      <c r="U606" s="1"/>
      <c r="V606" s="1"/>
      <c r="Y606" s="1"/>
      <c r="Z606" s="2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U606" s="1"/>
      <c r="AW606" s="1"/>
      <c r="AX606" s="1"/>
      <c r="AY606" s="1"/>
      <c r="AZ606" s="1"/>
      <c r="BA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  <c r="DC606" s="1"/>
      <c r="DD606" s="1"/>
      <c r="DE606" s="1"/>
      <c r="DF606" s="1"/>
      <c r="DG606" s="1"/>
      <c r="DH606" s="1"/>
      <c r="DI606" s="1"/>
      <c r="DJ606" s="1"/>
      <c r="DK606" s="1"/>
      <c r="DL606" s="1"/>
      <c r="DM606" s="1"/>
      <c r="DN606" s="1"/>
      <c r="DO606" s="1"/>
      <c r="DP606" s="1"/>
      <c r="DQ606" s="1"/>
      <c r="DR606" s="1"/>
      <c r="DS606" s="1"/>
      <c r="DT606" s="1"/>
      <c r="DU606" s="1"/>
      <c r="DV606" s="1"/>
      <c r="DW606" s="1"/>
      <c r="DX606" s="1"/>
      <c r="DY606" s="1"/>
      <c r="DZ606" s="1"/>
      <c r="EA606" s="1"/>
      <c r="EB606" s="1"/>
      <c r="EC606" s="1"/>
      <c r="ED606" s="1"/>
      <c r="EE606" s="1"/>
      <c r="EF606" s="1"/>
      <c r="EG606" s="1"/>
      <c r="EH606" s="1"/>
      <c r="EI606" s="1"/>
      <c r="EJ606" s="1"/>
      <c r="EK606" s="1"/>
      <c r="EL606" s="1"/>
      <c r="EM606" s="1"/>
      <c r="EN606" s="1"/>
      <c r="EO606" s="1"/>
      <c r="EP606" s="1"/>
      <c r="EQ606" s="1"/>
      <c r="ER606" s="1"/>
      <c r="ES606" s="1"/>
      <c r="ET606" s="1"/>
      <c r="EU606" s="1"/>
      <c r="EV606" s="1"/>
      <c r="EW606" s="1"/>
      <c r="EX606" s="1"/>
      <c r="EY606" s="1"/>
      <c r="EZ606" s="1"/>
      <c r="FA606" s="1"/>
      <c r="FB606" s="1"/>
      <c r="FC606" s="1"/>
      <c r="FD606" s="1"/>
      <c r="FE606" s="1"/>
      <c r="FF606" s="1"/>
      <c r="FG606" s="1"/>
      <c r="FH606" s="1"/>
      <c r="FI606" s="1"/>
      <c r="FJ606" s="1"/>
      <c r="FK606" s="1"/>
      <c r="FL606" s="1"/>
      <c r="FM606" s="1"/>
      <c r="FN606" s="1"/>
      <c r="FO606" s="1"/>
      <c r="FP606" s="1"/>
      <c r="FQ606" s="1"/>
      <c r="FR606" s="2"/>
      <c r="FS606" s="1"/>
    </row>
    <row r="607" spans="1:175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R607" s="1"/>
      <c r="S607" s="1"/>
      <c r="T607" s="1"/>
      <c r="U607" s="1"/>
      <c r="V607" s="1"/>
      <c r="Y607" s="1"/>
      <c r="Z607" s="2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U607" s="1"/>
      <c r="AW607" s="1"/>
      <c r="AX607" s="1"/>
      <c r="AY607" s="1"/>
      <c r="AZ607" s="1"/>
      <c r="BA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  <c r="DC607" s="1"/>
      <c r="DD607" s="1"/>
      <c r="DE607" s="1"/>
      <c r="DF607" s="1"/>
      <c r="DG607" s="1"/>
      <c r="DH607" s="1"/>
      <c r="DI607" s="1"/>
      <c r="DJ607" s="1"/>
      <c r="DK607" s="1"/>
      <c r="DL607" s="1"/>
      <c r="DM607" s="1"/>
      <c r="DN607" s="1"/>
      <c r="DO607" s="1"/>
      <c r="DP607" s="1"/>
      <c r="DQ607" s="1"/>
      <c r="DR607" s="1"/>
      <c r="DS607" s="1"/>
      <c r="DT607" s="1"/>
      <c r="DU607" s="1"/>
      <c r="DV607" s="1"/>
      <c r="DW607" s="1"/>
      <c r="DX607" s="1"/>
      <c r="DY607" s="1"/>
      <c r="DZ607" s="1"/>
      <c r="EA607" s="1"/>
      <c r="EB607" s="1"/>
      <c r="EC607" s="1"/>
      <c r="ED607" s="1"/>
      <c r="EE607" s="1"/>
      <c r="EF607" s="1"/>
      <c r="EG607" s="1"/>
      <c r="EH607" s="1"/>
      <c r="EI607" s="1"/>
      <c r="EJ607" s="1"/>
      <c r="EK607" s="1"/>
      <c r="EL607" s="1"/>
      <c r="EM607" s="1"/>
      <c r="EN607" s="1"/>
      <c r="EO607" s="1"/>
      <c r="EP607" s="1"/>
      <c r="EQ607" s="1"/>
      <c r="ER607" s="1"/>
      <c r="ES607" s="1"/>
      <c r="ET607" s="1"/>
      <c r="EU607" s="1"/>
      <c r="EV607" s="1"/>
      <c r="EW607" s="1"/>
      <c r="EX607" s="1"/>
      <c r="EY607" s="1"/>
      <c r="EZ607" s="1"/>
      <c r="FA607" s="1"/>
      <c r="FB607" s="1"/>
      <c r="FC607" s="1"/>
      <c r="FD607" s="1"/>
      <c r="FE607" s="1"/>
      <c r="FF607" s="1"/>
      <c r="FG607" s="1"/>
      <c r="FH607" s="1"/>
      <c r="FI607" s="1"/>
      <c r="FJ607" s="1"/>
      <c r="FK607" s="1"/>
      <c r="FL607" s="1"/>
      <c r="FM607" s="1"/>
      <c r="FN607" s="1"/>
      <c r="FO607" s="1"/>
      <c r="FP607" s="1"/>
      <c r="FQ607" s="1"/>
      <c r="FR607" s="2"/>
      <c r="FS607" s="1"/>
    </row>
    <row r="608" spans="1:175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R608" s="1"/>
      <c r="S608" s="1"/>
      <c r="T608" s="1"/>
      <c r="U608" s="1"/>
      <c r="V608" s="1"/>
      <c r="Y608" s="1"/>
      <c r="Z608" s="2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U608" s="1"/>
      <c r="AW608" s="1"/>
      <c r="AX608" s="1"/>
      <c r="AY608" s="1"/>
      <c r="AZ608" s="1"/>
      <c r="BA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  <c r="DC608" s="1"/>
      <c r="DD608" s="1"/>
      <c r="DE608" s="1"/>
      <c r="DF608" s="1"/>
      <c r="DG608" s="1"/>
      <c r="DH608" s="1"/>
      <c r="DI608" s="1"/>
      <c r="DJ608" s="1"/>
      <c r="DK608" s="1"/>
      <c r="DL608" s="1"/>
      <c r="DM608" s="1"/>
      <c r="DN608" s="1"/>
      <c r="DO608" s="1"/>
      <c r="DP608" s="1"/>
      <c r="DQ608" s="1"/>
      <c r="DR608" s="1"/>
      <c r="DS608" s="1"/>
      <c r="DT608" s="1"/>
      <c r="DU608" s="1"/>
      <c r="DV608" s="1"/>
      <c r="DW608" s="1"/>
      <c r="DX608" s="1"/>
      <c r="DY608" s="1"/>
      <c r="DZ608" s="1"/>
      <c r="EA608" s="1"/>
      <c r="EB608" s="1"/>
      <c r="EC608" s="1"/>
      <c r="ED608" s="1"/>
      <c r="EE608" s="1"/>
      <c r="EF608" s="1"/>
      <c r="EG608" s="1"/>
      <c r="EH608" s="1"/>
      <c r="EI608" s="1"/>
      <c r="EJ608" s="1"/>
      <c r="EK608" s="1"/>
      <c r="EL608" s="1"/>
      <c r="EM608" s="1"/>
      <c r="EN608" s="1"/>
      <c r="EO608" s="1"/>
      <c r="EP608" s="1"/>
      <c r="EQ608" s="1"/>
      <c r="ER608" s="1"/>
      <c r="ES608" s="1"/>
      <c r="ET608" s="1"/>
      <c r="EU608" s="1"/>
      <c r="EV608" s="1"/>
      <c r="EW608" s="1"/>
      <c r="EX608" s="1"/>
      <c r="EY608" s="1"/>
      <c r="EZ608" s="1"/>
      <c r="FA608" s="1"/>
      <c r="FB608" s="1"/>
      <c r="FC608" s="1"/>
      <c r="FD608" s="1"/>
      <c r="FE608" s="1"/>
      <c r="FF608" s="1"/>
      <c r="FG608" s="1"/>
      <c r="FH608" s="1"/>
      <c r="FI608" s="1"/>
      <c r="FJ608" s="1"/>
      <c r="FK608" s="1"/>
      <c r="FL608" s="1"/>
      <c r="FM608" s="1"/>
      <c r="FN608" s="1"/>
      <c r="FO608" s="1"/>
      <c r="FP608" s="1"/>
      <c r="FQ608" s="1"/>
      <c r="FR608" s="2"/>
      <c r="FS608" s="1"/>
    </row>
    <row r="609" spans="1:175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R609" s="1"/>
      <c r="S609" s="1"/>
      <c r="T609" s="1"/>
      <c r="U609" s="1"/>
      <c r="V609" s="1"/>
      <c r="Y609" s="1"/>
      <c r="Z609" s="2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U609" s="1"/>
      <c r="AW609" s="1"/>
      <c r="AX609" s="1"/>
      <c r="AY609" s="1"/>
      <c r="AZ609" s="1"/>
      <c r="BA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  <c r="DC609" s="1"/>
      <c r="DD609" s="1"/>
      <c r="DE609" s="1"/>
      <c r="DF609" s="1"/>
      <c r="DG609" s="1"/>
      <c r="DH609" s="1"/>
      <c r="DI609" s="1"/>
      <c r="DJ609" s="1"/>
      <c r="DK609" s="1"/>
      <c r="DL609" s="1"/>
      <c r="DM609" s="1"/>
      <c r="DN609" s="1"/>
      <c r="DO609" s="1"/>
      <c r="DP609" s="1"/>
      <c r="DQ609" s="1"/>
      <c r="DR609" s="1"/>
      <c r="DS609" s="1"/>
      <c r="DT609" s="1"/>
      <c r="DU609" s="1"/>
      <c r="DV609" s="1"/>
      <c r="DW609" s="1"/>
      <c r="DX609" s="1"/>
      <c r="DY609" s="1"/>
      <c r="DZ609" s="1"/>
      <c r="EA609" s="1"/>
      <c r="EB609" s="1"/>
      <c r="EC609" s="1"/>
      <c r="ED609" s="1"/>
      <c r="EE609" s="1"/>
      <c r="EF609" s="1"/>
      <c r="EG609" s="1"/>
      <c r="EH609" s="1"/>
      <c r="EI609" s="1"/>
      <c r="EJ609" s="1"/>
      <c r="EK609" s="1"/>
      <c r="EL609" s="1"/>
      <c r="EM609" s="1"/>
      <c r="EN609" s="1"/>
      <c r="EO609" s="1"/>
      <c r="EP609" s="1"/>
      <c r="EQ609" s="1"/>
      <c r="ER609" s="1"/>
      <c r="ES609" s="1"/>
      <c r="ET609" s="1"/>
      <c r="EU609" s="1"/>
      <c r="EV609" s="1"/>
      <c r="EW609" s="1"/>
      <c r="EX609" s="1"/>
      <c r="EY609" s="1"/>
      <c r="EZ609" s="1"/>
      <c r="FA609" s="1"/>
      <c r="FB609" s="1"/>
      <c r="FC609" s="1"/>
      <c r="FD609" s="1"/>
      <c r="FE609" s="1"/>
      <c r="FF609" s="1"/>
      <c r="FG609" s="1"/>
      <c r="FH609" s="1"/>
      <c r="FI609" s="1"/>
      <c r="FJ609" s="1"/>
      <c r="FK609" s="1"/>
      <c r="FL609" s="1"/>
      <c r="FM609" s="1"/>
      <c r="FN609" s="1"/>
      <c r="FO609" s="1"/>
      <c r="FP609" s="1"/>
      <c r="FQ609" s="1"/>
      <c r="FR609" s="2"/>
      <c r="FS609" s="1"/>
    </row>
    <row r="610" spans="1:175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R610" s="1"/>
      <c r="S610" s="1"/>
      <c r="T610" s="1"/>
      <c r="U610" s="1"/>
      <c r="V610" s="1"/>
      <c r="Y610" s="1"/>
      <c r="Z610" s="2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U610" s="1"/>
      <c r="AW610" s="1"/>
      <c r="AX610" s="1"/>
      <c r="AY610" s="1"/>
      <c r="AZ610" s="1"/>
      <c r="BA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  <c r="DC610" s="1"/>
      <c r="DD610" s="1"/>
      <c r="DE610" s="1"/>
      <c r="DF610" s="1"/>
      <c r="DG610" s="1"/>
      <c r="DH610" s="1"/>
      <c r="DI610" s="1"/>
      <c r="DJ610" s="1"/>
      <c r="DK610" s="1"/>
      <c r="DL610" s="1"/>
      <c r="DM610" s="1"/>
      <c r="DN610" s="1"/>
      <c r="DO610" s="1"/>
      <c r="DP610" s="1"/>
      <c r="DQ610" s="1"/>
      <c r="DR610" s="1"/>
      <c r="DS610" s="1"/>
      <c r="DT610" s="1"/>
      <c r="DU610" s="1"/>
      <c r="DV610" s="1"/>
      <c r="DW610" s="1"/>
      <c r="DX610" s="1"/>
      <c r="DY610" s="1"/>
      <c r="DZ610" s="1"/>
      <c r="EA610" s="1"/>
      <c r="EB610" s="1"/>
      <c r="EC610" s="1"/>
      <c r="ED610" s="1"/>
      <c r="EE610" s="1"/>
      <c r="EF610" s="1"/>
      <c r="EG610" s="1"/>
      <c r="EH610" s="1"/>
      <c r="EI610" s="1"/>
      <c r="EJ610" s="1"/>
      <c r="EK610" s="1"/>
      <c r="EL610" s="1"/>
      <c r="EM610" s="1"/>
      <c r="EN610" s="1"/>
      <c r="EO610" s="1"/>
      <c r="EP610" s="1"/>
      <c r="EQ610" s="1"/>
      <c r="ER610" s="1"/>
      <c r="ES610" s="1"/>
      <c r="ET610" s="1"/>
      <c r="EU610" s="1"/>
      <c r="EV610" s="1"/>
      <c r="EW610" s="1"/>
      <c r="EX610" s="1"/>
      <c r="EY610" s="1"/>
      <c r="EZ610" s="1"/>
      <c r="FA610" s="1"/>
      <c r="FB610" s="1"/>
      <c r="FC610" s="1"/>
      <c r="FD610" s="1"/>
      <c r="FE610" s="1"/>
      <c r="FF610" s="1"/>
      <c r="FG610" s="1"/>
      <c r="FH610" s="1"/>
      <c r="FI610" s="1"/>
      <c r="FJ610" s="1"/>
      <c r="FK610" s="1"/>
      <c r="FL610" s="1"/>
      <c r="FM610" s="1"/>
      <c r="FN610" s="1"/>
      <c r="FO610" s="1"/>
      <c r="FP610" s="1"/>
      <c r="FQ610" s="1"/>
      <c r="FR610" s="2"/>
      <c r="FS610" s="1"/>
    </row>
    <row r="611" spans="1:175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R611" s="1"/>
      <c r="S611" s="1"/>
      <c r="T611" s="1"/>
      <c r="U611" s="1"/>
      <c r="V611" s="1"/>
      <c r="Y611" s="1"/>
      <c r="Z611" s="2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U611" s="1"/>
      <c r="AW611" s="1"/>
      <c r="AX611" s="1"/>
      <c r="AY611" s="1"/>
      <c r="AZ611" s="1"/>
      <c r="BA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  <c r="DC611" s="1"/>
      <c r="DD611" s="1"/>
      <c r="DE611" s="1"/>
      <c r="DF611" s="1"/>
      <c r="DG611" s="1"/>
      <c r="DH611" s="1"/>
      <c r="DI611" s="1"/>
      <c r="DJ611" s="1"/>
      <c r="DK611" s="1"/>
      <c r="DL611" s="1"/>
      <c r="DM611" s="1"/>
      <c r="DN611" s="1"/>
      <c r="DO611" s="1"/>
      <c r="DP611" s="1"/>
      <c r="DQ611" s="1"/>
      <c r="DR611" s="1"/>
      <c r="DS611" s="1"/>
      <c r="DT611" s="1"/>
      <c r="DU611" s="1"/>
      <c r="DV611" s="1"/>
      <c r="DW611" s="1"/>
      <c r="DX611" s="1"/>
      <c r="DY611" s="1"/>
      <c r="DZ611" s="1"/>
      <c r="EA611" s="1"/>
      <c r="EB611" s="1"/>
      <c r="EC611" s="1"/>
      <c r="ED611" s="1"/>
      <c r="EE611" s="1"/>
      <c r="EF611" s="1"/>
      <c r="EG611" s="1"/>
      <c r="EH611" s="1"/>
      <c r="EI611" s="1"/>
      <c r="EJ611" s="1"/>
      <c r="EK611" s="1"/>
      <c r="EL611" s="1"/>
      <c r="EM611" s="1"/>
      <c r="EN611" s="1"/>
      <c r="EO611" s="1"/>
      <c r="EP611" s="1"/>
      <c r="EQ611" s="1"/>
      <c r="ER611" s="1"/>
      <c r="ES611" s="1"/>
      <c r="ET611" s="1"/>
      <c r="EU611" s="1"/>
      <c r="EV611" s="1"/>
      <c r="EW611" s="1"/>
      <c r="EX611" s="1"/>
      <c r="EY611" s="1"/>
      <c r="EZ611" s="1"/>
      <c r="FA611" s="1"/>
      <c r="FB611" s="1"/>
      <c r="FC611" s="1"/>
      <c r="FD611" s="1"/>
      <c r="FE611" s="1"/>
      <c r="FF611" s="1"/>
      <c r="FG611" s="1"/>
      <c r="FH611" s="1"/>
      <c r="FI611" s="1"/>
      <c r="FJ611" s="1"/>
      <c r="FK611" s="1"/>
      <c r="FL611" s="1"/>
      <c r="FM611" s="1"/>
      <c r="FN611" s="1"/>
      <c r="FO611" s="1"/>
      <c r="FP611" s="1"/>
      <c r="FQ611" s="1"/>
      <c r="FR611" s="2"/>
      <c r="FS611" s="1"/>
    </row>
    <row r="612" spans="1:175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R612" s="1"/>
      <c r="S612" s="1"/>
      <c r="T612" s="1"/>
      <c r="U612" s="1"/>
      <c r="V612" s="1"/>
      <c r="Y612" s="1"/>
      <c r="Z612" s="2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U612" s="1"/>
      <c r="AW612" s="1"/>
      <c r="AX612" s="1"/>
      <c r="AY612" s="1"/>
      <c r="AZ612" s="1"/>
      <c r="BA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  <c r="DC612" s="1"/>
      <c r="DD612" s="1"/>
      <c r="DE612" s="1"/>
      <c r="DF612" s="1"/>
      <c r="DG612" s="1"/>
      <c r="DH612" s="1"/>
      <c r="DI612" s="1"/>
      <c r="DJ612" s="1"/>
      <c r="DK612" s="1"/>
      <c r="DL612" s="1"/>
      <c r="DM612" s="1"/>
      <c r="DN612" s="1"/>
      <c r="DO612" s="1"/>
      <c r="DP612" s="1"/>
      <c r="DQ612" s="1"/>
      <c r="DR612" s="1"/>
      <c r="DS612" s="1"/>
      <c r="DT612" s="1"/>
      <c r="DU612" s="1"/>
      <c r="DV612" s="1"/>
      <c r="DW612" s="1"/>
      <c r="DX612" s="1"/>
      <c r="DY612" s="1"/>
      <c r="DZ612" s="1"/>
      <c r="EA612" s="1"/>
      <c r="EB612" s="1"/>
      <c r="EC612" s="1"/>
      <c r="ED612" s="1"/>
      <c r="EE612" s="1"/>
      <c r="EF612" s="1"/>
      <c r="EG612" s="1"/>
      <c r="EH612" s="1"/>
      <c r="EI612" s="1"/>
      <c r="EJ612" s="1"/>
      <c r="EK612" s="1"/>
      <c r="EL612" s="1"/>
      <c r="EM612" s="1"/>
      <c r="EN612" s="1"/>
      <c r="EO612" s="1"/>
      <c r="EP612" s="1"/>
      <c r="EQ612" s="1"/>
      <c r="ER612" s="1"/>
      <c r="ES612" s="1"/>
      <c r="ET612" s="1"/>
      <c r="EU612" s="1"/>
      <c r="EV612" s="1"/>
      <c r="EW612" s="1"/>
      <c r="EX612" s="1"/>
      <c r="EY612" s="1"/>
      <c r="EZ612" s="1"/>
      <c r="FA612" s="1"/>
      <c r="FB612" s="1"/>
      <c r="FC612" s="1"/>
      <c r="FD612" s="1"/>
      <c r="FE612" s="1"/>
      <c r="FF612" s="1"/>
      <c r="FG612" s="1"/>
      <c r="FH612" s="1"/>
      <c r="FI612" s="1"/>
      <c r="FJ612" s="1"/>
      <c r="FK612" s="1"/>
      <c r="FL612" s="1"/>
      <c r="FM612" s="1"/>
      <c r="FN612" s="1"/>
      <c r="FO612" s="1"/>
      <c r="FP612" s="1"/>
      <c r="FQ612" s="1"/>
      <c r="FR612" s="2"/>
      <c r="FS612" s="1"/>
    </row>
    <row r="613" spans="1:175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R613" s="1"/>
      <c r="S613" s="1"/>
      <c r="T613" s="1"/>
      <c r="U613" s="1"/>
      <c r="V613" s="1"/>
      <c r="Y613" s="1"/>
      <c r="Z613" s="2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U613" s="1"/>
      <c r="AW613" s="1"/>
      <c r="AX613" s="1"/>
      <c r="AY613" s="1"/>
      <c r="AZ613" s="1"/>
      <c r="BA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  <c r="DC613" s="1"/>
      <c r="DD613" s="1"/>
      <c r="DE613" s="1"/>
      <c r="DF613" s="1"/>
      <c r="DG613" s="1"/>
      <c r="DH613" s="1"/>
      <c r="DI613" s="1"/>
      <c r="DJ613" s="1"/>
      <c r="DK613" s="1"/>
      <c r="DL613" s="1"/>
      <c r="DM613" s="1"/>
      <c r="DN613" s="1"/>
      <c r="DO613" s="1"/>
      <c r="DP613" s="1"/>
      <c r="DQ613" s="1"/>
      <c r="DR613" s="1"/>
      <c r="DS613" s="1"/>
      <c r="DT613" s="1"/>
      <c r="DU613" s="1"/>
      <c r="DV613" s="1"/>
      <c r="DW613" s="1"/>
      <c r="DX613" s="1"/>
      <c r="DY613" s="1"/>
      <c r="DZ613" s="1"/>
      <c r="EA613" s="1"/>
      <c r="EB613" s="1"/>
      <c r="EC613" s="1"/>
      <c r="ED613" s="1"/>
      <c r="EE613" s="1"/>
      <c r="EF613" s="1"/>
      <c r="EG613" s="1"/>
      <c r="EH613" s="1"/>
      <c r="EI613" s="1"/>
      <c r="EJ613" s="1"/>
      <c r="EK613" s="1"/>
      <c r="EL613" s="1"/>
      <c r="EM613" s="1"/>
      <c r="EN613" s="1"/>
      <c r="EO613" s="1"/>
      <c r="EP613" s="1"/>
      <c r="EQ613" s="1"/>
      <c r="ER613" s="1"/>
      <c r="ES613" s="1"/>
      <c r="ET613" s="1"/>
      <c r="EU613" s="1"/>
      <c r="EV613" s="1"/>
      <c r="EW613" s="1"/>
      <c r="EX613" s="1"/>
      <c r="EY613" s="1"/>
      <c r="EZ613" s="1"/>
      <c r="FA613" s="1"/>
      <c r="FB613" s="1"/>
      <c r="FC613" s="1"/>
      <c r="FD613" s="1"/>
      <c r="FE613" s="1"/>
      <c r="FF613" s="1"/>
      <c r="FG613" s="1"/>
      <c r="FH613" s="1"/>
      <c r="FI613" s="1"/>
      <c r="FJ613" s="1"/>
      <c r="FK613" s="1"/>
      <c r="FL613" s="1"/>
      <c r="FM613" s="1"/>
      <c r="FN613" s="1"/>
      <c r="FO613" s="1"/>
      <c r="FP613" s="1"/>
      <c r="FQ613" s="1"/>
      <c r="FR613" s="2"/>
      <c r="FS613" s="1"/>
    </row>
    <row r="614" spans="1:175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R614" s="1"/>
      <c r="S614" s="1"/>
      <c r="T614" s="1"/>
      <c r="U614" s="1"/>
      <c r="V614" s="1"/>
      <c r="Y614" s="1"/>
      <c r="Z614" s="2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U614" s="1"/>
      <c r="AW614" s="1"/>
      <c r="AX614" s="1"/>
      <c r="AY614" s="1"/>
      <c r="AZ614" s="1"/>
      <c r="BA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  <c r="DC614" s="1"/>
      <c r="DD614" s="1"/>
      <c r="DE614" s="1"/>
      <c r="DF614" s="1"/>
      <c r="DG614" s="1"/>
      <c r="DH614" s="1"/>
      <c r="DI614" s="1"/>
      <c r="DJ614" s="1"/>
      <c r="DK614" s="1"/>
      <c r="DL614" s="1"/>
      <c r="DM614" s="1"/>
      <c r="DN614" s="1"/>
      <c r="DO614" s="1"/>
      <c r="DP614" s="1"/>
      <c r="DQ614" s="1"/>
      <c r="DR614" s="1"/>
      <c r="DS614" s="1"/>
      <c r="DT614" s="1"/>
      <c r="DU614" s="1"/>
      <c r="DV614" s="1"/>
      <c r="DW614" s="1"/>
      <c r="DX614" s="1"/>
      <c r="DY614" s="1"/>
      <c r="DZ614" s="1"/>
      <c r="EA614" s="1"/>
      <c r="EB614" s="1"/>
      <c r="EC614" s="1"/>
      <c r="ED614" s="1"/>
      <c r="EE614" s="1"/>
      <c r="EF614" s="1"/>
      <c r="EG614" s="1"/>
      <c r="EH614" s="1"/>
      <c r="EI614" s="1"/>
      <c r="EJ614" s="1"/>
      <c r="EK614" s="1"/>
      <c r="EL614" s="1"/>
      <c r="EM614" s="1"/>
      <c r="EN614" s="1"/>
      <c r="EO614" s="1"/>
      <c r="EP614" s="1"/>
      <c r="EQ614" s="1"/>
      <c r="ER614" s="1"/>
      <c r="ES614" s="1"/>
      <c r="ET614" s="1"/>
      <c r="EU614" s="1"/>
      <c r="EV614" s="1"/>
      <c r="EW614" s="1"/>
      <c r="EX614" s="1"/>
      <c r="EY614" s="1"/>
      <c r="EZ614" s="1"/>
      <c r="FA614" s="1"/>
      <c r="FB614" s="1"/>
      <c r="FC614" s="1"/>
      <c r="FD614" s="1"/>
      <c r="FE614" s="1"/>
      <c r="FF614" s="1"/>
      <c r="FG614" s="1"/>
      <c r="FH614" s="1"/>
      <c r="FI614" s="1"/>
      <c r="FJ614" s="1"/>
      <c r="FK614" s="1"/>
      <c r="FL614" s="1"/>
      <c r="FM614" s="1"/>
      <c r="FN614" s="1"/>
      <c r="FO614" s="1"/>
      <c r="FP614" s="1"/>
      <c r="FQ614" s="1"/>
      <c r="FR614" s="2"/>
      <c r="FS614" s="1"/>
    </row>
    <row r="615" spans="1:175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R615" s="1"/>
      <c r="S615" s="1"/>
      <c r="T615" s="1"/>
      <c r="U615" s="1"/>
      <c r="V615" s="1"/>
      <c r="Y615" s="1"/>
      <c r="Z615" s="2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U615" s="1"/>
      <c r="AW615" s="1"/>
      <c r="AX615" s="1"/>
      <c r="AY615" s="1"/>
      <c r="AZ615" s="1"/>
      <c r="BA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  <c r="DC615" s="1"/>
      <c r="DD615" s="1"/>
      <c r="DE615" s="1"/>
      <c r="DF615" s="1"/>
      <c r="DG615" s="1"/>
      <c r="DH615" s="1"/>
      <c r="DI615" s="1"/>
      <c r="DJ615" s="1"/>
      <c r="DK615" s="1"/>
      <c r="DL615" s="1"/>
      <c r="DM615" s="1"/>
      <c r="DN615" s="1"/>
      <c r="DO615" s="1"/>
      <c r="DP615" s="1"/>
      <c r="DQ615" s="1"/>
      <c r="DR615" s="1"/>
      <c r="DS615" s="1"/>
      <c r="DT615" s="1"/>
      <c r="DU615" s="1"/>
      <c r="DV615" s="1"/>
      <c r="DW615" s="1"/>
      <c r="DX615" s="1"/>
      <c r="DY615" s="1"/>
      <c r="DZ615" s="1"/>
      <c r="EA615" s="1"/>
      <c r="EB615" s="1"/>
      <c r="EC615" s="1"/>
      <c r="ED615" s="1"/>
      <c r="EE615" s="1"/>
      <c r="EF615" s="1"/>
      <c r="EG615" s="1"/>
      <c r="EH615" s="1"/>
      <c r="EI615" s="1"/>
      <c r="EJ615" s="1"/>
      <c r="EK615" s="1"/>
      <c r="EL615" s="1"/>
      <c r="EM615" s="1"/>
      <c r="EN615" s="1"/>
      <c r="EO615" s="1"/>
      <c r="EP615" s="1"/>
      <c r="EQ615" s="1"/>
      <c r="ER615" s="1"/>
      <c r="ES615" s="1"/>
      <c r="ET615" s="1"/>
      <c r="EU615" s="1"/>
      <c r="EV615" s="1"/>
      <c r="EW615" s="1"/>
      <c r="EX615" s="1"/>
      <c r="EY615" s="1"/>
      <c r="EZ615" s="1"/>
      <c r="FA615" s="1"/>
      <c r="FB615" s="1"/>
      <c r="FC615" s="1"/>
      <c r="FD615" s="1"/>
      <c r="FE615" s="1"/>
      <c r="FF615" s="1"/>
      <c r="FG615" s="1"/>
      <c r="FH615" s="1"/>
      <c r="FI615" s="1"/>
      <c r="FJ615" s="1"/>
      <c r="FK615" s="1"/>
      <c r="FL615" s="1"/>
      <c r="FM615" s="1"/>
      <c r="FN615" s="1"/>
      <c r="FO615" s="1"/>
      <c r="FP615" s="1"/>
      <c r="FQ615" s="1"/>
      <c r="FR615" s="2"/>
      <c r="FS615" s="1"/>
    </row>
    <row r="616" spans="1:175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R616" s="1"/>
      <c r="S616" s="1"/>
      <c r="T616" s="1"/>
      <c r="U616" s="1"/>
      <c r="V616" s="1"/>
      <c r="Y616" s="1"/>
      <c r="Z616" s="2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U616" s="1"/>
      <c r="AW616" s="1"/>
      <c r="AX616" s="1"/>
      <c r="AY616" s="1"/>
      <c r="AZ616" s="1"/>
      <c r="BA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  <c r="DC616" s="1"/>
      <c r="DD616" s="1"/>
      <c r="DE616" s="1"/>
      <c r="DF616" s="1"/>
      <c r="DG616" s="1"/>
      <c r="DH616" s="1"/>
      <c r="DI616" s="1"/>
      <c r="DJ616" s="1"/>
      <c r="DK616" s="1"/>
      <c r="DL616" s="1"/>
      <c r="DM616" s="1"/>
      <c r="DN616" s="1"/>
      <c r="DO616" s="1"/>
      <c r="DP616" s="1"/>
      <c r="DQ616" s="1"/>
      <c r="DR616" s="1"/>
      <c r="DS616" s="1"/>
      <c r="DT616" s="1"/>
      <c r="DU616" s="1"/>
      <c r="DV616" s="1"/>
      <c r="DW616" s="1"/>
      <c r="DX616" s="1"/>
      <c r="DY616" s="1"/>
      <c r="DZ616" s="1"/>
      <c r="EA616" s="1"/>
      <c r="EB616" s="1"/>
      <c r="EC616" s="1"/>
      <c r="ED616" s="1"/>
      <c r="EE616" s="1"/>
      <c r="EF616" s="1"/>
      <c r="EG616" s="1"/>
      <c r="EH616" s="1"/>
      <c r="EI616" s="1"/>
      <c r="EJ616" s="1"/>
      <c r="EK616" s="1"/>
      <c r="EL616" s="1"/>
      <c r="EM616" s="1"/>
      <c r="EN616" s="1"/>
      <c r="EO616" s="1"/>
      <c r="EP616" s="1"/>
      <c r="EQ616" s="1"/>
      <c r="ER616" s="1"/>
      <c r="ES616" s="1"/>
      <c r="ET616" s="1"/>
      <c r="EU616" s="1"/>
      <c r="EV616" s="1"/>
      <c r="EW616" s="1"/>
      <c r="EX616" s="1"/>
      <c r="EY616" s="1"/>
      <c r="EZ616" s="1"/>
      <c r="FA616" s="1"/>
      <c r="FB616" s="1"/>
      <c r="FC616" s="1"/>
      <c r="FD616" s="1"/>
      <c r="FE616" s="1"/>
      <c r="FF616" s="1"/>
      <c r="FG616" s="1"/>
      <c r="FH616" s="1"/>
      <c r="FI616" s="1"/>
      <c r="FJ616" s="1"/>
      <c r="FK616" s="1"/>
      <c r="FL616" s="1"/>
      <c r="FM616" s="1"/>
      <c r="FN616" s="1"/>
      <c r="FO616" s="1"/>
      <c r="FP616" s="1"/>
      <c r="FQ616" s="1"/>
      <c r="FR616" s="2"/>
      <c r="FS616" s="1"/>
    </row>
    <row r="617" spans="1:175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R617" s="1"/>
      <c r="S617" s="1"/>
      <c r="T617" s="1"/>
      <c r="U617" s="1"/>
      <c r="V617" s="1"/>
      <c r="Y617" s="1"/>
      <c r="Z617" s="2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U617" s="1"/>
      <c r="AW617" s="1"/>
      <c r="AX617" s="1"/>
      <c r="AY617" s="1"/>
      <c r="AZ617" s="1"/>
      <c r="BA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  <c r="DC617" s="1"/>
      <c r="DD617" s="1"/>
      <c r="DE617" s="1"/>
      <c r="DF617" s="1"/>
      <c r="DG617" s="1"/>
      <c r="DH617" s="1"/>
      <c r="DI617" s="1"/>
      <c r="DJ617" s="1"/>
      <c r="DK617" s="1"/>
      <c r="DL617" s="1"/>
      <c r="DM617" s="1"/>
      <c r="DN617" s="1"/>
      <c r="DO617" s="1"/>
      <c r="DP617" s="1"/>
      <c r="DQ617" s="1"/>
      <c r="DR617" s="1"/>
      <c r="DS617" s="1"/>
      <c r="DT617" s="1"/>
      <c r="DU617" s="1"/>
      <c r="DV617" s="1"/>
      <c r="DW617" s="1"/>
      <c r="DX617" s="1"/>
      <c r="DY617" s="1"/>
      <c r="DZ617" s="1"/>
      <c r="EA617" s="1"/>
      <c r="EB617" s="1"/>
      <c r="EC617" s="1"/>
      <c r="ED617" s="1"/>
      <c r="EE617" s="1"/>
      <c r="EF617" s="1"/>
      <c r="EG617" s="1"/>
      <c r="EH617" s="1"/>
      <c r="EI617" s="1"/>
      <c r="EJ617" s="1"/>
      <c r="EK617" s="1"/>
      <c r="EL617" s="1"/>
      <c r="EM617" s="1"/>
      <c r="EN617" s="1"/>
      <c r="EO617" s="1"/>
      <c r="EP617" s="1"/>
      <c r="EQ617" s="1"/>
      <c r="ER617" s="1"/>
      <c r="ES617" s="1"/>
      <c r="ET617" s="1"/>
      <c r="EU617" s="1"/>
      <c r="EV617" s="1"/>
      <c r="EW617" s="1"/>
      <c r="EX617" s="1"/>
      <c r="EY617" s="1"/>
      <c r="EZ617" s="1"/>
      <c r="FA617" s="1"/>
      <c r="FB617" s="1"/>
      <c r="FC617" s="1"/>
      <c r="FD617" s="1"/>
      <c r="FE617" s="1"/>
      <c r="FF617" s="1"/>
      <c r="FG617" s="1"/>
      <c r="FH617" s="1"/>
      <c r="FI617" s="1"/>
      <c r="FJ617" s="1"/>
      <c r="FK617" s="1"/>
      <c r="FL617" s="1"/>
      <c r="FM617" s="1"/>
      <c r="FN617" s="1"/>
      <c r="FO617" s="1"/>
      <c r="FP617" s="1"/>
      <c r="FQ617" s="1"/>
      <c r="FR617" s="2"/>
      <c r="FS617" s="1"/>
    </row>
    <row r="618" spans="1:175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R618" s="1"/>
      <c r="S618" s="1"/>
      <c r="T618" s="1"/>
      <c r="U618" s="1"/>
      <c r="V618" s="1"/>
      <c r="Y618" s="1"/>
      <c r="Z618" s="2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U618" s="1"/>
      <c r="AW618" s="1"/>
      <c r="AX618" s="1"/>
      <c r="AY618" s="1"/>
      <c r="AZ618" s="1"/>
      <c r="BA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  <c r="DC618" s="1"/>
      <c r="DD618" s="1"/>
      <c r="DE618" s="1"/>
      <c r="DF618" s="1"/>
      <c r="DG618" s="1"/>
      <c r="DH618" s="1"/>
      <c r="DI618" s="1"/>
      <c r="DJ618" s="1"/>
      <c r="DK618" s="1"/>
      <c r="DL618" s="1"/>
      <c r="DM618" s="1"/>
      <c r="DN618" s="1"/>
      <c r="DO618" s="1"/>
      <c r="DP618" s="1"/>
      <c r="DQ618" s="1"/>
      <c r="DR618" s="1"/>
      <c r="DS618" s="1"/>
      <c r="DT618" s="1"/>
      <c r="DU618" s="1"/>
      <c r="DV618" s="1"/>
      <c r="DW618" s="1"/>
      <c r="DX618" s="1"/>
      <c r="DY618" s="1"/>
      <c r="DZ618" s="1"/>
      <c r="EA618" s="1"/>
      <c r="EB618" s="1"/>
      <c r="EC618" s="1"/>
      <c r="ED618" s="1"/>
      <c r="EE618" s="1"/>
      <c r="EF618" s="1"/>
      <c r="EG618" s="1"/>
      <c r="EH618" s="1"/>
      <c r="EI618" s="1"/>
      <c r="EJ618" s="1"/>
      <c r="EK618" s="1"/>
      <c r="EL618" s="1"/>
      <c r="EM618" s="1"/>
      <c r="EN618" s="1"/>
      <c r="EO618" s="1"/>
      <c r="EP618" s="1"/>
      <c r="EQ618" s="1"/>
      <c r="ER618" s="1"/>
      <c r="ES618" s="1"/>
      <c r="ET618" s="1"/>
      <c r="EU618" s="1"/>
      <c r="EV618" s="1"/>
      <c r="EW618" s="1"/>
      <c r="EX618" s="1"/>
      <c r="EY618" s="1"/>
      <c r="EZ618" s="1"/>
      <c r="FA618" s="1"/>
      <c r="FB618" s="1"/>
      <c r="FC618" s="1"/>
      <c r="FD618" s="1"/>
      <c r="FE618" s="1"/>
      <c r="FF618" s="1"/>
      <c r="FG618" s="1"/>
      <c r="FH618" s="1"/>
      <c r="FI618" s="1"/>
      <c r="FJ618" s="1"/>
      <c r="FK618" s="1"/>
      <c r="FL618" s="1"/>
      <c r="FM618" s="1"/>
      <c r="FN618" s="1"/>
      <c r="FO618" s="1"/>
      <c r="FP618" s="1"/>
      <c r="FQ618" s="1"/>
      <c r="FR618" s="2"/>
      <c r="FS618" s="1"/>
    </row>
    <row r="619" spans="1:175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R619" s="1"/>
      <c r="S619" s="1"/>
      <c r="T619" s="1"/>
      <c r="U619" s="1"/>
      <c r="V619" s="1"/>
      <c r="Y619" s="1"/>
      <c r="Z619" s="2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U619" s="1"/>
      <c r="AW619" s="1"/>
      <c r="AX619" s="1"/>
      <c r="AY619" s="1"/>
      <c r="AZ619" s="1"/>
      <c r="BA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  <c r="DC619" s="1"/>
      <c r="DD619" s="1"/>
      <c r="DE619" s="1"/>
      <c r="DF619" s="1"/>
      <c r="DG619" s="1"/>
      <c r="DH619" s="1"/>
      <c r="DI619" s="1"/>
      <c r="DJ619" s="1"/>
      <c r="DK619" s="1"/>
      <c r="DL619" s="1"/>
      <c r="DM619" s="1"/>
      <c r="DN619" s="1"/>
      <c r="DO619" s="1"/>
      <c r="DP619" s="1"/>
      <c r="DQ619" s="1"/>
      <c r="DR619" s="1"/>
      <c r="DS619" s="1"/>
      <c r="DT619" s="1"/>
      <c r="DU619" s="1"/>
      <c r="DV619" s="1"/>
      <c r="DW619" s="1"/>
      <c r="DX619" s="1"/>
      <c r="DY619" s="1"/>
      <c r="DZ619" s="1"/>
      <c r="EA619" s="1"/>
      <c r="EB619" s="1"/>
      <c r="EC619" s="1"/>
      <c r="ED619" s="1"/>
      <c r="EE619" s="1"/>
      <c r="EF619" s="1"/>
      <c r="EG619" s="1"/>
      <c r="EH619" s="1"/>
      <c r="EI619" s="1"/>
      <c r="EJ619" s="1"/>
      <c r="EK619" s="1"/>
      <c r="EL619" s="1"/>
      <c r="EM619" s="1"/>
      <c r="EN619" s="1"/>
      <c r="EO619" s="1"/>
      <c r="EP619" s="1"/>
      <c r="EQ619" s="1"/>
      <c r="ER619" s="1"/>
      <c r="ES619" s="1"/>
      <c r="ET619" s="1"/>
      <c r="EU619" s="1"/>
      <c r="EV619" s="1"/>
      <c r="EW619" s="1"/>
      <c r="EX619" s="1"/>
      <c r="EY619" s="1"/>
      <c r="EZ619" s="1"/>
      <c r="FA619" s="1"/>
      <c r="FB619" s="1"/>
      <c r="FC619" s="1"/>
      <c r="FD619" s="1"/>
      <c r="FE619" s="1"/>
      <c r="FF619" s="1"/>
      <c r="FG619" s="1"/>
      <c r="FH619" s="1"/>
      <c r="FI619" s="1"/>
      <c r="FJ619" s="1"/>
      <c r="FK619" s="1"/>
      <c r="FL619" s="1"/>
      <c r="FM619" s="1"/>
      <c r="FN619" s="1"/>
      <c r="FO619" s="1"/>
      <c r="FP619" s="1"/>
      <c r="FQ619" s="1"/>
      <c r="FR619" s="2"/>
      <c r="FS619" s="1"/>
    </row>
    <row r="620" spans="1:175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R620" s="1"/>
      <c r="S620" s="1"/>
      <c r="T620" s="1"/>
      <c r="U620" s="1"/>
      <c r="V620" s="1"/>
      <c r="Y620" s="1"/>
      <c r="Z620" s="2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U620" s="1"/>
      <c r="AW620" s="1"/>
      <c r="AX620" s="1"/>
      <c r="AY620" s="1"/>
      <c r="AZ620" s="1"/>
      <c r="BA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  <c r="DC620" s="1"/>
      <c r="DD620" s="1"/>
      <c r="DE620" s="1"/>
      <c r="DF620" s="1"/>
      <c r="DG620" s="1"/>
      <c r="DH620" s="1"/>
      <c r="DI620" s="1"/>
      <c r="DJ620" s="1"/>
      <c r="DK620" s="1"/>
      <c r="DL620" s="1"/>
      <c r="DM620" s="1"/>
      <c r="DN620" s="1"/>
      <c r="DO620" s="1"/>
      <c r="DP620" s="1"/>
      <c r="DQ620" s="1"/>
      <c r="DR620" s="1"/>
      <c r="DS620" s="1"/>
      <c r="DT620" s="1"/>
      <c r="DU620" s="1"/>
      <c r="DV620" s="1"/>
      <c r="DW620" s="1"/>
      <c r="DX620" s="1"/>
      <c r="DY620" s="1"/>
      <c r="DZ620" s="1"/>
      <c r="EA620" s="1"/>
      <c r="EB620" s="1"/>
      <c r="EC620" s="1"/>
      <c r="ED620" s="1"/>
      <c r="EE620" s="1"/>
      <c r="EF620" s="1"/>
      <c r="EG620" s="1"/>
      <c r="EH620" s="1"/>
      <c r="EI620" s="1"/>
      <c r="EJ620" s="1"/>
      <c r="EK620" s="1"/>
      <c r="EL620" s="1"/>
      <c r="EM620" s="1"/>
      <c r="EN620" s="1"/>
      <c r="EO620" s="1"/>
      <c r="EP620" s="1"/>
      <c r="EQ620" s="1"/>
      <c r="ER620" s="1"/>
      <c r="ES620" s="1"/>
      <c r="ET620" s="1"/>
      <c r="EU620" s="1"/>
      <c r="EV620" s="1"/>
      <c r="EW620" s="1"/>
      <c r="EX620" s="1"/>
      <c r="EY620" s="1"/>
      <c r="EZ620" s="1"/>
      <c r="FA620" s="1"/>
      <c r="FB620" s="1"/>
      <c r="FC620" s="1"/>
      <c r="FD620" s="1"/>
      <c r="FE620" s="1"/>
      <c r="FF620" s="1"/>
      <c r="FG620" s="1"/>
      <c r="FH620" s="1"/>
      <c r="FI620" s="1"/>
      <c r="FJ620" s="1"/>
      <c r="FK620" s="1"/>
      <c r="FL620" s="1"/>
      <c r="FM620" s="1"/>
      <c r="FN620" s="1"/>
      <c r="FO620" s="1"/>
      <c r="FP620" s="1"/>
      <c r="FQ620" s="1"/>
      <c r="FR620" s="2"/>
      <c r="FS620" s="1"/>
    </row>
    <row r="621" spans="1:175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R621" s="1"/>
      <c r="S621" s="1"/>
      <c r="T621" s="1"/>
      <c r="U621" s="1"/>
      <c r="V621" s="1"/>
      <c r="Y621" s="1"/>
      <c r="Z621" s="2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U621" s="1"/>
      <c r="AW621" s="1"/>
      <c r="AX621" s="1"/>
      <c r="AY621" s="1"/>
      <c r="AZ621" s="1"/>
      <c r="BA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  <c r="DC621" s="1"/>
      <c r="DD621" s="1"/>
      <c r="DE621" s="1"/>
      <c r="DF621" s="1"/>
      <c r="DG621" s="1"/>
      <c r="DH621" s="1"/>
      <c r="DI621" s="1"/>
      <c r="DJ621" s="1"/>
      <c r="DK621" s="1"/>
      <c r="DL621" s="1"/>
      <c r="DM621" s="1"/>
      <c r="DN621" s="1"/>
      <c r="DO621" s="1"/>
      <c r="DP621" s="1"/>
      <c r="DQ621" s="1"/>
      <c r="DR621" s="1"/>
      <c r="DS621" s="1"/>
      <c r="DT621" s="1"/>
      <c r="DU621" s="1"/>
      <c r="DV621" s="1"/>
      <c r="DW621" s="1"/>
      <c r="DX621" s="1"/>
      <c r="DY621" s="1"/>
      <c r="DZ621" s="1"/>
      <c r="EA621" s="1"/>
      <c r="EB621" s="1"/>
      <c r="EC621" s="1"/>
      <c r="ED621" s="1"/>
      <c r="EE621" s="1"/>
      <c r="EF621" s="1"/>
      <c r="EG621" s="1"/>
      <c r="EH621" s="1"/>
      <c r="EI621" s="1"/>
      <c r="EJ621" s="1"/>
      <c r="EK621" s="1"/>
      <c r="EL621" s="1"/>
      <c r="EM621" s="1"/>
      <c r="EN621" s="1"/>
      <c r="EO621" s="1"/>
      <c r="EP621" s="1"/>
      <c r="EQ621" s="1"/>
      <c r="ER621" s="1"/>
      <c r="ES621" s="1"/>
      <c r="ET621" s="1"/>
      <c r="EU621" s="1"/>
      <c r="EV621" s="1"/>
      <c r="EW621" s="1"/>
      <c r="EX621" s="1"/>
      <c r="EY621" s="1"/>
      <c r="EZ621" s="1"/>
      <c r="FA621" s="1"/>
      <c r="FB621" s="1"/>
      <c r="FC621" s="1"/>
      <c r="FD621" s="1"/>
      <c r="FE621" s="1"/>
      <c r="FF621" s="1"/>
      <c r="FG621" s="1"/>
      <c r="FH621" s="1"/>
      <c r="FI621" s="1"/>
      <c r="FJ621" s="1"/>
      <c r="FK621" s="1"/>
      <c r="FL621" s="1"/>
      <c r="FM621" s="1"/>
      <c r="FN621" s="1"/>
      <c r="FO621" s="1"/>
      <c r="FP621" s="1"/>
      <c r="FQ621" s="1"/>
      <c r="FR621" s="2"/>
      <c r="FS621" s="1"/>
    </row>
    <row r="622" spans="1:175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R622" s="1"/>
      <c r="S622" s="1"/>
      <c r="T622" s="1"/>
      <c r="U622" s="1"/>
      <c r="V622" s="1"/>
      <c r="Y622" s="1"/>
      <c r="Z622" s="2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U622" s="1"/>
      <c r="AW622" s="1"/>
      <c r="AX622" s="1"/>
      <c r="AY622" s="1"/>
      <c r="AZ622" s="1"/>
      <c r="BA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  <c r="DC622" s="1"/>
      <c r="DD622" s="1"/>
      <c r="DE622" s="1"/>
      <c r="DF622" s="1"/>
      <c r="DG622" s="1"/>
      <c r="DH622" s="1"/>
      <c r="DI622" s="1"/>
      <c r="DJ622" s="1"/>
      <c r="DK622" s="1"/>
      <c r="DL622" s="1"/>
      <c r="DM622" s="1"/>
      <c r="DN622" s="1"/>
      <c r="DO622" s="1"/>
      <c r="DP622" s="1"/>
      <c r="DQ622" s="1"/>
      <c r="DR622" s="1"/>
      <c r="DS622" s="1"/>
      <c r="DT622" s="1"/>
      <c r="DU622" s="1"/>
      <c r="DV622" s="1"/>
      <c r="DW622" s="1"/>
      <c r="DX622" s="1"/>
      <c r="DY622" s="1"/>
      <c r="DZ622" s="1"/>
      <c r="EA622" s="1"/>
      <c r="EB622" s="1"/>
      <c r="EC622" s="1"/>
      <c r="ED622" s="1"/>
      <c r="EE622" s="1"/>
      <c r="EF622" s="1"/>
      <c r="EG622" s="1"/>
      <c r="EH622" s="1"/>
      <c r="EI622" s="1"/>
      <c r="EJ622" s="1"/>
      <c r="EK622" s="1"/>
      <c r="EL622" s="1"/>
      <c r="EM622" s="1"/>
      <c r="EN622" s="1"/>
      <c r="EO622" s="1"/>
      <c r="EP622" s="1"/>
      <c r="EQ622" s="1"/>
      <c r="ER622" s="1"/>
      <c r="ES622" s="1"/>
      <c r="ET622" s="1"/>
      <c r="EU622" s="1"/>
      <c r="EV622" s="1"/>
      <c r="EW622" s="1"/>
      <c r="EX622" s="1"/>
      <c r="EY622" s="1"/>
      <c r="EZ622" s="1"/>
      <c r="FA622" s="1"/>
      <c r="FB622" s="1"/>
      <c r="FC622" s="1"/>
      <c r="FD622" s="1"/>
      <c r="FE622" s="1"/>
      <c r="FF622" s="1"/>
      <c r="FG622" s="1"/>
      <c r="FH622" s="1"/>
      <c r="FI622" s="1"/>
      <c r="FJ622" s="1"/>
      <c r="FK622" s="1"/>
      <c r="FL622" s="1"/>
      <c r="FM622" s="1"/>
      <c r="FN622" s="1"/>
      <c r="FO622" s="1"/>
      <c r="FP622" s="1"/>
      <c r="FQ622" s="1"/>
      <c r="FR622" s="2"/>
      <c r="FS622" s="1"/>
    </row>
    <row r="623" spans="1:175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R623" s="1"/>
      <c r="S623" s="1"/>
      <c r="T623" s="1"/>
      <c r="U623" s="1"/>
      <c r="V623" s="1"/>
      <c r="Y623" s="1"/>
      <c r="Z623" s="2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U623" s="1"/>
      <c r="AW623" s="1"/>
      <c r="AX623" s="1"/>
      <c r="AY623" s="1"/>
      <c r="AZ623" s="1"/>
      <c r="BA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  <c r="DC623" s="1"/>
      <c r="DD623" s="1"/>
      <c r="DE623" s="1"/>
      <c r="DF623" s="1"/>
      <c r="DG623" s="1"/>
      <c r="DH623" s="1"/>
      <c r="DI623" s="1"/>
      <c r="DJ623" s="1"/>
      <c r="DK623" s="1"/>
      <c r="DL623" s="1"/>
      <c r="DM623" s="1"/>
      <c r="DN623" s="1"/>
      <c r="DO623" s="1"/>
      <c r="DP623" s="1"/>
      <c r="DQ623" s="1"/>
      <c r="DR623" s="1"/>
      <c r="DS623" s="1"/>
      <c r="DT623" s="1"/>
      <c r="DU623" s="1"/>
      <c r="DV623" s="1"/>
      <c r="DW623" s="1"/>
      <c r="DX623" s="1"/>
      <c r="DY623" s="1"/>
      <c r="DZ623" s="1"/>
      <c r="EA623" s="1"/>
      <c r="EB623" s="1"/>
      <c r="EC623" s="1"/>
      <c r="ED623" s="1"/>
      <c r="EE623" s="1"/>
      <c r="EF623" s="1"/>
      <c r="EG623" s="1"/>
      <c r="EH623" s="1"/>
      <c r="EI623" s="1"/>
      <c r="EJ623" s="1"/>
      <c r="EK623" s="1"/>
      <c r="EL623" s="1"/>
      <c r="EM623" s="1"/>
      <c r="EN623" s="1"/>
      <c r="EO623" s="1"/>
      <c r="EP623" s="1"/>
      <c r="EQ623" s="1"/>
      <c r="ER623" s="1"/>
      <c r="ES623" s="1"/>
      <c r="ET623" s="1"/>
      <c r="EU623" s="1"/>
      <c r="EV623" s="1"/>
      <c r="EW623" s="1"/>
      <c r="EX623" s="1"/>
      <c r="EY623" s="1"/>
      <c r="EZ623" s="1"/>
      <c r="FA623" s="1"/>
      <c r="FB623" s="1"/>
      <c r="FC623" s="1"/>
      <c r="FD623" s="1"/>
      <c r="FE623" s="1"/>
      <c r="FF623" s="1"/>
      <c r="FG623" s="1"/>
      <c r="FH623" s="1"/>
      <c r="FI623" s="1"/>
      <c r="FJ623" s="1"/>
      <c r="FK623" s="1"/>
      <c r="FL623" s="1"/>
      <c r="FM623" s="1"/>
      <c r="FN623" s="1"/>
      <c r="FO623" s="1"/>
      <c r="FP623" s="1"/>
      <c r="FQ623" s="1"/>
      <c r="FR623" s="2"/>
      <c r="FS623" s="1"/>
    </row>
    <row r="624" spans="1:175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R624" s="1"/>
      <c r="S624" s="1"/>
      <c r="T624" s="1"/>
      <c r="U624" s="1"/>
      <c r="V624" s="1"/>
      <c r="Y624" s="1"/>
      <c r="Z624" s="2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U624" s="1"/>
      <c r="AW624" s="1"/>
      <c r="AX624" s="1"/>
      <c r="AY624" s="1"/>
      <c r="AZ624" s="1"/>
      <c r="BA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  <c r="DC624" s="1"/>
      <c r="DD624" s="1"/>
      <c r="DE624" s="1"/>
      <c r="DF624" s="1"/>
      <c r="DG624" s="1"/>
      <c r="DH624" s="1"/>
      <c r="DI624" s="1"/>
      <c r="DJ624" s="1"/>
      <c r="DK624" s="1"/>
      <c r="DL624" s="1"/>
      <c r="DM624" s="1"/>
      <c r="DN624" s="1"/>
      <c r="DO624" s="1"/>
      <c r="DP624" s="1"/>
      <c r="DQ624" s="1"/>
      <c r="DR624" s="1"/>
      <c r="DS624" s="1"/>
      <c r="DT624" s="1"/>
      <c r="DU624" s="1"/>
      <c r="DV624" s="1"/>
      <c r="DW624" s="1"/>
      <c r="DX624" s="1"/>
      <c r="DY624" s="1"/>
      <c r="DZ624" s="1"/>
      <c r="EA624" s="1"/>
      <c r="EB624" s="1"/>
      <c r="EC624" s="1"/>
      <c r="ED624" s="1"/>
      <c r="EE624" s="1"/>
      <c r="EF624" s="1"/>
      <c r="EG624" s="1"/>
      <c r="EH624" s="1"/>
      <c r="EI624" s="1"/>
      <c r="EJ624" s="1"/>
      <c r="EK624" s="1"/>
      <c r="EL624" s="1"/>
      <c r="EM624" s="1"/>
      <c r="EN624" s="1"/>
      <c r="EO624" s="1"/>
      <c r="EP624" s="1"/>
      <c r="EQ624" s="1"/>
      <c r="ER624" s="1"/>
      <c r="ES624" s="1"/>
      <c r="ET624" s="1"/>
      <c r="EU624" s="1"/>
      <c r="EV624" s="1"/>
      <c r="EW624" s="1"/>
      <c r="EX624" s="1"/>
      <c r="EY624" s="1"/>
      <c r="EZ624" s="1"/>
      <c r="FA624" s="1"/>
      <c r="FB624" s="1"/>
      <c r="FC624" s="1"/>
      <c r="FD624" s="1"/>
      <c r="FE624" s="1"/>
      <c r="FF624" s="1"/>
      <c r="FG624" s="1"/>
      <c r="FH624" s="1"/>
      <c r="FI624" s="1"/>
      <c r="FJ624" s="1"/>
      <c r="FK624" s="1"/>
      <c r="FL624" s="1"/>
      <c r="FM624" s="1"/>
      <c r="FN624" s="1"/>
      <c r="FO624" s="1"/>
      <c r="FP624" s="1"/>
      <c r="FQ624" s="1"/>
      <c r="FR624" s="2"/>
      <c r="FS624" s="1"/>
    </row>
    <row r="625" spans="1:175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R625" s="1"/>
      <c r="S625" s="1"/>
      <c r="T625" s="1"/>
      <c r="U625" s="1"/>
      <c r="V625" s="1"/>
      <c r="Y625" s="1"/>
      <c r="Z625" s="2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U625" s="1"/>
      <c r="AW625" s="1"/>
      <c r="AX625" s="1"/>
      <c r="AY625" s="1"/>
      <c r="AZ625" s="1"/>
      <c r="BA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  <c r="DC625" s="1"/>
      <c r="DD625" s="1"/>
      <c r="DE625" s="1"/>
      <c r="DF625" s="1"/>
      <c r="DG625" s="1"/>
      <c r="DH625" s="1"/>
      <c r="DI625" s="1"/>
      <c r="DJ625" s="1"/>
      <c r="DK625" s="1"/>
      <c r="DL625" s="1"/>
      <c r="DM625" s="1"/>
      <c r="DN625" s="1"/>
      <c r="DO625" s="1"/>
      <c r="DP625" s="1"/>
      <c r="DQ625" s="1"/>
      <c r="DR625" s="1"/>
      <c r="DS625" s="1"/>
      <c r="DT625" s="1"/>
      <c r="DU625" s="1"/>
      <c r="DV625" s="1"/>
      <c r="DW625" s="1"/>
      <c r="DX625" s="1"/>
      <c r="DY625" s="1"/>
      <c r="DZ625" s="1"/>
      <c r="EA625" s="1"/>
      <c r="EB625" s="1"/>
      <c r="EC625" s="1"/>
      <c r="ED625" s="1"/>
      <c r="EE625" s="1"/>
      <c r="EF625" s="1"/>
      <c r="EG625" s="1"/>
      <c r="EH625" s="1"/>
      <c r="EI625" s="1"/>
      <c r="EJ625" s="1"/>
      <c r="EK625" s="1"/>
      <c r="EL625" s="1"/>
      <c r="EM625" s="1"/>
      <c r="EN625" s="1"/>
      <c r="EO625" s="1"/>
      <c r="EP625" s="1"/>
      <c r="EQ625" s="1"/>
      <c r="ER625" s="1"/>
      <c r="ES625" s="1"/>
      <c r="ET625" s="1"/>
      <c r="EU625" s="1"/>
      <c r="EV625" s="1"/>
      <c r="EW625" s="1"/>
      <c r="EX625" s="1"/>
      <c r="EY625" s="1"/>
      <c r="EZ625" s="1"/>
      <c r="FA625" s="1"/>
      <c r="FB625" s="1"/>
      <c r="FC625" s="1"/>
      <c r="FD625" s="1"/>
      <c r="FE625" s="1"/>
      <c r="FF625" s="1"/>
      <c r="FG625" s="1"/>
      <c r="FH625" s="1"/>
      <c r="FI625" s="1"/>
      <c r="FJ625" s="1"/>
      <c r="FK625" s="1"/>
      <c r="FL625" s="1"/>
      <c r="FM625" s="1"/>
      <c r="FN625" s="1"/>
      <c r="FO625" s="1"/>
      <c r="FP625" s="1"/>
      <c r="FQ625" s="1"/>
      <c r="FR625" s="2"/>
      <c r="FS625" s="1"/>
    </row>
    <row r="626" spans="1:175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R626" s="1"/>
      <c r="S626" s="1"/>
      <c r="T626" s="1"/>
      <c r="U626" s="1"/>
      <c r="V626" s="1"/>
      <c r="Y626" s="1"/>
      <c r="Z626" s="2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U626" s="1"/>
      <c r="AW626" s="1"/>
      <c r="AX626" s="1"/>
      <c r="AY626" s="1"/>
      <c r="AZ626" s="1"/>
      <c r="BA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  <c r="DC626" s="1"/>
      <c r="DD626" s="1"/>
      <c r="DE626" s="1"/>
      <c r="DF626" s="1"/>
      <c r="DG626" s="1"/>
      <c r="DH626" s="1"/>
      <c r="DI626" s="1"/>
      <c r="DJ626" s="1"/>
      <c r="DK626" s="1"/>
      <c r="DL626" s="1"/>
      <c r="DM626" s="1"/>
      <c r="DN626" s="1"/>
      <c r="DO626" s="1"/>
      <c r="DP626" s="1"/>
      <c r="DQ626" s="1"/>
      <c r="DR626" s="1"/>
      <c r="DS626" s="1"/>
      <c r="DT626" s="1"/>
      <c r="DU626" s="1"/>
      <c r="DV626" s="1"/>
      <c r="DW626" s="1"/>
      <c r="DX626" s="1"/>
      <c r="DY626" s="1"/>
      <c r="DZ626" s="1"/>
      <c r="EA626" s="1"/>
      <c r="EB626" s="1"/>
      <c r="EC626" s="1"/>
      <c r="ED626" s="1"/>
      <c r="EE626" s="1"/>
      <c r="EF626" s="1"/>
      <c r="EG626" s="1"/>
      <c r="EH626" s="1"/>
      <c r="EI626" s="1"/>
      <c r="EJ626" s="1"/>
      <c r="EK626" s="1"/>
      <c r="EL626" s="1"/>
      <c r="EM626" s="1"/>
      <c r="EN626" s="1"/>
      <c r="EO626" s="1"/>
      <c r="EP626" s="1"/>
      <c r="EQ626" s="1"/>
      <c r="ER626" s="1"/>
      <c r="ES626" s="1"/>
      <c r="ET626" s="1"/>
      <c r="EU626" s="1"/>
      <c r="EV626" s="1"/>
      <c r="EW626" s="1"/>
      <c r="EX626" s="1"/>
      <c r="EY626" s="1"/>
      <c r="EZ626" s="1"/>
      <c r="FA626" s="1"/>
      <c r="FB626" s="1"/>
      <c r="FC626" s="1"/>
      <c r="FD626" s="1"/>
      <c r="FE626" s="1"/>
      <c r="FF626" s="1"/>
      <c r="FG626" s="1"/>
      <c r="FH626" s="1"/>
      <c r="FI626" s="1"/>
      <c r="FJ626" s="1"/>
      <c r="FK626" s="1"/>
      <c r="FL626" s="1"/>
      <c r="FM626" s="1"/>
      <c r="FN626" s="1"/>
      <c r="FO626" s="1"/>
      <c r="FP626" s="1"/>
      <c r="FQ626" s="1"/>
      <c r="FR626" s="2"/>
      <c r="FS626" s="1"/>
    </row>
    <row r="627" spans="1:175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R627" s="1"/>
      <c r="S627" s="1"/>
      <c r="T627" s="1"/>
      <c r="U627" s="1"/>
      <c r="V627" s="1"/>
      <c r="Y627" s="1"/>
      <c r="Z627" s="2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U627" s="1"/>
      <c r="AW627" s="1"/>
      <c r="AX627" s="1"/>
      <c r="AY627" s="1"/>
      <c r="AZ627" s="1"/>
      <c r="BA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  <c r="DC627" s="1"/>
      <c r="DD627" s="1"/>
      <c r="DE627" s="1"/>
      <c r="DF627" s="1"/>
      <c r="DG627" s="1"/>
      <c r="DH627" s="1"/>
      <c r="DI627" s="1"/>
      <c r="DJ627" s="1"/>
      <c r="DK627" s="1"/>
      <c r="DL627" s="1"/>
      <c r="DM627" s="1"/>
      <c r="DN627" s="1"/>
      <c r="DO627" s="1"/>
      <c r="DP627" s="1"/>
      <c r="DQ627" s="1"/>
      <c r="DR627" s="1"/>
      <c r="DS627" s="1"/>
      <c r="DT627" s="1"/>
      <c r="DU627" s="1"/>
      <c r="DV627" s="1"/>
      <c r="DW627" s="1"/>
      <c r="DX627" s="1"/>
      <c r="DY627" s="1"/>
      <c r="DZ627" s="1"/>
      <c r="EA627" s="1"/>
      <c r="EB627" s="1"/>
      <c r="EC627" s="1"/>
      <c r="ED627" s="1"/>
      <c r="EE627" s="1"/>
      <c r="EF627" s="1"/>
      <c r="EG627" s="1"/>
      <c r="EH627" s="1"/>
      <c r="EI627" s="1"/>
      <c r="EJ627" s="1"/>
      <c r="EK627" s="1"/>
      <c r="EL627" s="1"/>
      <c r="EM627" s="1"/>
      <c r="EN627" s="1"/>
      <c r="EO627" s="1"/>
      <c r="EP627" s="1"/>
      <c r="EQ627" s="1"/>
      <c r="ER627" s="1"/>
      <c r="ES627" s="1"/>
      <c r="ET627" s="1"/>
      <c r="EU627" s="1"/>
      <c r="EV627" s="1"/>
      <c r="EW627" s="1"/>
      <c r="EX627" s="1"/>
      <c r="EY627" s="1"/>
      <c r="EZ627" s="1"/>
      <c r="FA627" s="1"/>
      <c r="FB627" s="1"/>
      <c r="FC627" s="1"/>
      <c r="FD627" s="1"/>
      <c r="FE627" s="1"/>
      <c r="FF627" s="1"/>
      <c r="FG627" s="1"/>
      <c r="FH627" s="1"/>
      <c r="FI627" s="1"/>
      <c r="FJ627" s="1"/>
      <c r="FK627" s="1"/>
      <c r="FL627" s="1"/>
      <c r="FM627" s="1"/>
      <c r="FN627" s="1"/>
      <c r="FO627" s="1"/>
      <c r="FP627" s="1"/>
      <c r="FQ627" s="1"/>
      <c r="FR627" s="2"/>
      <c r="FS627" s="1"/>
    </row>
    <row r="628" spans="1:175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R628" s="1"/>
      <c r="S628" s="1"/>
      <c r="T628" s="1"/>
      <c r="U628" s="1"/>
      <c r="V628" s="1"/>
      <c r="Y628" s="1"/>
      <c r="Z628" s="2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U628" s="1"/>
      <c r="AW628" s="1"/>
      <c r="AX628" s="1"/>
      <c r="AY628" s="1"/>
      <c r="AZ628" s="1"/>
      <c r="BA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  <c r="DC628" s="1"/>
      <c r="DD628" s="1"/>
      <c r="DE628" s="1"/>
      <c r="DF628" s="1"/>
      <c r="DG628" s="1"/>
      <c r="DH628" s="1"/>
      <c r="DI628" s="1"/>
      <c r="DJ628" s="1"/>
      <c r="DK628" s="1"/>
      <c r="DL628" s="1"/>
      <c r="DM628" s="1"/>
      <c r="DN628" s="1"/>
      <c r="DO628" s="1"/>
      <c r="DP628" s="1"/>
      <c r="DQ628" s="1"/>
      <c r="DR628" s="1"/>
      <c r="DS628" s="1"/>
      <c r="DT628" s="1"/>
      <c r="DU628" s="1"/>
      <c r="DV628" s="1"/>
      <c r="DW628" s="1"/>
      <c r="DX628" s="1"/>
      <c r="DY628" s="1"/>
      <c r="DZ628" s="1"/>
      <c r="EA628" s="1"/>
      <c r="EB628" s="1"/>
      <c r="EC628" s="1"/>
      <c r="ED628" s="1"/>
      <c r="EE628" s="1"/>
      <c r="EF628" s="1"/>
      <c r="EG628" s="1"/>
      <c r="EH628" s="1"/>
      <c r="EI628" s="1"/>
      <c r="EJ628" s="1"/>
      <c r="EK628" s="1"/>
      <c r="EL628" s="1"/>
      <c r="EM628" s="1"/>
      <c r="EN628" s="1"/>
      <c r="EO628" s="1"/>
      <c r="EP628" s="1"/>
      <c r="EQ628" s="1"/>
      <c r="ER628" s="1"/>
      <c r="ES628" s="1"/>
      <c r="ET628" s="1"/>
      <c r="EU628" s="1"/>
      <c r="EV628" s="1"/>
      <c r="EW628" s="1"/>
      <c r="EX628" s="1"/>
      <c r="EY628" s="1"/>
      <c r="EZ628" s="1"/>
      <c r="FA628" s="1"/>
      <c r="FB628" s="1"/>
      <c r="FC628" s="1"/>
      <c r="FD628" s="1"/>
      <c r="FE628" s="1"/>
      <c r="FF628" s="1"/>
      <c r="FG628" s="1"/>
      <c r="FH628" s="1"/>
      <c r="FI628" s="1"/>
      <c r="FJ628" s="1"/>
      <c r="FK628" s="1"/>
      <c r="FL628" s="1"/>
      <c r="FM628" s="1"/>
      <c r="FN628" s="1"/>
      <c r="FO628" s="1"/>
      <c r="FP628" s="1"/>
      <c r="FQ628" s="1"/>
      <c r="FR628" s="2"/>
      <c r="FS628" s="1"/>
    </row>
    <row r="629" spans="1:175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R629" s="1"/>
      <c r="S629" s="1"/>
      <c r="T629" s="1"/>
      <c r="U629" s="1"/>
      <c r="V629" s="1"/>
      <c r="Y629" s="1"/>
      <c r="Z629" s="2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U629" s="1"/>
      <c r="AW629" s="1"/>
      <c r="AX629" s="1"/>
      <c r="AY629" s="1"/>
      <c r="AZ629" s="1"/>
      <c r="BA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  <c r="DC629" s="1"/>
      <c r="DD629" s="1"/>
      <c r="DE629" s="1"/>
      <c r="DF629" s="1"/>
      <c r="DG629" s="1"/>
      <c r="DH629" s="1"/>
      <c r="DI629" s="1"/>
      <c r="DJ629" s="1"/>
      <c r="DK629" s="1"/>
      <c r="DL629" s="1"/>
      <c r="DM629" s="1"/>
      <c r="DN629" s="1"/>
      <c r="DO629" s="1"/>
      <c r="DP629" s="1"/>
      <c r="DQ629" s="1"/>
      <c r="DR629" s="1"/>
      <c r="DS629" s="1"/>
      <c r="DT629" s="1"/>
      <c r="DU629" s="1"/>
      <c r="DV629" s="1"/>
      <c r="DW629" s="1"/>
      <c r="DX629" s="1"/>
      <c r="DY629" s="1"/>
      <c r="DZ629" s="1"/>
      <c r="EA629" s="1"/>
      <c r="EB629" s="1"/>
      <c r="EC629" s="1"/>
      <c r="ED629" s="1"/>
      <c r="EE629" s="1"/>
      <c r="EF629" s="1"/>
      <c r="EG629" s="1"/>
      <c r="EH629" s="1"/>
      <c r="EI629" s="1"/>
      <c r="EJ629" s="1"/>
      <c r="EK629" s="1"/>
      <c r="EL629" s="1"/>
      <c r="EM629" s="1"/>
      <c r="EN629" s="1"/>
      <c r="EO629" s="1"/>
      <c r="EP629" s="1"/>
      <c r="EQ629" s="1"/>
      <c r="ER629" s="1"/>
      <c r="ES629" s="1"/>
      <c r="ET629" s="1"/>
      <c r="EU629" s="1"/>
      <c r="EV629" s="1"/>
      <c r="EW629" s="1"/>
      <c r="EX629" s="1"/>
      <c r="EY629" s="1"/>
      <c r="EZ629" s="1"/>
      <c r="FA629" s="1"/>
      <c r="FB629" s="1"/>
      <c r="FC629" s="1"/>
      <c r="FD629" s="1"/>
      <c r="FE629" s="1"/>
      <c r="FF629" s="1"/>
      <c r="FG629" s="1"/>
      <c r="FH629" s="1"/>
      <c r="FI629" s="1"/>
      <c r="FJ629" s="1"/>
      <c r="FK629" s="1"/>
      <c r="FL629" s="1"/>
      <c r="FM629" s="1"/>
      <c r="FN629" s="1"/>
      <c r="FO629" s="1"/>
      <c r="FP629" s="1"/>
      <c r="FQ629" s="1"/>
      <c r="FR629" s="2"/>
      <c r="FS629" s="1"/>
    </row>
    <row r="630" spans="1:175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R630" s="1"/>
      <c r="S630" s="1"/>
      <c r="T630" s="1"/>
      <c r="U630" s="1"/>
      <c r="V630" s="1"/>
      <c r="Y630" s="1"/>
      <c r="Z630" s="2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U630" s="1"/>
      <c r="AW630" s="1"/>
      <c r="AX630" s="1"/>
      <c r="AY630" s="1"/>
      <c r="AZ630" s="1"/>
      <c r="BA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  <c r="DC630" s="1"/>
      <c r="DD630" s="1"/>
      <c r="DE630" s="1"/>
      <c r="DF630" s="1"/>
      <c r="DG630" s="1"/>
      <c r="DH630" s="1"/>
      <c r="DI630" s="1"/>
      <c r="DJ630" s="1"/>
      <c r="DK630" s="1"/>
      <c r="DL630" s="1"/>
      <c r="DM630" s="1"/>
      <c r="DN630" s="1"/>
      <c r="DO630" s="1"/>
      <c r="DP630" s="1"/>
      <c r="DQ630" s="1"/>
      <c r="DR630" s="1"/>
      <c r="DS630" s="1"/>
      <c r="DT630" s="1"/>
      <c r="DU630" s="1"/>
      <c r="DV630" s="1"/>
      <c r="DW630" s="1"/>
      <c r="DX630" s="1"/>
      <c r="DY630" s="1"/>
      <c r="DZ630" s="1"/>
      <c r="EA630" s="1"/>
      <c r="EB630" s="1"/>
      <c r="EC630" s="1"/>
      <c r="ED630" s="1"/>
      <c r="EE630" s="1"/>
      <c r="EF630" s="1"/>
      <c r="EG630" s="1"/>
      <c r="EH630" s="1"/>
      <c r="EI630" s="1"/>
      <c r="EJ630" s="1"/>
      <c r="EK630" s="1"/>
      <c r="EL630" s="1"/>
      <c r="EM630" s="1"/>
      <c r="EN630" s="1"/>
      <c r="EO630" s="1"/>
      <c r="EP630" s="1"/>
      <c r="EQ630" s="1"/>
      <c r="ER630" s="1"/>
      <c r="ES630" s="1"/>
      <c r="ET630" s="1"/>
      <c r="EU630" s="1"/>
      <c r="EV630" s="1"/>
      <c r="EW630" s="1"/>
      <c r="EX630" s="1"/>
      <c r="EY630" s="1"/>
      <c r="EZ630" s="1"/>
      <c r="FA630" s="1"/>
      <c r="FB630" s="1"/>
      <c r="FC630" s="1"/>
      <c r="FD630" s="1"/>
      <c r="FE630" s="1"/>
      <c r="FF630" s="1"/>
      <c r="FG630" s="1"/>
      <c r="FH630" s="1"/>
      <c r="FI630" s="1"/>
      <c r="FJ630" s="1"/>
      <c r="FK630" s="1"/>
      <c r="FL630" s="1"/>
      <c r="FM630" s="1"/>
      <c r="FN630" s="1"/>
      <c r="FO630" s="1"/>
      <c r="FP630" s="1"/>
      <c r="FQ630" s="1"/>
      <c r="FR630" s="2"/>
      <c r="FS630" s="1"/>
    </row>
    <row r="631" spans="1:175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R631" s="1"/>
      <c r="S631" s="1"/>
      <c r="T631" s="1"/>
      <c r="U631" s="1"/>
      <c r="V631" s="1"/>
      <c r="Y631" s="1"/>
      <c r="Z631" s="2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U631" s="1"/>
      <c r="AW631" s="1"/>
      <c r="AX631" s="1"/>
      <c r="AY631" s="1"/>
      <c r="AZ631" s="1"/>
      <c r="BA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  <c r="DC631" s="1"/>
      <c r="DD631" s="1"/>
      <c r="DE631" s="1"/>
      <c r="DF631" s="1"/>
      <c r="DG631" s="1"/>
      <c r="DH631" s="1"/>
      <c r="DI631" s="1"/>
      <c r="DJ631" s="1"/>
      <c r="DK631" s="1"/>
      <c r="DL631" s="1"/>
      <c r="DM631" s="1"/>
      <c r="DN631" s="1"/>
      <c r="DO631" s="1"/>
      <c r="DP631" s="1"/>
      <c r="DQ631" s="1"/>
      <c r="DR631" s="1"/>
      <c r="DS631" s="1"/>
      <c r="DT631" s="1"/>
      <c r="DU631" s="1"/>
      <c r="DV631" s="1"/>
      <c r="DW631" s="1"/>
      <c r="DX631" s="1"/>
      <c r="DY631" s="1"/>
      <c r="DZ631" s="1"/>
      <c r="EA631" s="1"/>
      <c r="EB631" s="1"/>
      <c r="EC631" s="1"/>
      <c r="ED631" s="1"/>
      <c r="EE631" s="1"/>
      <c r="EF631" s="1"/>
      <c r="EG631" s="1"/>
      <c r="EH631" s="1"/>
      <c r="EI631" s="1"/>
      <c r="EJ631" s="1"/>
      <c r="EK631" s="1"/>
      <c r="EL631" s="1"/>
      <c r="EM631" s="1"/>
      <c r="EN631" s="1"/>
      <c r="EO631" s="1"/>
      <c r="EP631" s="1"/>
      <c r="EQ631" s="1"/>
      <c r="ER631" s="1"/>
      <c r="ES631" s="1"/>
      <c r="ET631" s="1"/>
      <c r="EU631" s="1"/>
      <c r="EV631" s="1"/>
      <c r="EW631" s="1"/>
      <c r="EX631" s="1"/>
      <c r="EY631" s="1"/>
      <c r="EZ631" s="1"/>
      <c r="FA631" s="1"/>
      <c r="FB631" s="1"/>
      <c r="FC631" s="1"/>
      <c r="FD631" s="1"/>
      <c r="FE631" s="1"/>
      <c r="FF631" s="1"/>
      <c r="FG631" s="1"/>
      <c r="FH631" s="1"/>
      <c r="FI631" s="1"/>
      <c r="FJ631" s="1"/>
      <c r="FK631" s="1"/>
      <c r="FL631" s="1"/>
      <c r="FM631" s="1"/>
      <c r="FN631" s="1"/>
      <c r="FO631" s="1"/>
      <c r="FP631" s="1"/>
      <c r="FQ631" s="1"/>
      <c r="FR631" s="2"/>
      <c r="FS631" s="1"/>
    </row>
    <row r="632" spans="1:175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R632" s="1"/>
      <c r="S632" s="1"/>
      <c r="T632" s="1"/>
      <c r="U632" s="1"/>
      <c r="V632" s="1"/>
      <c r="Y632" s="1"/>
      <c r="Z632" s="2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U632" s="1"/>
      <c r="AW632" s="1"/>
      <c r="AX632" s="1"/>
      <c r="AY632" s="1"/>
      <c r="AZ632" s="1"/>
      <c r="BA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  <c r="DC632" s="1"/>
      <c r="DD632" s="1"/>
      <c r="DE632" s="1"/>
      <c r="DF632" s="1"/>
      <c r="DG632" s="1"/>
      <c r="DH632" s="1"/>
      <c r="DI632" s="1"/>
      <c r="DJ632" s="1"/>
      <c r="DK632" s="1"/>
      <c r="DL632" s="1"/>
      <c r="DM632" s="1"/>
      <c r="DN632" s="1"/>
      <c r="DO632" s="1"/>
      <c r="DP632" s="1"/>
      <c r="DQ632" s="1"/>
      <c r="DR632" s="1"/>
      <c r="DS632" s="1"/>
      <c r="DT632" s="1"/>
      <c r="DU632" s="1"/>
      <c r="DV632" s="1"/>
      <c r="DW632" s="1"/>
      <c r="DX632" s="1"/>
      <c r="DY632" s="1"/>
      <c r="DZ632" s="1"/>
      <c r="EA632" s="1"/>
      <c r="EB632" s="1"/>
      <c r="EC632" s="1"/>
      <c r="ED632" s="1"/>
      <c r="EE632" s="1"/>
      <c r="EF632" s="1"/>
      <c r="EG632" s="1"/>
      <c r="EH632" s="1"/>
      <c r="EI632" s="1"/>
      <c r="EJ632" s="1"/>
      <c r="EK632" s="1"/>
      <c r="EL632" s="1"/>
      <c r="EM632" s="1"/>
      <c r="EN632" s="1"/>
      <c r="EO632" s="1"/>
      <c r="EP632" s="1"/>
      <c r="EQ632" s="1"/>
      <c r="ER632" s="1"/>
      <c r="ES632" s="1"/>
      <c r="ET632" s="1"/>
      <c r="EU632" s="1"/>
      <c r="EV632" s="1"/>
      <c r="EW632" s="1"/>
      <c r="EX632" s="1"/>
      <c r="EY632" s="1"/>
      <c r="EZ632" s="1"/>
      <c r="FA632" s="1"/>
      <c r="FB632" s="1"/>
      <c r="FC632" s="1"/>
      <c r="FD632" s="1"/>
      <c r="FE632" s="1"/>
      <c r="FF632" s="1"/>
      <c r="FG632" s="1"/>
      <c r="FH632" s="1"/>
      <c r="FI632" s="1"/>
      <c r="FJ632" s="1"/>
      <c r="FK632" s="1"/>
      <c r="FL632" s="1"/>
      <c r="FM632" s="1"/>
      <c r="FN632" s="1"/>
      <c r="FO632" s="1"/>
      <c r="FP632" s="1"/>
      <c r="FQ632" s="1"/>
      <c r="FR632" s="2"/>
      <c r="FS632" s="1"/>
    </row>
    <row r="633" spans="1:175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R633" s="1"/>
      <c r="S633" s="1"/>
      <c r="T633" s="1"/>
      <c r="U633" s="1"/>
      <c r="V633" s="1"/>
      <c r="Y633" s="1"/>
      <c r="Z633" s="2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U633" s="1"/>
      <c r="AW633" s="1"/>
      <c r="AX633" s="1"/>
      <c r="AY633" s="1"/>
      <c r="AZ633" s="1"/>
      <c r="BA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  <c r="DC633" s="1"/>
      <c r="DD633" s="1"/>
      <c r="DE633" s="1"/>
      <c r="DF633" s="1"/>
      <c r="DG633" s="1"/>
      <c r="DH633" s="1"/>
      <c r="DI633" s="1"/>
      <c r="DJ633" s="1"/>
      <c r="DK633" s="1"/>
      <c r="DL633" s="1"/>
      <c r="DM633" s="1"/>
      <c r="DN633" s="1"/>
      <c r="DO633" s="1"/>
      <c r="DP633" s="1"/>
      <c r="DQ633" s="1"/>
      <c r="DR633" s="1"/>
      <c r="DS633" s="1"/>
      <c r="DT633" s="1"/>
      <c r="DU633" s="1"/>
      <c r="DV633" s="1"/>
      <c r="DW633" s="1"/>
      <c r="DX633" s="1"/>
      <c r="DY633" s="1"/>
      <c r="DZ633" s="1"/>
      <c r="EA633" s="1"/>
      <c r="EB633" s="1"/>
      <c r="EC633" s="1"/>
      <c r="ED633" s="1"/>
      <c r="EE633" s="1"/>
      <c r="EF633" s="1"/>
      <c r="EG633" s="1"/>
      <c r="EH633" s="1"/>
      <c r="EI633" s="1"/>
      <c r="EJ633" s="1"/>
      <c r="EK633" s="1"/>
      <c r="EL633" s="1"/>
      <c r="EM633" s="1"/>
      <c r="EN633" s="1"/>
      <c r="EO633" s="1"/>
      <c r="EP633" s="1"/>
      <c r="EQ633" s="1"/>
      <c r="ER633" s="1"/>
      <c r="ES633" s="1"/>
      <c r="ET633" s="1"/>
      <c r="EU633" s="1"/>
      <c r="EV633" s="1"/>
      <c r="EW633" s="1"/>
      <c r="EX633" s="1"/>
      <c r="EY633" s="1"/>
      <c r="EZ633" s="1"/>
      <c r="FA633" s="1"/>
      <c r="FB633" s="1"/>
      <c r="FC633" s="1"/>
      <c r="FD633" s="1"/>
      <c r="FE633" s="1"/>
      <c r="FF633" s="1"/>
      <c r="FG633" s="1"/>
      <c r="FH633" s="1"/>
      <c r="FI633" s="1"/>
      <c r="FJ633" s="1"/>
      <c r="FK633" s="1"/>
      <c r="FL633" s="1"/>
      <c r="FM633" s="1"/>
      <c r="FN633" s="1"/>
      <c r="FO633" s="1"/>
      <c r="FP633" s="1"/>
      <c r="FQ633" s="1"/>
      <c r="FR633" s="2"/>
      <c r="FS633" s="1"/>
    </row>
    <row r="634" spans="1:175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R634" s="1"/>
      <c r="S634" s="1"/>
      <c r="T634" s="1"/>
      <c r="U634" s="1"/>
      <c r="V634" s="1"/>
      <c r="Y634" s="1"/>
      <c r="Z634" s="2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U634" s="1"/>
      <c r="AW634" s="1"/>
      <c r="AX634" s="1"/>
      <c r="AY634" s="1"/>
      <c r="AZ634" s="1"/>
      <c r="BA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  <c r="DC634" s="1"/>
      <c r="DD634" s="1"/>
      <c r="DE634" s="1"/>
      <c r="DF634" s="1"/>
      <c r="DG634" s="1"/>
      <c r="DH634" s="1"/>
      <c r="DI634" s="1"/>
      <c r="DJ634" s="1"/>
      <c r="DK634" s="1"/>
      <c r="DL634" s="1"/>
      <c r="DM634" s="1"/>
      <c r="DN634" s="1"/>
      <c r="DO634" s="1"/>
      <c r="DP634" s="1"/>
      <c r="DQ634" s="1"/>
      <c r="DR634" s="1"/>
      <c r="DS634" s="1"/>
      <c r="DT634" s="1"/>
      <c r="DU634" s="1"/>
      <c r="DV634" s="1"/>
      <c r="DW634" s="1"/>
      <c r="DX634" s="1"/>
      <c r="DY634" s="1"/>
      <c r="DZ634" s="1"/>
      <c r="EA634" s="1"/>
      <c r="EB634" s="1"/>
      <c r="EC634" s="1"/>
      <c r="ED634" s="1"/>
      <c r="EE634" s="1"/>
      <c r="EF634" s="1"/>
      <c r="EG634" s="1"/>
      <c r="EH634" s="1"/>
      <c r="EI634" s="1"/>
      <c r="EJ634" s="1"/>
      <c r="EK634" s="1"/>
      <c r="EL634" s="1"/>
      <c r="EM634" s="1"/>
      <c r="EN634" s="1"/>
      <c r="EO634" s="1"/>
      <c r="EP634" s="1"/>
      <c r="EQ634" s="1"/>
      <c r="ER634" s="1"/>
      <c r="ES634" s="1"/>
      <c r="ET634" s="1"/>
      <c r="EU634" s="1"/>
      <c r="EV634" s="1"/>
      <c r="EW634" s="1"/>
      <c r="EX634" s="1"/>
      <c r="EY634" s="1"/>
      <c r="EZ634" s="1"/>
      <c r="FA634" s="1"/>
      <c r="FB634" s="1"/>
      <c r="FC634" s="1"/>
      <c r="FD634" s="1"/>
      <c r="FE634" s="1"/>
      <c r="FF634" s="1"/>
      <c r="FG634" s="1"/>
      <c r="FH634" s="1"/>
      <c r="FI634" s="1"/>
      <c r="FJ634" s="1"/>
      <c r="FK634" s="1"/>
      <c r="FL634" s="1"/>
      <c r="FM634" s="1"/>
      <c r="FN634" s="1"/>
      <c r="FO634" s="1"/>
      <c r="FP634" s="1"/>
      <c r="FQ634" s="1"/>
      <c r="FR634" s="2"/>
      <c r="FS634" s="1"/>
    </row>
    <row r="635" spans="1:175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R635" s="1"/>
      <c r="S635" s="1"/>
      <c r="T635" s="1"/>
      <c r="U635" s="1"/>
      <c r="V635" s="1"/>
      <c r="Y635" s="1"/>
      <c r="Z635" s="2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U635" s="1"/>
      <c r="AW635" s="1"/>
      <c r="AX635" s="1"/>
      <c r="AY635" s="1"/>
      <c r="AZ635" s="1"/>
      <c r="BA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  <c r="DC635" s="1"/>
      <c r="DD635" s="1"/>
      <c r="DE635" s="1"/>
      <c r="DF635" s="1"/>
      <c r="DG635" s="1"/>
      <c r="DH635" s="1"/>
      <c r="DI635" s="1"/>
      <c r="DJ635" s="1"/>
      <c r="DK635" s="1"/>
      <c r="DL635" s="1"/>
      <c r="DM635" s="1"/>
      <c r="DN635" s="1"/>
      <c r="DO635" s="1"/>
      <c r="DP635" s="1"/>
      <c r="DQ635" s="1"/>
      <c r="DR635" s="1"/>
      <c r="DS635" s="1"/>
      <c r="DT635" s="1"/>
      <c r="DU635" s="1"/>
      <c r="DV635" s="1"/>
      <c r="DW635" s="1"/>
      <c r="DX635" s="1"/>
      <c r="DY635" s="1"/>
      <c r="DZ635" s="1"/>
      <c r="EA635" s="1"/>
      <c r="EB635" s="1"/>
      <c r="EC635" s="1"/>
      <c r="ED635" s="1"/>
      <c r="EE635" s="1"/>
      <c r="EF635" s="1"/>
      <c r="EG635" s="1"/>
      <c r="EH635" s="1"/>
      <c r="EI635" s="1"/>
      <c r="EJ635" s="1"/>
      <c r="EK635" s="1"/>
      <c r="EL635" s="1"/>
      <c r="EM635" s="1"/>
      <c r="EN635" s="1"/>
      <c r="EO635" s="1"/>
      <c r="EP635" s="1"/>
      <c r="EQ635" s="1"/>
      <c r="ER635" s="1"/>
      <c r="ES635" s="1"/>
      <c r="ET635" s="1"/>
      <c r="EU635" s="1"/>
      <c r="EV635" s="1"/>
      <c r="EW635" s="1"/>
      <c r="EX635" s="1"/>
      <c r="EY635" s="1"/>
      <c r="EZ635" s="1"/>
      <c r="FA635" s="1"/>
      <c r="FB635" s="1"/>
      <c r="FC635" s="1"/>
      <c r="FD635" s="1"/>
      <c r="FE635" s="1"/>
      <c r="FF635" s="1"/>
      <c r="FG635" s="1"/>
      <c r="FH635" s="1"/>
      <c r="FI635" s="1"/>
      <c r="FJ635" s="1"/>
      <c r="FK635" s="1"/>
      <c r="FL635" s="1"/>
      <c r="FM635" s="1"/>
      <c r="FN635" s="1"/>
      <c r="FO635" s="1"/>
      <c r="FP635" s="1"/>
      <c r="FQ635" s="1"/>
      <c r="FR635" s="2"/>
      <c r="FS635" s="1"/>
    </row>
    <row r="636" spans="1:175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R636" s="1"/>
      <c r="S636" s="1"/>
      <c r="T636" s="1"/>
      <c r="U636" s="1"/>
      <c r="V636" s="1"/>
      <c r="Y636" s="1"/>
      <c r="Z636" s="2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U636" s="1"/>
      <c r="AW636" s="1"/>
      <c r="AX636" s="1"/>
      <c r="AY636" s="1"/>
      <c r="AZ636" s="1"/>
      <c r="BA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  <c r="DC636" s="1"/>
      <c r="DD636" s="1"/>
      <c r="DE636" s="1"/>
      <c r="DF636" s="1"/>
      <c r="DG636" s="1"/>
      <c r="DH636" s="1"/>
      <c r="DI636" s="1"/>
      <c r="DJ636" s="1"/>
      <c r="DK636" s="1"/>
      <c r="DL636" s="1"/>
      <c r="DM636" s="1"/>
      <c r="DN636" s="1"/>
      <c r="DO636" s="1"/>
      <c r="DP636" s="1"/>
      <c r="DQ636" s="1"/>
      <c r="DR636" s="1"/>
      <c r="DS636" s="1"/>
      <c r="DT636" s="1"/>
      <c r="DU636" s="1"/>
      <c r="DV636" s="1"/>
      <c r="DW636" s="1"/>
      <c r="DX636" s="1"/>
      <c r="DY636" s="1"/>
      <c r="DZ636" s="1"/>
      <c r="EA636" s="1"/>
      <c r="EB636" s="1"/>
      <c r="EC636" s="1"/>
      <c r="ED636" s="1"/>
      <c r="EE636" s="1"/>
      <c r="EF636" s="1"/>
      <c r="EG636" s="1"/>
      <c r="EH636" s="1"/>
      <c r="EI636" s="1"/>
      <c r="EJ636" s="1"/>
      <c r="EK636" s="1"/>
      <c r="EL636" s="1"/>
      <c r="EM636" s="1"/>
      <c r="EN636" s="1"/>
      <c r="EO636" s="1"/>
      <c r="EP636" s="1"/>
      <c r="EQ636" s="1"/>
      <c r="ER636" s="1"/>
      <c r="ES636" s="1"/>
      <c r="ET636" s="1"/>
      <c r="EU636" s="1"/>
      <c r="EV636" s="1"/>
      <c r="EW636" s="1"/>
      <c r="EX636" s="1"/>
      <c r="EY636" s="1"/>
      <c r="EZ636" s="1"/>
      <c r="FA636" s="1"/>
      <c r="FB636" s="1"/>
      <c r="FC636" s="1"/>
      <c r="FD636" s="1"/>
      <c r="FE636" s="1"/>
      <c r="FF636" s="1"/>
      <c r="FG636" s="1"/>
      <c r="FH636" s="1"/>
      <c r="FI636" s="1"/>
      <c r="FJ636" s="1"/>
      <c r="FK636" s="1"/>
      <c r="FL636" s="1"/>
      <c r="FM636" s="1"/>
      <c r="FN636" s="1"/>
      <c r="FO636" s="1"/>
      <c r="FP636" s="1"/>
      <c r="FQ636" s="1"/>
      <c r="FR636" s="2"/>
      <c r="FS636" s="1"/>
    </row>
    <row r="637" spans="1:175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R637" s="1"/>
      <c r="S637" s="1"/>
      <c r="T637" s="1"/>
      <c r="U637" s="1"/>
      <c r="V637" s="1"/>
      <c r="Y637" s="1"/>
      <c r="Z637" s="2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U637" s="1"/>
      <c r="AW637" s="1"/>
      <c r="AX637" s="1"/>
      <c r="AY637" s="1"/>
      <c r="AZ637" s="1"/>
      <c r="BA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  <c r="DC637" s="1"/>
      <c r="DD637" s="1"/>
      <c r="DE637" s="1"/>
      <c r="DF637" s="1"/>
      <c r="DG637" s="1"/>
      <c r="DH637" s="1"/>
      <c r="DI637" s="1"/>
      <c r="DJ637" s="1"/>
      <c r="DK637" s="1"/>
      <c r="DL637" s="1"/>
      <c r="DM637" s="1"/>
      <c r="DN637" s="1"/>
      <c r="DO637" s="1"/>
      <c r="DP637" s="1"/>
      <c r="DQ637" s="1"/>
      <c r="DR637" s="1"/>
      <c r="DS637" s="1"/>
      <c r="DT637" s="1"/>
      <c r="DU637" s="1"/>
      <c r="DV637" s="1"/>
      <c r="DW637" s="1"/>
      <c r="DX637" s="1"/>
      <c r="DY637" s="1"/>
      <c r="DZ637" s="1"/>
      <c r="EA637" s="1"/>
      <c r="EB637" s="1"/>
      <c r="EC637" s="1"/>
      <c r="ED637" s="1"/>
      <c r="EE637" s="1"/>
      <c r="EF637" s="1"/>
      <c r="EG637" s="1"/>
      <c r="EH637" s="1"/>
      <c r="EI637" s="1"/>
      <c r="EJ637" s="1"/>
      <c r="EK637" s="1"/>
      <c r="EL637" s="1"/>
      <c r="EM637" s="1"/>
      <c r="EN637" s="1"/>
      <c r="EO637" s="1"/>
      <c r="EP637" s="1"/>
      <c r="EQ637" s="1"/>
      <c r="ER637" s="1"/>
      <c r="ES637" s="1"/>
      <c r="ET637" s="1"/>
      <c r="EU637" s="1"/>
      <c r="EV637" s="1"/>
      <c r="EW637" s="1"/>
      <c r="EX637" s="1"/>
      <c r="EY637" s="1"/>
      <c r="EZ637" s="1"/>
      <c r="FA637" s="1"/>
      <c r="FB637" s="1"/>
      <c r="FC637" s="1"/>
      <c r="FD637" s="1"/>
      <c r="FE637" s="1"/>
      <c r="FF637" s="1"/>
      <c r="FG637" s="1"/>
      <c r="FH637" s="1"/>
      <c r="FI637" s="1"/>
      <c r="FJ637" s="1"/>
      <c r="FK637" s="1"/>
      <c r="FL637" s="1"/>
      <c r="FM637" s="1"/>
      <c r="FN637" s="1"/>
      <c r="FO637" s="1"/>
      <c r="FP637" s="1"/>
      <c r="FQ637" s="1"/>
      <c r="FR637" s="2"/>
      <c r="FS637" s="1"/>
    </row>
    <row r="638" spans="1:175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R638" s="1"/>
      <c r="S638" s="1"/>
      <c r="T638" s="1"/>
      <c r="U638" s="1"/>
      <c r="V638" s="1"/>
      <c r="Y638" s="1"/>
      <c r="Z638" s="2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U638" s="1"/>
      <c r="AW638" s="1"/>
      <c r="AX638" s="1"/>
      <c r="AY638" s="1"/>
      <c r="AZ638" s="1"/>
      <c r="BA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  <c r="DC638" s="1"/>
      <c r="DD638" s="1"/>
      <c r="DE638" s="1"/>
      <c r="DF638" s="1"/>
      <c r="DG638" s="1"/>
      <c r="DH638" s="1"/>
      <c r="DI638" s="1"/>
      <c r="DJ638" s="1"/>
      <c r="DK638" s="1"/>
      <c r="DL638" s="1"/>
      <c r="DM638" s="1"/>
      <c r="DN638" s="1"/>
      <c r="DO638" s="1"/>
      <c r="DP638" s="1"/>
      <c r="DQ638" s="1"/>
      <c r="DR638" s="1"/>
      <c r="DS638" s="1"/>
      <c r="DT638" s="1"/>
      <c r="DU638" s="1"/>
      <c r="DV638" s="1"/>
      <c r="DW638" s="1"/>
      <c r="DX638" s="1"/>
      <c r="DY638" s="1"/>
      <c r="DZ638" s="1"/>
      <c r="EA638" s="1"/>
      <c r="EB638" s="1"/>
      <c r="EC638" s="1"/>
      <c r="ED638" s="1"/>
      <c r="EE638" s="1"/>
      <c r="EF638" s="1"/>
      <c r="EG638" s="1"/>
      <c r="EH638" s="1"/>
      <c r="EI638" s="1"/>
      <c r="EJ638" s="1"/>
      <c r="EK638" s="1"/>
      <c r="EL638" s="1"/>
      <c r="EM638" s="1"/>
      <c r="EN638" s="1"/>
      <c r="EO638" s="1"/>
      <c r="EP638" s="1"/>
      <c r="EQ638" s="1"/>
      <c r="ER638" s="1"/>
      <c r="ES638" s="1"/>
      <c r="ET638" s="1"/>
      <c r="EU638" s="1"/>
      <c r="EV638" s="1"/>
      <c r="EW638" s="1"/>
      <c r="EX638" s="1"/>
      <c r="EY638" s="1"/>
      <c r="EZ638" s="1"/>
      <c r="FA638" s="1"/>
      <c r="FB638" s="1"/>
      <c r="FC638" s="1"/>
      <c r="FD638" s="1"/>
      <c r="FE638" s="1"/>
      <c r="FF638" s="1"/>
      <c r="FG638" s="1"/>
      <c r="FH638" s="1"/>
      <c r="FI638" s="1"/>
      <c r="FJ638" s="1"/>
      <c r="FK638" s="1"/>
      <c r="FL638" s="1"/>
      <c r="FM638" s="1"/>
      <c r="FN638" s="1"/>
      <c r="FO638" s="1"/>
      <c r="FP638" s="1"/>
      <c r="FQ638" s="1"/>
      <c r="FR638" s="2"/>
      <c r="FS638" s="1"/>
    </row>
    <row r="639" spans="1:175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R639" s="1"/>
      <c r="S639" s="1"/>
      <c r="T639" s="1"/>
      <c r="U639" s="1"/>
      <c r="V639" s="1"/>
      <c r="Y639" s="1"/>
      <c r="Z639" s="2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U639" s="1"/>
      <c r="AW639" s="1"/>
      <c r="AX639" s="1"/>
      <c r="AY639" s="1"/>
      <c r="AZ639" s="1"/>
      <c r="BA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  <c r="DC639" s="1"/>
      <c r="DD639" s="1"/>
      <c r="DE639" s="1"/>
      <c r="DF639" s="1"/>
      <c r="DG639" s="1"/>
      <c r="DH639" s="1"/>
      <c r="DI639" s="1"/>
      <c r="DJ639" s="1"/>
      <c r="DK639" s="1"/>
      <c r="DL639" s="1"/>
      <c r="DM639" s="1"/>
      <c r="DN639" s="1"/>
      <c r="DO639" s="1"/>
      <c r="DP639" s="1"/>
      <c r="DQ639" s="1"/>
      <c r="DR639" s="1"/>
      <c r="DS639" s="1"/>
      <c r="DT639" s="1"/>
      <c r="DU639" s="1"/>
      <c r="DV639" s="1"/>
      <c r="DW639" s="1"/>
      <c r="DX639" s="1"/>
      <c r="DY639" s="1"/>
      <c r="DZ639" s="1"/>
      <c r="EA639" s="1"/>
      <c r="EB639" s="1"/>
      <c r="EC639" s="1"/>
      <c r="ED639" s="1"/>
      <c r="EE639" s="1"/>
      <c r="EF639" s="1"/>
      <c r="EG639" s="1"/>
      <c r="EH639" s="1"/>
      <c r="EI639" s="1"/>
      <c r="EJ639" s="1"/>
      <c r="EK639" s="1"/>
      <c r="EL639" s="1"/>
      <c r="EM639" s="1"/>
      <c r="EN639" s="1"/>
      <c r="EO639" s="1"/>
      <c r="EP639" s="1"/>
      <c r="EQ639" s="1"/>
      <c r="ER639" s="1"/>
      <c r="ES639" s="1"/>
      <c r="ET639" s="1"/>
      <c r="EU639" s="1"/>
      <c r="EV639" s="1"/>
      <c r="EW639" s="1"/>
      <c r="EX639" s="1"/>
      <c r="EY639" s="1"/>
      <c r="EZ639" s="1"/>
      <c r="FA639" s="1"/>
      <c r="FB639" s="1"/>
      <c r="FC639" s="1"/>
      <c r="FD639" s="1"/>
      <c r="FE639" s="1"/>
      <c r="FF639" s="1"/>
      <c r="FG639" s="1"/>
      <c r="FH639" s="1"/>
      <c r="FI639" s="1"/>
      <c r="FJ639" s="1"/>
      <c r="FK639" s="1"/>
      <c r="FL639" s="1"/>
      <c r="FM639" s="1"/>
      <c r="FN639" s="1"/>
      <c r="FO639" s="1"/>
      <c r="FP639" s="1"/>
      <c r="FQ639" s="1"/>
      <c r="FR639" s="2"/>
      <c r="FS639" s="1"/>
    </row>
    <row r="640" spans="1:175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R640" s="1"/>
      <c r="S640" s="1"/>
      <c r="T640" s="1"/>
      <c r="U640" s="1"/>
      <c r="V640" s="1"/>
      <c r="Y640" s="1"/>
      <c r="Z640" s="2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U640" s="1"/>
      <c r="AW640" s="1"/>
      <c r="AX640" s="1"/>
      <c r="AY640" s="1"/>
      <c r="AZ640" s="1"/>
      <c r="BA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  <c r="DC640" s="1"/>
      <c r="DD640" s="1"/>
      <c r="DE640" s="1"/>
      <c r="DF640" s="1"/>
      <c r="DG640" s="1"/>
      <c r="DH640" s="1"/>
      <c r="DI640" s="1"/>
      <c r="DJ640" s="1"/>
      <c r="DK640" s="1"/>
      <c r="DL640" s="1"/>
      <c r="DM640" s="1"/>
      <c r="DN640" s="1"/>
      <c r="DO640" s="1"/>
      <c r="DP640" s="1"/>
      <c r="DQ640" s="1"/>
      <c r="DR640" s="1"/>
      <c r="DS640" s="1"/>
      <c r="DT640" s="1"/>
      <c r="DU640" s="1"/>
      <c r="DV640" s="1"/>
      <c r="DW640" s="1"/>
      <c r="DX640" s="1"/>
      <c r="DY640" s="1"/>
      <c r="DZ640" s="1"/>
      <c r="EA640" s="1"/>
      <c r="EB640" s="1"/>
      <c r="EC640" s="1"/>
      <c r="ED640" s="1"/>
      <c r="EE640" s="1"/>
      <c r="EF640" s="1"/>
      <c r="EG640" s="1"/>
      <c r="EH640" s="1"/>
      <c r="EI640" s="1"/>
      <c r="EJ640" s="1"/>
      <c r="EK640" s="1"/>
      <c r="EL640" s="1"/>
      <c r="EM640" s="1"/>
      <c r="EN640" s="1"/>
      <c r="EO640" s="1"/>
      <c r="EP640" s="1"/>
      <c r="EQ640" s="1"/>
      <c r="ER640" s="1"/>
      <c r="ES640" s="1"/>
      <c r="ET640" s="1"/>
      <c r="EU640" s="1"/>
      <c r="EV640" s="1"/>
      <c r="EW640" s="1"/>
      <c r="EX640" s="1"/>
      <c r="EY640" s="1"/>
      <c r="EZ640" s="1"/>
      <c r="FA640" s="1"/>
      <c r="FB640" s="1"/>
      <c r="FC640" s="1"/>
      <c r="FD640" s="1"/>
      <c r="FE640" s="1"/>
      <c r="FF640" s="1"/>
      <c r="FG640" s="1"/>
      <c r="FH640" s="1"/>
      <c r="FI640" s="1"/>
      <c r="FJ640" s="1"/>
      <c r="FK640" s="1"/>
      <c r="FL640" s="1"/>
      <c r="FM640" s="1"/>
      <c r="FN640" s="1"/>
      <c r="FO640" s="1"/>
      <c r="FP640" s="1"/>
      <c r="FQ640" s="1"/>
      <c r="FR640" s="2"/>
      <c r="FS640" s="1"/>
    </row>
    <row r="641" spans="1:175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R641" s="1"/>
      <c r="S641" s="1"/>
      <c r="T641" s="1"/>
      <c r="U641" s="1"/>
      <c r="V641" s="1"/>
      <c r="Y641" s="1"/>
      <c r="Z641" s="2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U641" s="1"/>
      <c r="AW641" s="1"/>
      <c r="AX641" s="1"/>
      <c r="AY641" s="1"/>
      <c r="AZ641" s="1"/>
      <c r="BA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  <c r="DC641" s="1"/>
      <c r="DD641" s="1"/>
      <c r="DE641" s="1"/>
      <c r="DF641" s="1"/>
      <c r="DG641" s="1"/>
      <c r="DH641" s="1"/>
      <c r="DI641" s="1"/>
      <c r="DJ641" s="1"/>
      <c r="DK641" s="1"/>
      <c r="DL641" s="1"/>
      <c r="DM641" s="1"/>
      <c r="DN641" s="1"/>
      <c r="DO641" s="1"/>
      <c r="DP641" s="1"/>
      <c r="DQ641" s="1"/>
      <c r="DR641" s="1"/>
      <c r="DS641" s="1"/>
      <c r="DT641" s="1"/>
      <c r="DU641" s="1"/>
      <c r="DV641" s="1"/>
      <c r="DW641" s="1"/>
      <c r="DX641" s="1"/>
      <c r="DY641" s="1"/>
      <c r="DZ641" s="1"/>
      <c r="EA641" s="1"/>
      <c r="EB641" s="1"/>
      <c r="EC641" s="1"/>
      <c r="ED641" s="1"/>
      <c r="EE641" s="1"/>
      <c r="EF641" s="1"/>
      <c r="EG641" s="1"/>
      <c r="EH641" s="1"/>
      <c r="EI641" s="1"/>
      <c r="EJ641" s="1"/>
      <c r="EK641" s="1"/>
      <c r="EL641" s="1"/>
      <c r="EM641" s="1"/>
      <c r="EN641" s="1"/>
      <c r="EO641" s="1"/>
      <c r="EP641" s="1"/>
      <c r="EQ641" s="1"/>
      <c r="ER641" s="1"/>
      <c r="ES641" s="1"/>
      <c r="ET641" s="1"/>
      <c r="EU641" s="1"/>
      <c r="EV641" s="1"/>
      <c r="EW641" s="1"/>
      <c r="EX641" s="1"/>
      <c r="EY641" s="1"/>
      <c r="EZ641" s="1"/>
      <c r="FA641" s="1"/>
      <c r="FB641" s="1"/>
      <c r="FC641" s="1"/>
      <c r="FD641" s="1"/>
      <c r="FE641" s="1"/>
      <c r="FF641" s="1"/>
      <c r="FG641" s="1"/>
      <c r="FH641" s="1"/>
      <c r="FI641" s="1"/>
      <c r="FJ641" s="1"/>
      <c r="FK641" s="1"/>
      <c r="FL641" s="1"/>
      <c r="FM641" s="1"/>
      <c r="FN641" s="1"/>
      <c r="FO641" s="1"/>
      <c r="FP641" s="1"/>
      <c r="FQ641" s="1"/>
      <c r="FR641" s="2"/>
      <c r="FS641" s="1"/>
    </row>
    <row r="642" spans="1:175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R642" s="1"/>
      <c r="S642" s="1"/>
      <c r="T642" s="1"/>
      <c r="U642" s="1"/>
      <c r="V642" s="1"/>
      <c r="Y642" s="1"/>
      <c r="Z642" s="2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U642" s="1"/>
      <c r="AW642" s="1"/>
      <c r="AX642" s="1"/>
      <c r="AY642" s="1"/>
      <c r="AZ642" s="1"/>
      <c r="BA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  <c r="DC642" s="1"/>
      <c r="DD642" s="1"/>
      <c r="DE642" s="1"/>
      <c r="DF642" s="1"/>
      <c r="DG642" s="1"/>
      <c r="DH642" s="1"/>
      <c r="DI642" s="1"/>
      <c r="DJ642" s="1"/>
      <c r="DK642" s="1"/>
      <c r="DL642" s="1"/>
      <c r="DM642" s="1"/>
      <c r="DN642" s="1"/>
      <c r="DO642" s="1"/>
      <c r="DP642" s="1"/>
      <c r="DQ642" s="1"/>
      <c r="DR642" s="1"/>
      <c r="DS642" s="1"/>
      <c r="DT642" s="1"/>
      <c r="DU642" s="1"/>
      <c r="DV642" s="1"/>
      <c r="DW642" s="1"/>
      <c r="DX642" s="1"/>
      <c r="DY642" s="1"/>
      <c r="DZ642" s="1"/>
      <c r="EA642" s="1"/>
      <c r="EB642" s="1"/>
      <c r="EC642" s="1"/>
      <c r="ED642" s="1"/>
      <c r="EE642" s="1"/>
      <c r="EF642" s="1"/>
      <c r="EG642" s="1"/>
      <c r="EH642" s="1"/>
      <c r="EI642" s="1"/>
      <c r="EJ642" s="1"/>
      <c r="EK642" s="1"/>
      <c r="EL642" s="1"/>
      <c r="EM642" s="1"/>
      <c r="EN642" s="1"/>
      <c r="EO642" s="1"/>
      <c r="EP642" s="1"/>
      <c r="EQ642" s="1"/>
      <c r="ER642" s="1"/>
      <c r="ES642" s="1"/>
      <c r="ET642" s="1"/>
      <c r="EU642" s="1"/>
      <c r="EV642" s="1"/>
      <c r="EW642" s="1"/>
      <c r="EX642" s="1"/>
      <c r="EY642" s="1"/>
      <c r="EZ642" s="1"/>
      <c r="FA642" s="1"/>
      <c r="FB642" s="1"/>
      <c r="FC642" s="1"/>
      <c r="FD642" s="1"/>
      <c r="FE642" s="1"/>
      <c r="FF642" s="1"/>
      <c r="FG642" s="1"/>
      <c r="FH642" s="1"/>
      <c r="FI642" s="1"/>
      <c r="FJ642" s="1"/>
      <c r="FK642" s="1"/>
      <c r="FL642" s="1"/>
      <c r="FM642" s="1"/>
      <c r="FN642" s="1"/>
      <c r="FO642" s="1"/>
      <c r="FP642" s="1"/>
      <c r="FQ642" s="1"/>
      <c r="FR642" s="2"/>
      <c r="FS642" s="1"/>
    </row>
    <row r="643" spans="1:175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R643" s="1"/>
      <c r="S643" s="1"/>
      <c r="T643" s="1"/>
      <c r="U643" s="1"/>
      <c r="V643" s="1"/>
      <c r="Y643" s="1"/>
      <c r="Z643" s="2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U643" s="1"/>
      <c r="AW643" s="1"/>
      <c r="AX643" s="1"/>
      <c r="AY643" s="1"/>
      <c r="AZ643" s="1"/>
      <c r="BA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  <c r="DC643" s="1"/>
      <c r="DD643" s="1"/>
      <c r="DE643" s="1"/>
      <c r="DF643" s="1"/>
      <c r="DG643" s="1"/>
      <c r="DH643" s="1"/>
      <c r="DI643" s="1"/>
      <c r="DJ643" s="1"/>
      <c r="DK643" s="1"/>
      <c r="DL643" s="1"/>
      <c r="DM643" s="1"/>
      <c r="DN643" s="1"/>
      <c r="DO643" s="1"/>
      <c r="DP643" s="1"/>
      <c r="DQ643" s="1"/>
      <c r="DR643" s="1"/>
      <c r="DS643" s="1"/>
      <c r="DT643" s="1"/>
      <c r="DU643" s="1"/>
      <c r="DV643" s="1"/>
      <c r="DW643" s="1"/>
      <c r="DX643" s="1"/>
      <c r="DY643" s="1"/>
      <c r="DZ643" s="1"/>
      <c r="EA643" s="1"/>
      <c r="EB643" s="1"/>
      <c r="EC643" s="1"/>
      <c r="ED643" s="1"/>
      <c r="EE643" s="1"/>
      <c r="EF643" s="1"/>
      <c r="EG643" s="1"/>
      <c r="EH643" s="1"/>
      <c r="EI643" s="1"/>
      <c r="EJ643" s="1"/>
      <c r="EK643" s="1"/>
      <c r="EL643" s="1"/>
      <c r="EM643" s="1"/>
      <c r="EN643" s="1"/>
      <c r="EO643" s="1"/>
      <c r="EP643" s="1"/>
      <c r="EQ643" s="1"/>
      <c r="ER643" s="1"/>
      <c r="ES643" s="1"/>
      <c r="ET643" s="1"/>
      <c r="EU643" s="1"/>
      <c r="EV643" s="1"/>
      <c r="EW643" s="1"/>
      <c r="EX643" s="1"/>
      <c r="EY643" s="1"/>
      <c r="EZ643" s="1"/>
      <c r="FA643" s="1"/>
      <c r="FB643" s="1"/>
      <c r="FC643" s="1"/>
      <c r="FD643" s="1"/>
      <c r="FE643" s="1"/>
      <c r="FF643" s="1"/>
      <c r="FG643" s="1"/>
      <c r="FH643" s="1"/>
      <c r="FI643" s="1"/>
      <c r="FJ643" s="1"/>
      <c r="FK643" s="1"/>
      <c r="FL643" s="1"/>
      <c r="FM643" s="1"/>
      <c r="FN643" s="1"/>
      <c r="FO643" s="1"/>
      <c r="FP643" s="1"/>
      <c r="FQ643" s="1"/>
      <c r="FR643" s="2"/>
      <c r="FS643" s="1"/>
    </row>
    <row r="644" spans="1:175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R644" s="1"/>
      <c r="S644" s="1"/>
      <c r="T644" s="1"/>
      <c r="U644" s="1"/>
      <c r="V644" s="1"/>
      <c r="Y644" s="1"/>
      <c r="Z644" s="2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U644" s="1"/>
      <c r="AW644" s="1"/>
      <c r="AX644" s="1"/>
      <c r="AY644" s="1"/>
      <c r="AZ644" s="1"/>
      <c r="BA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  <c r="DC644" s="1"/>
      <c r="DD644" s="1"/>
      <c r="DE644" s="1"/>
      <c r="DF644" s="1"/>
      <c r="DG644" s="1"/>
      <c r="DH644" s="1"/>
      <c r="DI644" s="1"/>
      <c r="DJ644" s="1"/>
      <c r="DK644" s="1"/>
      <c r="DL644" s="1"/>
      <c r="DM644" s="1"/>
      <c r="DN644" s="1"/>
      <c r="DO644" s="1"/>
      <c r="DP644" s="1"/>
      <c r="DQ644" s="1"/>
      <c r="DR644" s="1"/>
      <c r="DS644" s="1"/>
      <c r="DT644" s="1"/>
      <c r="DU644" s="1"/>
      <c r="DV644" s="1"/>
      <c r="DW644" s="1"/>
      <c r="DX644" s="1"/>
      <c r="DY644" s="1"/>
      <c r="DZ644" s="1"/>
      <c r="EA644" s="1"/>
      <c r="EB644" s="1"/>
      <c r="EC644" s="1"/>
      <c r="ED644" s="1"/>
      <c r="EE644" s="1"/>
      <c r="EF644" s="1"/>
      <c r="EG644" s="1"/>
      <c r="EH644" s="1"/>
      <c r="EI644" s="1"/>
      <c r="EJ644" s="1"/>
      <c r="EK644" s="1"/>
      <c r="EL644" s="1"/>
      <c r="EM644" s="1"/>
      <c r="EN644" s="1"/>
      <c r="EO644" s="1"/>
      <c r="EP644" s="1"/>
      <c r="EQ644" s="1"/>
      <c r="ER644" s="1"/>
      <c r="ES644" s="1"/>
      <c r="ET644" s="1"/>
      <c r="EU644" s="1"/>
      <c r="EV644" s="1"/>
      <c r="EW644" s="1"/>
      <c r="EX644" s="1"/>
      <c r="EY644" s="1"/>
      <c r="EZ644" s="1"/>
      <c r="FA644" s="1"/>
      <c r="FB644" s="1"/>
      <c r="FC644" s="1"/>
      <c r="FD644" s="1"/>
      <c r="FE644" s="1"/>
      <c r="FF644" s="1"/>
      <c r="FG644" s="1"/>
      <c r="FH644" s="1"/>
      <c r="FI644" s="1"/>
      <c r="FJ644" s="1"/>
      <c r="FK644" s="1"/>
      <c r="FL644" s="1"/>
      <c r="FM644" s="1"/>
      <c r="FN644" s="1"/>
      <c r="FO644" s="1"/>
      <c r="FP644" s="1"/>
      <c r="FQ644" s="1"/>
      <c r="FR644" s="2"/>
      <c r="FS644" s="1"/>
    </row>
    <row r="645" spans="1:175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R645" s="1"/>
      <c r="S645" s="1"/>
      <c r="T645" s="1"/>
      <c r="U645" s="1"/>
      <c r="V645" s="1"/>
      <c r="Y645" s="1"/>
      <c r="Z645" s="2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U645" s="1"/>
      <c r="AW645" s="1"/>
      <c r="AX645" s="1"/>
      <c r="AY645" s="1"/>
      <c r="AZ645" s="1"/>
      <c r="BA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  <c r="DC645" s="1"/>
      <c r="DD645" s="1"/>
      <c r="DE645" s="1"/>
      <c r="DF645" s="1"/>
      <c r="DG645" s="1"/>
      <c r="DH645" s="1"/>
      <c r="DI645" s="1"/>
      <c r="DJ645" s="1"/>
      <c r="DK645" s="1"/>
      <c r="DL645" s="1"/>
      <c r="DM645" s="1"/>
      <c r="DN645" s="1"/>
      <c r="DO645" s="1"/>
      <c r="DP645" s="1"/>
      <c r="DQ645" s="1"/>
      <c r="DR645" s="1"/>
      <c r="DS645" s="1"/>
      <c r="DT645" s="1"/>
      <c r="DU645" s="1"/>
      <c r="DV645" s="1"/>
      <c r="DW645" s="1"/>
      <c r="DX645" s="1"/>
      <c r="DY645" s="1"/>
      <c r="DZ645" s="1"/>
      <c r="EA645" s="1"/>
      <c r="EB645" s="1"/>
      <c r="EC645" s="1"/>
      <c r="ED645" s="1"/>
      <c r="EE645" s="1"/>
      <c r="EF645" s="1"/>
      <c r="EG645" s="1"/>
      <c r="EH645" s="1"/>
      <c r="EI645" s="1"/>
      <c r="EJ645" s="1"/>
      <c r="EK645" s="1"/>
      <c r="EL645" s="1"/>
      <c r="EM645" s="1"/>
      <c r="EN645" s="1"/>
      <c r="EO645" s="1"/>
      <c r="EP645" s="1"/>
      <c r="EQ645" s="1"/>
      <c r="ER645" s="1"/>
      <c r="ES645" s="1"/>
      <c r="ET645" s="1"/>
      <c r="EU645" s="1"/>
      <c r="EV645" s="1"/>
      <c r="EW645" s="1"/>
      <c r="EX645" s="1"/>
      <c r="EY645" s="1"/>
      <c r="EZ645" s="1"/>
      <c r="FA645" s="1"/>
      <c r="FB645" s="1"/>
      <c r="FC645" s="1"/>
      <c r="FD645" s="1"/>
      <c r="FE645" s="1"/>
      <c r="FF645" s="1"/>
      <c r="FG645" s="1"/>
      <c r="FH645" s="1"/>
      <c r="FI645" s="1"/>
      <c r="FJ645" s="1"/>
      <c r="FK645" s="1"/>
      <c r="FL645" s="1"/>
      <c r="FM645" s="1"/>
      <c r="FN645" s="1"/>
      <c r="FO645" s="1"/>
      <c r="FP645" s="1"/>
      <c r="FQ645" s="1"/>
      <c r="FR645" s="2"/>
      <c r="FS645" s="1"/>
    </row>
    <row r="646" spans="1:175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R646" s="1"/>
      <c r="S646" s="1"/>
      <c r="T646" s="1"/>
      <c r="U646" s="1"/>
      <c r="V646" s="1"/>
      <c r="Y646" s="1"/>
      <c r="Z646" s="2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U646" s="1"/>
      <c r="AW646" s="1"/>
      <c r="AX646" s="1"/>
      <c r="AY646" s="1"/>
      <c r="AZ646" s="1"/>
      <c r="BA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  <c r="DC646" s="1"/>
      <c r="DD646" s="1"/>
      <c r="DE646" s="1"/>
      <c r="DF646" s="1"/>
      <c r="DG646" s="1"/>
      <c r="DH646" s="1"/>
      <c r="DI646" s="1"/>
      <c r="DJ646" s="1"/>
      <c r="DK646" s="1"/>
      <c r="DL646" s="1"/>
      <c r="DM646" s="1"/>
      <c r="DN646" s="1"/>
      <c r="DO646" s="1"/>
      <c r="DP646" s="1"/>
      <c r="DQ646" s="1"/>
      <c r="DR646" s="1"/>
      <c r="DS646" s="1"/>
      <c r="DT646" s="1"/>
      <c r="DU646" s="1"/>
      <c r="DV646" s="1"/>
      <c r="DW646" s="1"/>
      <c r="DX646" s="1"/>
      <c r="DY646" s="1"/>
      <c r="DZ646" s="1"/>
      <c r="EA646" s="1"/>
      <c r="EB646" s="1"/>
      <c r="EC646" s="1"/>
      <c r="ED646" s="1"/>
      <c r="EE646" s="1"/>
      <c r="EF646" s="1"/>
      <c r="EG646" s="1"/>
      <c r="EH646" s="1"/>
      <c r="EI646" s="1"/>
      <c r="EJ646" s="1"/>
      <c r="EK646" s="1"/>
      <c r="EL646" s="1"/>
      <c r="EM646" s="1"/>
      <c r="EN646" s="1"/>
      <c r="EO646" s="1"/>
      <c r="EP646" s="1"/>
      <c r="EQ646" s="1"/>
      <c r="ER646" s="1"/>
      <c r="ES646" s="1"/>
      <c r="ET646" s="1"/>
      <c r="EU646" s="1"/>
      <c r="EV646" s="1"/>
      <c r="EW646" s="1"/>
      <c r="EX646" s="1"/>
      <c r="EY646" s="1"/>
      <c r="EZ646" s="1"/>
      <c r="FA646" s="1"/>
      <c r="FB646" s="1"/>
      <c r="FC646" s="1"/>
      <c r="FD646" s="1"/>
      <c r="FE646" s="1"/>
      <c r="FF646" s="1"/>
      <c r="FG646" s="1"/>
      <c r="FH646" s="1"/>
      <c r="FI646" s="1"/>
      <c r="FJ646" s="1"/>
      <c r="FK646" s="1"/>
      <c r="FL646" s="1"/>
      <c r="FM646" s="1"/>
      <c r="FN646" s="1"/>
      <c r="FO646" s="1"/>
      <c r="FP646" s="1"/>
      <c r="FQ646" s="1"/>
      <c r="FR646" s="2"/>
      <c r="FS646" s="1"/>
    </row>
    <row r="647" spans="1:175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R647" s="1"/>
      <c r="S647" s="1"/>
      <c r="T647" s="1"/>
      <c r="U647" s="1"/>
      <c r="V647" s="1"/>
      <c r="Y647" s="1"/>
      <c r="Z647" s="2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U647" s="1"/>
      <c r="AW647" s="1"/>
      <c r="AX647" s="1"/>
      <c r="AY647" s="1"/>
      <c r="AZ647" s="1"/>
      <c r="BA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  <c r="DC647" s="1"/>
      <c r="DD647" s="1"/>
      <c r="DE647" s="1"/>
      <c r="DF647" s="1"/>
      <c r="DG647" s="1"/>
      <c r="DH647" s="1"/>
      <c r="DI647" s="1"/>
      <c r="DJ647" s="1"/>
      <c r="DK647" s="1"/>
      <c r="DL647" s="1"/>
      <c r="DM647" s="1"/>
      <c r="DN647" s="1"/>
      <c r="DO647" s="1"/>
      <c r="DP647" s="1"/>
      <c r="DQ647" s="1"/>
      <c r="DR647" s="1"/>
      <c r="DS647" s="1"/>
      <c r="DT647" s="1"/>
      <c r="DU647" s="1"/>
      <c r="DV647" s="1"/>
      <c r="DW647" s="1"/>
      <c r="DX647" s="1"/>
      <c r="DY647" s="1"/>
      <c r="DZ647" s="1"/>
      <c r="EA647" s="1"/>
      <c r="EB647" s="1"/>
      <c r="EC647" s="1"/>
      <c r="ED647" s="1"/>
      <c r="EE647" s="1"/>
      <c r="EF647" s="1"/>
      <c r="EG647" s="1"/>
      <c r="EH647" s="1"/>
      <c r="EI647" s="1"/>
      <c r="EJ647" s="1"/>
      <c r="EK647" s="1"/>
      <c r="EL647" s="1"/>
      <c r="EM647" s="1"/>
      <c r="EN647" s="1"/>
      <c r="EO647" s="1"/>
      <c r="EP647" s="1"/>
      <c r="EQ647" s="1"/>
      <c r="ER647" s="1"/>
      <c r="ES647" s="1"/>
      <c r="ET647" s="1"/>
      <c r="EU647" s="1"/>
      <c r="EV647" s="1"/>
      <c r="EW647" s="1"/>
      <c r="EX647" s="1"/>
      <c r="EY647" s="1"/>
      <c r="EZ647" s="1"/>
      <c r="FA647" s="1"/>
      <c r="FB647" s="1"/>
      <c r="FC647" s="1"/>
      <c r="FD647" s="1"/>
      <c r="FE647" s="1"/>
      <c r="FF647" s="1"/>
      <c r="FG647" s="1"/>
      <c r="FH647" s="1"/>
      <c r="FI647" s="1"/>
      <c r="FJ647" s="1"/>
      <c r="FK647" s="1"/>
      <c r="FL647" s="1"/>
      <c r="FM647" s="1"/>
      <c r="FN647" s="1"/>
      <c r="FO647" s="1"/>
      <c r="FP647" s="1"/>
      <c r="FQ647" s="1"/>
      <c r="FR647" s="2"/>
      <c r="FS647" s="1"/>
    </row>
    <row r="648" spans="1:175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R648" s="1"/>
      <c r="S648" s="1"/>
      <c r="T648" s="1"/>
      <c r="U648" s="1"/>
      <c r="V648" s="1"/>
      <c r="Y648" s="1"/>
      <c r="Z648" s="2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U648" s="1"/>
      <c r="AW648" s="1"/>
      <c r="AX648" s="1"/>
      <c r="AY648" s="1"/>
      <c r="AZ648" s="1"/>
      <c r="BA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  <c r="DC648" s="1"/>
      <c r="DD648" s="1"/>
      <c r="DE648" s="1"/>
      <c r="DF648" s="1"/>
      <c r="DG648" s="1"/>
      <c r="DH648" s="1"/>
      <c r="DI648" s="1"/>
      <c r="DJ648" s="1"/>
      <c r="DK648" s="1"/>
      <c r="DL648" s="1"/>
      <c r="DM648" s="1"/>
      <c r="DN648" s="1"/>
      <c r="DO648" s="1"/>
      <c r="DP648" s="1"/>
      <c r="DQ648" s="1"/>
      <c r="DR648" s="1"/>
      <c r="DS648" s="1"/>
      <c r="DT648" s="1"/>
      <c r="DU648" s="1"/>
      <c r="DV648" s="1"/>
      <c r="DW648" s="1"/>
      <c r="DX648" s="1"/>
      <c r="DY648" s="1"/>
      <c r="DZ648" s="1"/>
      <c r="EA648" s="1"/>
      <c r="EB648" s="1"/>
      <c r="EC648" s="1"/>
      <c r="ED648" s="1"/>
      <c r="EE648" s="1"/>
      <c r="EF648" s="1"/>
      <c r="EG648" s="1"/>
      <c r="EH648" s="1"/>
      <c r="EI648" s="1"/>
      <c r="EJ648" s="1"/>
      <c r="EK648" s="1"/>
      <c r="EL648" s="1"/>
      <c r="EM648" s="1"/>
      <c r="EN648" s="1"/>
      <c r="EO648" s="1"/>
      <c r="EP648" s="1"/>
      <c r="EQ648" s="1"/>
      <c r="ER648" s="1"/>
      <c r="ES648" s="1"/>
      <c r="ET648" s="1"/>
      <c r="EU648" s="1"/>
      <c r="EV648" s="1"/>
      <c r="EW648" s="1"/>
      <c r="EX648" s="1"/>
      <c r="EY648" s="1"/>
      <c r="EZ648" s="1"/>
      <c r="FA648" s="1"/>
      <c r="FB648" s="1"/>
      <c r="FC648" s="1"/>
      <c r="FD648" s="1"/>
      <c r="FE648" s="1"/>
      <c r="FF648" s="1"/>
      <c r="FG648" s="1"/>
      <c r="FH648" s="1"/>
      <c r="FI648" s="1"/>
      <c r="FJ648" s="1"/>
      <c r="FK648" s="1"/>
      <c r="FL648" s="1"/>
      <c r="FM648" s="1"/>
      <c r="FN648" s="1"/>
      <c r="FO648" s="1"/>
      <c r="FP648" s="1"/>
      <c r="FQ648" s="1"/>
      <c r="FR648" s="2"/>
      <c r="FS648" s="1"/>
    </row>
    <row r="649" spans="1:175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R649" s="1"/>
      <c r="S649" s="1"/>
      <c r="T649" s="1"/>
      <c r="U649" s="1"/>
      <c r="V649" s="1"/>
      <c r="Y649" s="1"/>
      <c r="Z649" s="2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U649" s="1"/>
      <c r="AW649" s="1"/>
      <c r="AX649" s="1"/>
      <c r="AY649" s="1"/>
      <c r="AZ649" s="1"/>
      <c r="BA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  <c r="DC649" s="1"/>
      <c r="DD649" s="1"/>
      <c r="DE649" s="1"/>
      <c r="DF649" s="1"/>
      <c r="DG649" s="1"/>
      <c r="DH649" s="1"/>
      <c r="DI649" s="1"/>
      <c r="DJ649" s="1"/>
      <c r="DK649" s="1"/>
      <c r="DL649" s="1"/>
      <c r="DM649" s="1"/>
      <c r="DN649" s="1"/>
      <c r="DO649" s="1"/>
      <c r="DP649" s="1"/>
      <c r="DQ649" s="1"/>
      <c r="DR649" s="1"/>
      <c r="DS649" s="1"/>
      <c r="DT649" s="1"/>
      <c r="DU649" s="1"/>
      <c r="DV649" s="1"/>
      <c r="DW649" s="1"/>
      <c r="DX649" s="1"/>
      <c r="DY649" s="1"/>
      <c r="DZ649" s="1"/>
      <c r="EA649" s="1"/>
      <c r="EB649" s="1"/>
      <c r="EC649" s="1"/>
      <c r="ED649" s="1"/>
      <c r="EE649" s="1"/>
      <c r="EF649" s="1"/>
      <c r="EG649" s="1"/>
      <c r="EH649" s="1"/>
      <c r="EI649" s="1"/>
      <c r="EJ649" s="1"/>
      <c r="EK649" s="1"/>
      <c r="EL649" s="1"/>
      <c r="EM649" s="1"/>
      <c r="EN649" s="1"/>
      <c r="EO649" s="1"/>
      <c r="EP649" s="1"/>
      <c r="EQ649" s="1"/>
      <c r="ER649" s="1"/>
      <c r="ES649" s="1"/>
      <c r="ET649" s="1"/>
      <c r="EU649" s="1"/>
      <c r="EV649" s="1"/>
      <c r="EW649" s="1"/>
      <c r="EX649" s="1"/>
      <c r="EY649" s="1"/>
      <c r="EZ649" s="1"/>
      <c r="FA649" s="1"/>
      <c r="FB649" s="1"/>
      <c r="FC649" s="1"/>
      <c r="FD649" s="1"/>
      <c r="FE649" s="1"/>
      <c r="FF649" s="1"/>
      <c r="FG649" s="1"/>
      <c r="FH649" s="1"/>
      <c r="FI649" s="1"/>
      <c r="FJ649" s="1"/>
      <c r="FK649" s="1"/>
      <c r="FL649" s="1"/>
      <c r="FM649" s="1"/>
      <c r="FN649" s="1"/>
      <c r="FO649" s="1"/>
      <c r="FP649" s="1"/>
      <c r="FQ649" s="1"/>
      <c r="FR649" s="2"/>
      <c r="FS649" s="1"/>
    </row>
    <row r="650" spans="1:175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R650" s="1"/>
      <c r="S650" s="1"/>
      <c r="T650" s="1"/>
      <c r="U650" s="1"/>
      <c r="V650" s="1"/>
      <c r="Y650" s="1"/>
      <c r="Z650" s="2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U650" s="1"/>
      <c r="AW650" s="1"/>
      <c r="AX650" s="1"/>
      <c r="AY650" s="1"/>
      <c r="AZ650" s="1"/>
      <c r="BA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  <c r="DC650" s="1"/>
      <c r="DD650" s="1"/>
      <c r="DE650" s="1"/>
      <c r="DF650" s="1"/>
      <c r="DG650" s="1"/>
      <c r="DH650" s="1"/>
      <c r="DI650" s="1"/>
      <c r="DJ650" s="1"/>
      <c r="DK650" s="1"/>
      <c r="DL650" s="1"/>
      <c r="DM650" s="1"/>
      <c r="DN650" s="1"/>
      <c r="DO650" s="1"/>
      <c r="DP650" s="1"/>
      <c r="DQ650" s="1"/>
      <c r="DR650" s="1"/>
      <c r="DS650" s="1"/>
      <c r="DT650" s="1"/>
      <c r="DU650" s="1"/>
      <c r="DV650" s="1"/>
      <c r="DW650" s="1"/>
      <c r="DX650" s="1"/>
      <c r="DY650" s="1"/>
      <c r="DZ650" s="1"/>
      <c r="EA650" s="1"/>
      <c r="EB650" s="1"/>
      <c r="EC650" s="1"/>
      <c r="ED650" s="1"/>
      <c r="EE650" s="1"/>
      <c r="EF650" s="1"/>
      <c r="EG650" s="1"/>
      <c r="EH650" s="1"/>
      <c r="EI650" s="1"/>
      <c r="EJ650" s="1"/>
      <c r="EK650" s="1"/>
      <c r="EL650" s="1"/>
      <c r="EM650" s="1"/>
      <c r="EN650" s="1"/>
      <c r="EO650" s="1"/>
      <c r="EP650" s="1"/>
      <c r="EQ650" s="1"/>
      <c r="ER650" s="1"/>
      <c r="ES650" s="1"/>
      <c r="ET650" s="1"/>
      <c r="EU650" s="1"/>
      <c r="EV650" s="1"/>
      <c r="EW650" s="1"/>
      <c r="EX650" s="1"/>
      <c r="EY650" s="1"/>
      <c r="EZ650" s="1"/>
      <c r="FA650" s="1"/>
      <c r="FB650" s="1"/>
      <c r="FC650" s="1"/>
      <c r="FD650" s="1"/>
      <c r="FE650" s="1"/>
      <c r="FF650" s="1"/>
      <c r="FG650" s="1"/>
      <c r="FH650" s="1"/>
      <c r="FI650" s="1"/>
      <c r="FJ650" s="1"/>
      <c r="FK650" s="1"/>
      <c r="FL650" s="1"/>
      <c r="FM650" s="1"/>
      <c r="FN650" s="1"/>
      <c r="FO650" s="1"/>
      <c r="FP650" s="1"/>
      <c r="FQ650" s="1"/>
      <c r="FR650" s="2"/>
      <c r="FS650" s="1"/>
    </row>
    <row r="651" spans="1:175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R651" s="1"/>
      <c r="S651" s="1"/>
      <c r="T651" s="1"/>
      <c r="U651" s="1"/>
      <c r="V651" s="1"/>
      <c r="Y651" s="1"/>
      <c r="Z651" s="2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U651" s="1"/>
      <c r="AW651" s="1"/>
      <c r="AX651" s="1"/>
      <c r="AY651" s="1"/>
      <c r="AZ651" s="1"/>
      <c r="BA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  <c r="DC651" s="1"/>
      <c r="DD651" s="1"/>
      <c r="DE651" s="1"/>
      <c r="DF651" s="1"/>
      <c r="DG651" s="1"/>
      <c r="DH651" s="1"/>
      <c r="DI651" s="1"/>
      <c r="DJ651" s="1"/>
      <c r="DK651" s="1"/>
      <c r="DL651" s="1"/>
      <c r="DM651" s="1"/>
      <c r="DN651" s="1"/>
      <c r="DO651" s="1"/>
      <c r="DP651" s="1"/>
      <c r="DQ651" s="1"/>
      <c r="DR651" s="1"/>
      <c r="DS651" s="1"/>
      <c r="DT651" s="1"/>
      <c r="DU651" s="1"/>
      <c r="DV651" s="1"/>
      <c r="DW651" s="1"/>
      <c r="DX651" s="1"/>
      <c r="DY651" s="1"/>
      <c r="DZ651" s="1"/>
      <c r="EA651" s="1"/>
      <c r="EB651" s="1"/>
      <c r="EC651" s="1"/>
      <c r="ED651" s="1"/>
      <c r="EE651" s="1"/>
      <c r="EF651" s="1"/>
      <c r="EG651" s="1"/>
      <c r="EH651" s="1"/>
      <c r="EI651" s="1"/>
      <c r="EJ651" s="1"/>
      <c r="EK651" s="1"/>
      <c r="EL651" s="1"/>
      <c r="EM651" s="1"/>
      <c r="EN651" s="1"/>
      <c r="EO651" s="1"/>
      <c r="EP651" s="1"/>
      <c r="EQ651" s="1"/>
      <c r="ER651" s="1"/>
      <c r="ES651" s="1"/>
      <c r="ET651" s="1"/>
      <c r="EU651" s="1"/>
      <c r="EV651" s="1"/>
      <c r="EW651" s="1"/>
      <c r="EX651" s="1"/>
      <c r="EY651" s="1"/>
      <c r="EZ651" s="1"/>
      <c r="FA651" s="1"/>
      <c r="FB651" s="1"/>
      <c r="FC651" s="1"/>
      <c r="FD651" s="1"/>
      <c r="FE651" s="1"/>
      <c r="FF651" s="1"/>
      <c r="FG651" s="1"/>
      <c r="FH651" s="1"/>
      <c r="FI651" s="1"/>
      <c r="FJ651" s="1"/>
      <c r="FK651" s="1"/>
      <c r="FL651" s="1"/>
      <c r="FM651" s="1"/>
      <c r="FN651" s="1"/>
      <c r="FO651" s="1"/>
      <c r="FP651" s="1"/>
      <c r="FQ651" s="1"/>
      <c r="FR651" s="2"/>
      <c r="FS651" s="1"/>
    </row>
    <row r="652" spans="1:175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R652" s="1"/>
      <c r="S652" s="1"/>
      <c r="T652" s="1"/>
      <c r="U652" s="1"/>
      <c r="V652" s="1"/>
      <c r="Y652" s="1"/>
      <c r="Z652" s="2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U652" s="1"/>
      <c r="AW652" s="1"/>
      <c r="AX652" s="1"/>
      <c r="AY652" s="1"/>
      <c r="AZ652" s="1"/>
      <c r="BA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  <c r="DC652" s="1"/>
      <c r="DD652" s="1"/>
      <c r="DE652" s="1"/>
      <c r="DF652" s="1"/>
      <c r="DG652" s="1"/>
      <c r="DH652" s="1"/>
      <c r="DI652" s="1"/>
      <c r="DJ652" s="1"/>
      <c r="DK652" s="1"/>
      <c r="DL652" s="1"/>
      <c r="DM652" s="1"/>
      <c r="DN652" s="1"/>
      <c r="DO652" s="1"/>
      <c r="DP652" s="1"/>
      <c r="DQ652" s="1"/>
      <c r="DR652" s="1"/>
      <c r="DS652" s="1"/>
      <c r="DT652" s="1"/>
      <c r="DU652" s="1"/>
      <c r="DV652" s="1"/>
      <c r="DW652" s="1"/>
      <c r="DX652" s="1"/>
      <c r="DY652" s="1"/>
      <c r="DZ652" s="1"/>
      <c r="EA652" s="1"/>
      <c r="EB652" s="1"/>
      <c r="EC652" s="1"/>
      <c r="ED652" s="1"/>
      <c r="EE652" s="1"/>
      <c r="EF652" s="1"/>
      <c r="EG652" s="1"/>
      <c r="EH652" s="1"/>
      <c r="EI652" s="1"/>
      <c r="EJ652" s="1"/>
      <c r="EK652" s="1"/>
      <c r="EL652" s="1"/>
      <c r="EM652" s="1"/>
      <c r="EN652" s="1"/>
      <c r="EO652" s="1"/>
      <c r="EP652" s="1"/>
      <c r="EQ652" s="1"/>
      <c r="ER652" s="1"/>
      <c r="ES652" s="1"/>
      <c r="ET652" s="1"/>
      <c r="EU652" s="1"/>
      <c r="EV652" s="1"/>
      <c r="EW652" s="1"/>
      <c r="EX652" s="1"/>
      <c r="EY652" s="1"/>
      <c r="EZ652" s="1"/>
      <c r="FA652" s="1"/>
      <c r="FB652" s="1"/>
      <c r="FC652" s="1"/>
      <c r="FD652" s="1"/>
      <c r="FE652" s="1"/>
      <c r="FF652" s="1"/>
      <c r="FG652" s="1"/>
      <c r="FH652" s="1"/>
      <c r="FI652" s="1"/>
      <c r="FJ652" s="1"/>
      <c r="FK652" s="1"/>
      <c r="FL652" s="1"/>
      <c r="FM652" s="1"/>
      <c r="FN652" s="1"/>
      <c r="FO652" s="1"/>
      <c r="FP652" s="1"/>
      <c r="FQ652" s="1"/>
      <c r="FR652" s="2"/>
      <c r="FS652" s="1"/>
    </row>
    <row r="653" spans="1:175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R653" s="1"/>
      <c r="S653" s="1"/>
      <c r="T653" s="1"/>
      <c r="U653" s="1"/>
      <c r="V653" s="1"/>
      <c r="Y653" s="1"/>
      <c r="Z653" s="2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U653" s="1"/>
      <c r="AW653" s="1"/>
      <c r="AX653" s="1"/>
      <c r="AY653" s="1"/>
      <c r="AZ653" s="1"/>
      <c r="BA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  <c r="DC653" s="1"/>
      <c r="DD653" s="1"/>
      <c r="DE653" s="1"/>
      <c r="DF653" s="1"/>
      <c r="DG653" s="1"/>
      <c r="DH653" s="1"/>
      <c r="DI653" s="1"/>
      <c r="DJ653" s="1"/>
      <c r="DK653" s="1"/>
      <c r="DL653" s="1"/>
      <c r="DM653" s="1"/>
      <c r="DN653" s="1"/>
      <c r="DO653" s="1"/>
      <c r="DP653" s="1"/>
      <c r="DQ653" s="1"/>
      <c r="DR653" s="1"/>
      <c r="DS653" s="1"/>
      <c r="DT653" s="1"/>
      <c r="DU653" s="1"/>
      <c r="DV653" s="1"/>
      <c r="DW653" s="1"/>
      <c r="DX653" s="1"/>
      <c r="DY653" s="1"/>
      <c r="DZ653" s="1"/>
      <c r="EA653" s="1"/>
      <c r="EB653" s="1"/>
      <c r="EC653" s="1"/>
      <c r="ED653" s="1"/>
      <c r="EE653" s="1"/>
      <c r="EF653" s="1"/>
      <c r="EG653" s="1"/>
      <c r="EH653" s="1"/>
      <c r="EI653" s="1"/>
      <c r="EJ653" s="1"/>
      <c r="EK653" s="1"/>
      <c r="EL653" s="1"/>
      <c r="EM653" s="1"/>
      <c r="EN653" s="1"/>
      <c r="EO653" s="1"/>
      <c r="EP653" s="1"/>
      <c r="EQ653" s="1"/>
      <c r="ER653" s="1"/>
      <c r="ES653" s="1"/>
      <c r="ET653" s="1"/>
      <c r="EU653" s="1"/>
      <c r="EV653" s="1"/>
      <c r="EW653" s="1"/>
      <c r="EX653" s="1"/>
      <c r="EY653" s="1"/>
      <c r="EZ653" s="1"/>
      <c r="FA653" s="1"/>
      <c r="FB653" s="1"/>
      <c r="FC653" s="1"/>
      <c r="FD653" s="1"/>
      <c r="FE653" s="1"/>
      <c r="FF653" s="1"/>
      <c r="FG653" s="1"/>
      <c r="FH653" s="1"/>
      <c r="FI653" s="1"/>
      <c r="FJ653" s="1"/>
      <c r="FK653" s="1"/>
      <c r="FL653" s="1"/>
      <c r="FM653" s="1"/>
      <c r="FN653" s="1"/>
      <c r="FO653" s="1"/>
      <c r="FP653" s="1"/>
      <c r="FQ653" s="1"/>
      <c r="FR653" s="2"/>
      <c r="FS653" s="1"/>
    </row>
    <row r="654" spans="1:175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R654" s="1"/>
      <c r="S654" s="1"/>
      <c r="T654" s="1"/>
      <c r="U654" s="1"/>
      <c r="V654" s="1"/>
      <c r="Y654" s="1"/>
      <c r="Z654" s="2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U654" s="1"/>
      <c r="AW654" s="1"/>
      <c r="AX654" s="1"/>
      <c r="AY654" s="1"/>
      <c r="AZ654" s="1"/>
      <c r="BA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  <c r="DC654" s="1"/>
      <c r="DD654" s="1"/>
      <c r="DE654" s="1"/>
      <c r="DF654" s="1"/>
      <c r="DG654" s="1"/>
      <c r="DH654" s="1"/>
      <c r="DI654" s="1"/>
      <c r="DJ654" s="1"/>
      <c r="DK654" s="1"/>
      <c r="DL654" s="1"/>
      <c r="DM654" s="1"/>
      <c r="DN654" s="1"/>
      <c r="DO654" s="1"/>
      <c r="DP654" s="1"/>
      <c r="DQ654" s="1"/>
      <c r="DR654" s="1"/>
      <c r="DS654" s="1"/>
      <c r="DT654" s="1"/>
      <c r="DU654" s="1"/>
      <c r="DV654" s="1"/>
      <c r="DW654" s="1"/>
      <c r="DX654" s="1"/>
      <c r="DY654" s="1"/>
      <c r="DZ654" s="1"/>
      <c r="EA654" s="1"/>
      <c r="EB654" s="1"/>
      <c r="EC654" s="1"/>
      <c r="ED654" s="1"/>
      <c r="EE654" s="1"/>
      <c r="EF654" s="1"/>
      <c r="EG654" s="1"/>
      <c r="EH654" s="1"/>
      <c r="EI654" s="1"/>
      <c r="EJ654" s="1"/>
      <c r="EK654" s="1"/>
      <c r="EL654" s="1"/>
      <c r="EM654" s="1"/>
      <c r="EN654" s="1"/>
      <c r="EO654" s="1"/>
      <c r="EP654" s="1"/>
      <c r="EQ654" s="1"/>
      <c r="ER654" s="1"/>
      <c r="ES654" s="1"/>
      <c r="ET654" s="1"/>
      <c r="EU654" s="1"/>
      <c r="EV654" s="1"/>
      <c r="EW654" s="1"/>
      <c r="EX654" s="1"/>
      <c r="EY654" s="1"/>
      <c r="EZ654" s="1"/>
      <c r="FA654" s="1"/>
      <c r="FB654" s="1"/>
      <c r="FC654" s="1"/>
      <c r="FD654" s="1"/>
      <c r="FE654" s="1"/>
      <c r="FF654" s="1"/>
      <c r="FG654" s="1"/>
      <c r="FH654" s="1"/>
      <c r="FI654" s="1"/>
      <c r="FJ654" s="1"/>
      <c r="FK654" s="1"/>
      <c r="FL654" s="1"/>
      <c r="FM654" s="1"/>
      <c r="FN654" s="1"/>
      <c r="FO654" s="1"/>
      <c r="FP654" s="1"/>
      <c r="FQ654" s="1"/>
      <c r="FR654" s="2"/>
      <c r="FS654" s="1"/>
    </row>
    <row r="655" spans="1:175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R655" s="1"/>
      <c r="S655" s="1"/>
      <c r="T655" s="1"/>
      <c r="U655" s="1"/>
      <c r="V655" s="1"/>
      <c r="Y655" s="1"/>
      <c r="Z655" s="2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U655" s="1"/>
      <c r="AW655" s="1"/>
      <c r="AX655" s="1"/>
      <c r="AY655" s="1"/>
      <c r="AZ655" s="1"/>
      <c r="BA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  <c r="DC655" s="1"/>
      <c r="DD655" s="1"/>
      <c r="DE655" s="1"/>
      <c r="DF655" s="1"/>
      <c r="DG655" s="1"/>
      <c r="DH655" s="1"/>
      <c r="DI655" s="1"/>
      <c r="DJ655" s="1"/>
      <c r="DK655" s="1"/>
      <c r="DL655" s="1"/>
      <c r="DM655" s="1"/>
      <c r="DN655" s="1"/>
      <c r="DO655" s="1"/>
      <c r="DP655" s="1"/>
      <c r="DQ655" s="1"/>
      <c r="DR655" s="1"/>
      <c r="DS655" s="1"/>
      <c r="DT655" s="1"/>
      <c r="DU655" s="1"/>
      <c r="DV655" s="1"/>
      <c r="DW655" s="1"/>
      <c r="DX655" s="1"/>
      <c r="DY655" s="1"/>
      <c r="DZ655" s="1"/>
      <c r="EA655" s="1"/>
      <c r="EB655" s="1"/>
      <c r="EC655" s="1"/>
      <c r="ED655" s="1"/>
      <c r="EE655" s="1"/>
      <c r="EF655" s="1"/>
      <c r="EG655" s="1"/>
      <c r="EH655" s="1"/>
      <c r="EI655" s="1"/>
      <c r="EJ655" s="1"/>
      <c r="EK655" s="1"/>
      <c r="EL655" s="1"/>
      <c r="EM655" s="1"/>
      <c r="EN655" s="1"/>
      <c r="EO655" s="1"/>
      <c r="EP655" s="1"/>
      <c r="EQ655" s="1"/>
      <c r="ER655" s="1"/>
      <c r="ES655" s="1"/>
      <c r="ET655" s="1"/>
      <c r="EU655" s="1"/>
      <c r="EV655" s="1"/>
      <c r="EW655" s="1"/>
      <c r="EX655" s="1"/>
      <c r="EY655" s="1"/>
      <c r="EZ655" s="1"/>
      <c r="FA655" s="1"/>
      <c r="FB655" s="1"/>
      <c r="FC655" s="1"/>
      <c r="FD655" s="1"/>
      <c r="FE655" s="1"/>
      <c r="FF655" s="1"/>
      <c r="FG655" s="1"/>
      <c r="FH655" s="1"/>
      <c r="FI655" s="1"/>
      <c r="FJ655" s="1"/>
      <c r="FK655" s="1"/>
      <c r="FL655" s="1"/>
      <c r="FM655" s="1"/>
      <c r="FN655" s="1"/>
      <c r="FO655" s="1"/>
      <c r="FP655" s="1"/>
      <c r="FQ655" s="1"/>
      <c r="FR655" s="2"/>
      <c r="FS655" s="1"/>
    </row>
    <row r="656" spans="1:175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R656" s="1"/>
      <c r="S656" s="1"/>
      <c r="T656" s="1"/>
      <c r="U656" s="1"/>
      <c r="V656" s="1"/>
      <c r="Y656" s="1"/>
      <c r="Z656" s="2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U656" s="1"/>
      <c r="AW656" s="1"/>
      <c r="AX656" s="1"/>
      <c r="AY656" s="1"/>
      <c r="AZ656" s="1"/>
      <c r="BA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  <c r="DC656" s="1"/>
      <c r="DD656" s="1"/>
      <c r="DE656" s="1"/>
      <c r="DF656" s="1"/>
      <c r="DG656" s="1"/>
      <c r="DH656" s="1"/>
      <c r="DI656" s="1"/>
      <c r="DJ656" s="1"/>
      <c r="DK656" s="1"/>
      <c r="DL656" s="1"/>
      <c r="DM656" s="1"/>
      <c r="DN656" s="1"/>
      <c r="DO656" s="1"/>
      <c r="DP656" s="1"/>
      <c r="DQ656" s="1"/>
      <c r="DR656" s="1"/>
      <c r="DS656" s="1"/>
      <c r="DT656" s="1"/>
      <c r="DU656" s="1"/>
      <c r="DV656" s="1"/>
      <c r="DW656" s="1"/>
      <c r="DX656" s="1"/>
      <c r="DY656" s="1"/>
      <c r="DZ656" s="1"/>
      <c r="EA656" s="1"/>
      <c r="EB656" s="1"/>
      <c r="EC656" s="1"/>
      <c r="ED656" s="1"/>
      <c r="EE656" s="1"/>
      <c r="EF656" s="1"/>
      <c r="EG656" s="1"/>
      <c r="EH656" s="1"/>
      <c r="EI656" s="1"/>
      <c r="EJ656" s="1"/>
      <c r="EK656" s="1"/>
      <c r="EL656" s="1"/>
      <c r="EM656" s="1"/>
      <c r="EN656" s="1"/>
      <c r="EO656" s="1"/>
      <c r="EP656" s="1"/>
      <c r="EQ656" s="1"/>
      <c r="ER656" s="1"/>
      <c r="ES656" s="1"/>
      <c r="ET656" s="1"/>
      <c r="EU656" s="1"/>
      <c r="EV656" s="1"/>
      <c r="EW656" s="1"/>
      <c r="EX656" s="1"/>
      <c r="EY656" s="1"/>
      <c r="EZ656" s="1"/>
      <c r="FA656" s="1"/>
      <c r="FB656" s="1"/>
      <c r="FC656" s="1"/>
      <c r="FD656" s="1"/>
      <c r="FE656" s="1"/>
      <c r="FF656" s="1"/>
      <c r="FG656" s="1"/>
      <c r="FH656" s="1"/>
      <c r="FI656" s="1"/>
      <c r="FJ656" s="1"/>
      <c r="FK656" s="1"/>
      <c r="FL656" s="1"/>
      <c r="FM656" s="1"/>
      <c r="FN656" s="1"/>
      <c r="FO656" s="1"/>
      <c r="FP656" s="1"/>
      <c r="FQ656" s="1"/>
      <c r="FR656" s="2"/>
      <c r="FS656" s="1"/>
    </row>
    <row r="657" spans="1:175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R657" s="1"/>
      <c r="S657" s="1"/>
      <c r="T657" s="1"/>
      <c r="U657" s="1"/>
      <c r="V657" s="1"/>
      <c r="Y657" s="1"/>
      <c r="Z657" s="2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U657" s="1"/>
      <c r="AW657" s="1"/>
      <c r="AX657" s="1"/>
      <c r="AY657" s="1"/>
      <c r="AZ657" s="1"/>
      <c r="BA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  <c r="DC657" s="1"/>
      <c r="DD657" s="1"/>
      <c r="DE657" s="1"/>
      <c r="DF657" s="1"/>
      <c r="DG657" s="1"/>
      <c r="DH657" s="1"/>
      <c r="DI657" s="1"/>
      <c r="DJ657" s="1"/>
      <c r="DK657" s="1"/>
      <c r="DL657" s="1"/>
      <c r="DM657" s="1"/>
      <c r="DN657" s="1"/>
      <c r="DO657" s="1"/>
      <c r="DP657" s="1"/>
      <c r="DQ657" s="1"/>
      <c r="DR657" s="1"/>
      <c r="DS657" s="1"/>
      <c r="DT657" s="1"/>
      <c r="DU657" s="1"/>
      <c r="DV657" s="1"/>
      <c r="DW657" s="1"/>
      <c r="DX657" s="1"/>
      <c r="DY657" s="1"/>
      <c r="DZ657" s="1"/>
      <c r="EA657" s="1"/>
      <c r="EB657" s="1"/>
      <c r="EC657" s="1"/>
      <c r="ED657" s="1"/>
      <c r="EE657" s="1"/>
      <c r="EF657" s="1"/>
      <c r="EG657" s="1"/>
      <c r="EH657" s="1"/>
      <c r="EI657" s="1"/>
      <c r="EJ657" s="1"/>
      <c r="EK657" s="1"/>
      <c r="EL657" s="1"/>
      <c r="EM657" s="1"/>
      <c r="EN657" s="1"/>
      <c r="EO657" s="1"/>
      <c r="EP657" s="1"/>
      <c r="EQ657" s="1"/>
      <c r="ER657" s="1"/>
      <c r="ES657" s="1"/>
      <c r="ET657" s="1"/>
      <c r="EU657" s="1"/>
      <c r="EV657" s="1"/>
      <c r="EW657" s="1"/>
      <c r="EX657" s="1"/>
      <c r="EY657" s="1"/>
      <c r="EZ657" s="1"/>
      <c r="FA657" s="1"/>
      <c r="FB657" s="1"/>
      <c r="FC657" s="1"/>
      <c r="FD657" s="1"/>
      <c r="FE657" s="1"/>
      <c r="FF657" s="1"/>
      <c r="FG657" s="1"/>
      <c r="FH657" s="1"/>
      <c r="FI657" s="1"/>
      <c r="FJ657" s="1"/>
      <c r="FK657" s="1"/>
      <c r="FL657" s="1"/>
      <c r="FM657" s="1"/>
      <c r="FN657" s="1"/>
      <c r="FO657" s="1"/>
      <c r="FP657" s="1"/>
      <c r="FQ657" s="1"/>
      <c r="FR657" s="2"/>
      <c r="FS657" s="1"/>
    </row>
    <row r="658" spans="1:175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R658" s="1"/>
      <c r="S658" s="1"/>
      <c r="T658" s="1"/>
      <c r="U658" s="1"/>
      <c r="V658" s="1"/>
      <c r="Y658" s="1"/>
      <c r="Z658" s="2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U658" s="1"/>
      <c r="AW658" s="1"/>
      <c r="AX658" s="1"/>
      <c r="AY658" s="1"/>
      <c r="AZ658" s="1"/>
      <c r="BA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  <c r="DC658" s="1"/>
      <c r="DD658" s="1"/>
      <c r="DE658" s="1"/>
      <c r="DF658" s="1"/>
      <c r="DG658" s="1"/>
      <c r="DH658" s="1"/>
      <c r="DI658" s="1"/>
      <c r="DJ658" s="1"/>
      <c r="DK658" s="1"/>
      <c r="DL658" s="1"/>
      <c r="DM658" s="1"/>
      <c r="DN658" s="1"/>
      <c r="DO658" s="1"/>
      <c r="DP658" s="1"/>
      <c r="DQ658" s="1"/>
      <c r="DR658" s="1"/>
      <c r="DS658" s="1"/>
      <c r="DT658" s="1"/>
      <c r="DU658" s="1"/>
      <c r="DV658" s="1"/>
      <c r="DW658" s="1"/>
      <c r="DX658" s="1"/>
      <c r="DY658" s="1"/>
      <c r="DZ658" s="1"/>
      <c r="EA658" s="1"/>
      <c r="EB658" s="1"/>
      <c r="EC658" s="1"/>
      <c r="ED658" s="1"/>
      <c r="EE658" s="1"/>
      <c r="EF658" s="1"/>
      <c r="EG658" s="1"/>
      <c r="EH658" s="1"/>
      <c r="EI658" s="1"/>
      <c r="EJ658" s="1"/>
      <c r="EK658" s="1"/>
      <c r="EL658" s="1"/>
      <c r="EM658" s="1"/>
      <c r="EN658" s="1"/>
      <c r="EO658" s="1"/>
      <c r="EP658" s="1"/>
      <c r="EQ658" s="1"/>
      <c r="ER658" s="1"/>
      <c r="ES658" s="1"/>
      <c r="ET658" s="1"/>
      <c r="EU658" s="1"/>
      <c r="EV658" s="1"/>
      <c r="EW658" s="1"/>
      <c r="EX658" s="1"/>
      <c r="EY658" s="1"/>
      <c r="EZ658" s="1"/>
      <c r="FA658" s="1"/>
      <c r="FB658" s="1"/>
      <c r="FC658" s="1"/>
      <c r="FD658" s="1"/>
      <c r="FE658" s="1"/>
      <c r="FF658" s="1"/>
      <c r="FG658" s="1"/>
      <c r="FH658" s="1"/>
      <c r="FI658" s="1"/>
      <c r="FJ658" s="1"/>
      <c r="FK658" s="1"/>
      <c r="FL658" s="1"/>
      <c r="FM658" s="1"/>
      <c r="FN658" s="1"/>
      <c r="FO658" s="1"/>
      <c r="FP658" s="1"/>
      <c r="FQ658" s="1"/>
      <c r="FR658" s="2"/>
      <c r="FS658" s="1"/>
    </row>
    <row r="659" spans="1:175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R659" s="1"/>
      <c r="S659" s="1"/>
      <c r="T659" s="1"/>
      <c r="U659" s="1"/>
      <c r="V659" s="1"/>
      <c r="Y659" s="1"/>
      <c r="Z659" s="2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U659" s="1"/>
      <c r="AW659" s="1"/>
      <c r="AX659" s="1"/>
      <c r="AY659" s="1"/>
      <c r="AZ659" s="1"/>
      <c r="BA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  <c r="DC659" s="1"/>
      <c r="DD659" s="1"/>
      <c r="DE659" s="1"/>
      <c r="DF659" s="1"/>
      <c r="DG659" s="1"/>
      <c r="DH659" s="1"/>
      <c r="DI659" s="1"/>
      <c r="DJ659" s="1"/>
      <c r="DK659" s="1"/>
      <c r="DL659" s="1"/>
      <c r="DM659" s="1"/>
      <c r="DN659" s="1"/>
      <c r="DO659" s="1"/>
      <c r="DP659" s="1"/>
      <c r="DQ659" s="1"/>
      <c r="DR659" s="1"/>
      <c r="DS659" s="1"/>
      <c r="DT659" s="1"/>
      <c r="DU659" s="1"/>
      <c r="DV659" s="1"/>
      <c r="DW659" s="1"/>
      <c r="DX659" s="1"/>
      <c r="DY659" s="1"/>
      <c r="DZ659" s="1"/>
      <c r="EA659" s="1"/>
      <c r="EB659" s="1"/>
      <c r="EC659" s="1"/>
      <c r="ED659" s="1"/>
      <c r="EE659" s="1"/>
      <c r="EF659" s="1"/>
      <c r="EG659" s="1"/>
      <c r="EH659" s="1"/>
      <c r="EI659" s="1"/>
      <c r="EJ659" s="1"/>
      <c r="EK659" s="1"/>
      <c r="EL659" s="1"/>
      <c r="EM659" s="1"/>
      <c r="EN659" s="1"/>
      <c r="EO659" s="1"/>
      <c r="EP659" s="1"/>
      <c r="EQ659" s="1"/>
      <c r="ER659" s="1"/>
      <c r="ES659" s="1"/>
      <c r="ET659" s="1"/>
      <c r="EU659" s="1"/>
      <c r="EV659" s="1"/>
      <c r="EW659" s="1"/>
      <c r="EX659" s="1"/>
      <c r="EY659" s="1"/>
      <c r="EZ659" s="1"/>
      <c r="FA659" s="1"/>
      <c r="FB659" s="1"/>
      <c r="FC659" s="1"/>
      <c r="FD659" s="1"/>
      <c r="FE659" s="1"/>
      <c r="FF659" s="1"/>
      <c r="FG659" s="1"/>
      <c r="FH659" s="1"/>
      <c r="FI659" s="1"/>
      <c r="FJ659" s="1"/>
      <c r="FK659" s="1"/>
      <c r="FL659" s="1"/>
      <c r="FM659" s="1"/>
      <c r="FN659" s="1"/>
      <c r="FO659" s="1"/>
      <c r="FP659" s="1"/>
      <c r="FQ659" s="1"/>
      <c r="FR659" s="2"/>
      <c r="FS659" s="1"/>
    </row>
    <row r="660" spans="1:175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R660" s="1"/>
      <c r="S660" s="1"/>
      <c r="T660" s="1"/>
      <c r="U660" s="1"/>
      <c r="V660" s="1"/>
      <c r="Y660" s="1"/>
      <c r="Z660" s="2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U660" s="1"/>
      <c r="AW660" s="1"/>
      <c r="AX660" s="1"/>
      <c r="AY660" s="1"/>
      <c r="AZ660" s="1"/>
      <c r="BA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  <c r="DC660" s="1"/>
      <c r="DD660" s="1"/>
      <c r="DE660" s="1"/>
      <c r="DF660" s="1"/>
      <c r="DG660" s="1"/>
      <c r="DH660" s="1"/>
      <c r="DI660" s="1"/>
      <c r="DJ660" s="1"/>
      <c r="DK660" s="1"/>
      <c r="DL660" s="1"/>
      <c r="DM660" s="1"/>
      <c r="DN660" s="1"/>
      <c r="DO660" s="1"/>
      <c r="DP660" s="1"/>
      <c r="DQ660" s="1"/>
      <c r="DR660" s="1"/>
      <c r="DS660" s="1"/>
      <c r="DT660" s="1"/>
      <c r="DU660" s="1"/>
      <c r="DV660" s="1"/>
      <c r="DW660" s="1"/>
      <c r="DX660" s="1"/>
      <c r="DY660" s="1"/>
      <c r="DZ660" s="1"/>
      <c r="EA660" s="1"/>
      <c r="EB660" s="1"/>
      <c r="EC660" s="1"/>
      <c r="ED660" s="1"/>
      <c r="EE660" s="1"/>
      <c r="EF660" s="1"/>
      <c r="EG660" s="1"/>
      <c r="EH660" s="1"/>
      <c r="EI660" s="1"/>
      <c r="EJ660" s="1"/>
      <c r="EK660" s="1"/>
      <c r="EL660" s="1"/>
      <c r="EM660" s="1"/>
      <c r="EN660" s="1"/>
      <c r="EO660" s="1"/>
      <c r="EP660" s="1"/>
      <c r="EQ660" s="1"/>
      <c r="ER660" s="1"/>
      <c r="ES660" s="1"/>
      <c r="ET660" s="1"/>
      <c r="EU660" s="1"/>
      <c r="EV660" s="1"/>
      <c r="EW660" s="1"/>
      <c r="EX660" s="1"/>
      <c r="EY660" s="1"/>
      <c r="EZ660" s="1"/>
      <c r="FA660" s="1"/>
      <c r="FB660" s="1"/>
      <c r="FC660" s="1"/>
      <c r="FD660" s="1"/>
      <c r="FE660" s="1"/>
      <c r="FF660" s="1"/>
      <c r="FG660" s="1"/>
      <c r="FH660" s="1"/>
      <c r="FI660" s="1"/>
      <c r="FJ660" s="1"/>
      <c r="FK660" s="1"/>
      <c r="FL660" s="1"/>
      <c r="FM660" s="1"/>
      <c r="FN660" s="1"/>
      <c r="FO660" s="1"/>
      <c r="FP660" s="1"/>
      <c r="FQ660" s="1"/>
      <c r="FR660" s="2"/>
      <c r="FS660" s="1"/>
    </row>
    <row r="661" spans="1:175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R661" s="1"/>
      <c r="S661" s="1"/>
      <c r="T661" s="1"/>
      <c r="U661" s="1"/>
      <c r="V661" s="1"/>
      <c r="Y661" s="1"/>
      <c r="Z661" s="2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U661" s="1"/>
      <c r="AW661" s="1"/>
      <c r="AX661" s="1"/>
      <c r="AY661" s="1"/>
      <c r="AZ661" s="1"/>
      <c r="BA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  <c r="DC661" s="1"/>
      <c r="DD661" s="1"/>
      <c r="DE661" s="1"/>
      <c r="DF661" s="1"/>
      <c r="DG661" s="1"/>
      <c r="DH661" s="1"/>
      <c r="DI661" s="1"/>
      <c r="DJ661" s="1"/>
      <c r="DK661" s="1"/>
      <c r="DL661" s="1"/>
      <c r="DM661" s="1"/>
      <c r="DN661" s="1"/>
      <c r="DO661" s="1"/>
      <c r="DP661" s="1"/>
      <c r="DQ661" s="1"/>
      <c r="DR661" s="1"/>
      <c r="DS661" s="1"/>
      <c r="DT661" s="1"/>
      <c r="DU661" s="1"/>
      <c r="DV661" s="1"/>
      <c r="DW661" s="1"/>
      <c r="DX661" s="1"/>
      <c r="DY661" s="1"/>
      <c r="DZ661" s="1"/>
      <c r="EA661" s="1"/>
      <c r="EB661" s="1"/>
      <c r="EC661" s="1"/>
      <c r="ED661" s="1"/>
      <c r="EE661" s="1"/>
      <c r="EF661" s="1"/>
      <c r="EG661" s="1"/>
      <c r="EH661" s="1"/>
      <c r="EI661" s="1"/>
      <c r="EJ661" s="1"/>
      <c r="EK661" s="1"/>
      <c r="EL661" s="1"/>
      <c r="EM661" s="1"/>
      <c r="EN661" s="1"/>
      <c r="EO661" s="1"/>
      <c r="EP661" s="1"/>
      <c r="EQ661" s="1"/>
      <c r="ER661" s="1"/>
      <c r="ES661" s="1"/>
      <c r="ET661" s="1"/>
      <c r="EU661" s="1"/>
      <c r="EV661" s="1"/>
      <c r="EW661" s="1"/>
      <c r="EX661" s="1"/>
      <c r="EY661" s="1"/>
      <c r="EZ661" s="1"/>
      <c r="FA661" s="1"/>
      <c r="FB661" s="1"/>
      <c r="FC661" s="1"/>
      <c r="FD661" s="1"/>
      <c r="FE661" s="1"/>
      <c r="FF661" s="1"/>
      <c r="FG661" s="1"/>
      <c r="FH661" s="1"/>
      <c r="FI661" s="1"/>
      <c r="FJ661" s="1"/>
      <c r="FK661" s="1"/>
      <c r="FL661" s="1"/>
      <c r="FM661" s="1"/>
      <c r="FN661" s="1"/>
      <c r="FO661" s="1"/>
      <c r="FP661" s="1"/>
      <c r="FQ661" s="1"/>
      <c r="FR661" s="2"/>
      <c r="FS661" s="1"/>
    </row>
    <row r="662" spans="1:175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R662" s="1"/>
      <c r="S662" s="1"/>
      <c r="T662" s="1"/>
      <c r="U662" s="1"/>
      <c r="V662" s="1"/>
      <c r="Y662" s="1"/>
      <c r="Z662" s="2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U662" s="1"/>
      <c r="AW662" s="1"/>
      <c r="AX662" s="1"/>
      <c r="AY662" s="1"/>
      <c r="AZ662" s="1"/>
      <c r="BA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  <c r="DC662" s="1"/>
      <c r="DD662" s="1"/>
      <c r="DE662" s="1"/>
      <c r="DF662" s="1"/>
      <c r="DG662" s="1"/>
      <c r="DH662" s="1"/>
      <c r="DI662" s="1"/>
      <c r="DJ662" s="1"/>
      <c r="DK662" s="1"/>
      <c r="DL662" s="1"/>
      <c r="DM662" s="1"/>
      <c r="DN662" s="1"/>
      <c r="DO662" s="1"/>
      <c r="DP662" s="1"/>
      <c r="DQ662" s="1"/>
      <c r="DR662" s="1"/>
      <c r="DS662" s="1"/>
      <c r="DT662" s="1"/>
      <c r="DU662" s="1"/>
      <c r="DV662" s="1"/>
      <c r="DW662" s="1"/>
      <c r="DX662" s="1"/>
      <c r="DY662" s="1"/>
      <c r="DZ662" s="1"/>
      <c r="EA662" s="1"/>
      <c r="EB662" s="1"/>
      <c r="EC662" s="1"/>
      <c r="ED662" s="1"/>
      <c r="EE662" s="1"/>
      <c r="EF662" s="1"/>
      <c r="EG662" s="1"/>
      <c r="EH662" s="1"/>
      <c r="EI662" s="1"/>
      <c r="EJ662" s="1"/>
      <c r="EK662" s="1"/>
      <c r="EL662" s="1"/>
      <c r="EM662" s="1"/>
      <c r="EN662" s="1"/>
      <c r="EO662" s="1"/>
      <c r="EP662" s="1"/>
      <c r="EQ662" s="1"/>
      <c r="ER662" s="1"/>
      <c r="ES662" s="1"/>
      <c r="ET662" s="1"/>
      <c r="EU662" s="1"/>
      <c r="EV662" s="1"/>
      <c r="EW662" s="1"/>
      <c r="EX662" s="1"/>
      <c r="EY662" s="1"/>
      <c r="EZ662" s="1"/>
      <c r="FA662" s="1"/>
      <c r="FB662" s="1"/>
      <c r="FC662" s="1"/>
      <c r="FD662" s="1"/>
      <c r="FE662" s="1"/>
      <c r="FF662" s="1"/>
      <c r="FG662" s="1"/>
      <c r="FH662" s="1"/>
      <c r="FI662" s="1"/>
      <c r="FJ662" s="1"/>
      <c r="FK662" s="1"/>
      <c r="FL662" s="1"/>
      <c r="FM662" s="1"/>
      <c r="FN662" s="1"/>
      <c r="FO662" s="1"/>
      <c r="FP662" s="1"/>
      <c r="FQ662" s="1"/>
      <c r="FR662" s="2"/>
      <c r="FS662" s="1"/>
    </row>
    <row r="663" spans="1:175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R663" s="1"/>
      <c r="S663" s="1"/>
      <c r="T663" s="1"/>
      <c r="U663" s="1"/>
      <c r="V663" s="1"/>
      <c r="Y663" s="1"/>
      <c r="Z663" s="2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U663" s="1"/>
      <c r="AW663" s="1"/>
      <c r="AX663" s="1"/>
      <c r="AY663" s="1"/>
      <c r="AZ663" s="1"/>
      <c r="BA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  <c r="DC663" s="1"/>
      <c r="DD663" s="1"/>
      <c r="DE663" s="1"/>
      <c r="DF663" s="1"/>
      <c r="DG663" s="1"/>
      <c r="DH663" s="1"/>
      <c r="DI663" s="1"/>
      <c r="DJ663" s="1"/>
      <c r="DK663" s="1"/>
      <c r="DL663" s="1"/>
      <c r="DM663" s="1"/>
      <c r="DN663" s="1"/>
      <c r="DO663" s="1"/>
      <c r="DP663" s="1"/>
      <c r="DQ663" s="1"/>
      <c r="DR663" s="1"/>
      <c r="DS663" s="1"/>
      <c r="DT663" s="1"/>
      <c r="DU663" s="1"/>
      <c r="DV663" s="1"/>
      <c r="DW663" s="1"/>
      <c r="DX663" s="1"/>
      <c r="DY663" s="1"/>
      <c r="DZ663" s="1"/>
      <c r="EA663" s="1"/>
      <c r="EB663" s="1"/>
      <c r="EC663" s="1"/>
      <c r="ED663" s="1"/>
      <c r="EE663" s="1"/>
      <c r="EF663" s="1"/>
      <c r="EG663" s="1"/>
      <c r="EH663" s="1"/>
      <c r="EI663" s="1"/>
      <c r="EJ663" s="1"/>
      <c r="EK663" s="1"/>
      <c r="EL663" s="1"/>
      <c r="EM663" s="1"/>
      <c r="EN663" s="1"/>
      <c r="EO663" s="1"/>
      <c r="EP663" s="1"/>
      <c r="EQ663" s="1"/>
      <c r="ER663" s="1"/>
      <c r="ES663" s="1"/>
      <c r="ET663" s="1"/>
      <c r="EU663" s="1"/>
      <c r="EV663" s="1"/>
      <c r="EW663" s="1"/>
      <c r="EX663" s="1"/>
      <c r="EY663" s="1"/>
      <c r="EZ663" s="1"/>
      <c r="FA663" s="1"/>
      <c r="FB663" s="1"/>
      <c r="FC663" s="1"/>
      <c r="FD663" s="1"/>
      <c r="FE663" s="1"/>
      <c r="FF663" s="1"/>
      <c r="FG663" s="1"/>
      <c r="FH663" s="1"/>
      <c r="FI663" s="1"/>
      <c r="FJ663" s="1"/>
      <c r="FK663" s="1"/>
      <c r="FL663" s="1"/>
      <c r="FM663" s="1"/>
      <c r="FN663" s="1"/>
      <c r="FO663" s="1"/>
      <c r="FP663" s="1"/>
      <c r="FQ663" s="1"/>
      <c r="FR663" s="2"/>
      <c r="FS663" s="1"/>
    </row>
    <row r="664" spans="1:175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R664" s="1"/>
      <c r="S664" s="1"/>
      <c r="T664" s="1"/>
      <c r="U664" s="1"/>
      <c r="V664" s="1"/>
      <c r="Y664" s="1"/>
      <c r="Z664" s="2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U664" s="1"/>
      <c r="AW664" s="1"/>
      <c r="AX664" s="1"/>
      <c r="AY664" s="1"/>
      <c r="AZ664" s="1"/>
      <c r="BA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  <c r="DC664" s="1"/>
      <c r="DD664" s="1"/>
      <c r="DE664" s="1"/>
      <c r="DF664" s="1"/>
      <c r="DG664" s="1"/>
      <c r="DH664" s="1"/>
      <c r="DI664" s="1"/>
      <c r="DJ664" s="1"/>
      <c r="DK664" s="1"/>
      <c r="DL664" s="1"/>
      <c r="DM664" s="1"/>
      <c r="DN664" s="1"/>
      <c r="DO664" s="1"/>
      <c r="DP664" s="1"/>
      <c r="DQ664" s="1"/>
      <c r="DR664" s="1"/>
      <c r="DS664" s="1"/>
      <c r="DT664" s="1"/>
      <c r="DU664" s="1"/>
      <c r="DV664" s="1"/>
      <c r="DW664" s="1"/>
      <c r="DX664" s="1"/>
      <c r="DY664" s="1"/>
      <c r="DZ664" s="1"/>
      <c r="EA664" s="1"/>
      <c r="EB664" s="1"/>
      <c r="EC664" s="1"/>
      <c r="ED664" s="1"/>
      <c r="EE664" s="1"/>
      <c r="EF664" s="1"/>
      <c r="EG664" s="1"/>
      <c r="EH664" s="1"/>
      <c r="EI664" s="1"/>
      <c r="EJ664" s="1"/>
      <c r="EK664" s="1"/>
      <c r="EL664" s="1"/>
      <c r="EM664" s="1"/>
      <c r="EN664" s="1"/>
      <c r="EO664" s="1"/>
      <c r="EP664" s="1"/>
      <c r="EQ664" s="1"/>
      <c r="ER664" s="1"/>
      <c r="ES664" s="1"/>
      <c r="ET664" s="1"/>
      <c r="EU664" s="1"/>
      <c r="EV664" s="1"/>
      <c r="EW664" s="1"/>
      <c r="EX664" s="1"/>
      <c r="EY664" s="1"/>
      <c r="EZ664" s="1"/>
      <c r="FA664" s="1"/>
      <c r="FB664" s="1"/>
      <c r="FC664" s="1"/>
      <c r="FD664" s="1"/>
      <c r="FE664" s="1"/>
      <c r="FF664" s="1"/>
      <c r="FG664" s="1"/>
      <c r="FH664" s="1"/>
      <c r="FI664" s="1"/>
      <c r="FJ664" s="1"/>
      <c r="FK664" s="1"/>
      <c r="FL664" s="1"/>
      <c r="FM664" s="1"/>
      <c r="FN664" s="1"/>
      <c r="FO664" s="1"/>
      <c r="FP664" s="1"/>
      <c r="FQ664" s="1"/>
      <c r="FR664" s="2"/>
      <c r="FS664" s="1"/>
    </row>
    <row r="665" spans="1:175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R665" s="1"/>
      <c r="S665" s="1"/>
      <c r="T665" s="1"/>
      <c r="U665" s="1"/>
      <c r="V665" s="1"/>
      <c r="Y665" s="1"/>
      <c r="Z665" s="2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U665" s="1"/>
      <c r="AW665" s="1"/>
      <c r="AX665" s="1"/>
      <c r="AY665" s="1"/>
      <c r="AZ665" s="1"/>
      <c r="BA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  <c r="DC665" s="1"/>
      <c r="DD665" s="1"/>
      <c r="DE665" s="1"/>
      <c r="DF665" s="1"/>
      <c r="DG665" s="1"/>
      <c r="DH665" s="1"/>
      <c r="DI665" s="1"/>
      <c r="DJ665" s="1"/>
      <c r="DK665" s="1"/>
      <c r="DL665" s="1"/>
      <c r="DM665" s="1"/>
      <c r="DN665" s="1"/>
      <c r="DO665" s="1"/>
      <c r="DP665" s="1"/>
      <c r="DQ665" s="1"/>
      <c r="DR665" s="1"/>
      <c r="DS665" s="1"/>
      <c r="DT665" s="1"/>
      <c r="DU665" s="1"/>
      <c r="DV665" s="1"/>
      <c r="DW665" s="1"/>
      <c r="DX665" s="1"/>
      <c r="DY665" s="1"/>
      <c r="DZ665" s="1"/>
      <c r="EA665" s="1"/>
      <c r="EB665" s="1"/>
      <c r="EC665" s="1"/>
      <c r="ED665" s="1"/>
      <c r="EE665" s="1"/>
      <c r="EF665" s="1"/>
      <c r="EG665" s="1"/>
      <c r="EH665" s="1"/>
      <c r="EI665" s="1"/>
      <c r="EJ665" s="1"/>
      <c r="EK665" s="1"/>
      <c r="EL665" s="1"/>
      <c r="EM665" s="1"/>
      <c r="EN665" s="1"/>
      <c r="EO665" s="1"/>
      <c r="EP665" s="1"/>
      <c r="EQ665" s="1"/>
      <c r="ER665" s="1"/>
      <c r="ES665" s="1"/>
      <c r="ET665" s="1"/>
      <c r="EU665" s="1"/>
      <c r="EV665" s="1"/>
      <c r="EW665" s="1"/>
      <c r="EX665" s="1"/>
      <c r="EY665" s="1"/>
      <c r="EZ665" s="1"/>
      <c r="FA665" s="1"/>
      <c r="FB665" s="1"/>
      <c r="FC665" s="1"/>
      <c r="FD665" s="1"/>
      <c r="FE665" s="1"/>
      <c r="FF665" s="1"/>
      <c r="FG665" s="1"/>
      <c r="FH665" s="1"/>
      <c r="FI665" s="1"/>
      <c r="FJ665" s="1"/>
      <c r="FK665" s="1"/>
      <c r="FL665" s="1"/>
      <c r="FM665" s="1"/>
      <c r="FN665" s="1"/>
      <c r="FO665" s="1"/>
      <c r="FP665" s="1"/>
      <c r="FQ665" s="1"/>
      <c r="FR665" s="2"/>
      <c r="FS665" s="1"/>
    </row>
    <row r="666" spans="1:175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R666" s="1"/>
      <c r="S666" s="1"/>
      <c r="T666" s="1"/>
      <c r="U666" s="1"/>
      <c r="V666" s="1"/>
      <c r="Y666" s="1"/>
      <c r="Z666" s="2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U666" s="1"/>
      <c r="AW666" s="1"/>
      <c r="AX666" s="1"/>
      <c r="AY666" s="1"/>
      <c r="AZ666" s="1"/>
      <c r="BA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  <c r="DC666" s="1"/>
      <c r="DD666" s="1"/>
      <c r="DE666" s="1"/>
      <c r="DF666" s="1"/>
      <c r="DG666" s="1"/>
      <c r="DH666" s="1"/>
      <c r="DI666" s="1"/>
      <c r="DJ666" s="1"/>
      <c r="DK666" s="1"/>
      <c r="DL666" s="1"/>
      <c r="DM666" s="1"/>
      <c r="DN666" s="1"/>
      <c r="DO666" s="1"/>
      <c r="DP666" s="1"/>
      <c r="DQ666" s="1"/>
      <c r="DR666" s="1"/>
      <c r="DS666" s="1"/>
      <c r="DT666" s="1"/>
      <c r="DU666" s="1"/>
      <c r="DV666" s="1"/>
      <c r="DW666" s="1"/>
      <c r="DX666" s="1"/>
      <c r="DY666" s="1"/>
      <c r="DZ666" s="1"/>
      <c r="EA666" s="1"/>
      <c r="EB666" s="1"/>
      <c r="EC666" s="1"/>
      <c r="ED666" s="1"/>
      <c r="EE666" s="1"/>
      <c r="EF666" s="1"/>
      <c r="EG666" s="1"/>
      <c r="EH666" s="1"/>
      <c r="EI666" s="1"/>
      <c r="EJ666" s="1"/>
      <c r="EK666" s="1"/>
      <c r="EL666" s="1"/>
      <c r="EM666" s="1"/>
      <c r="EN666" s="1"/>
      <c r="EO666" s="1"/>
      <c r="EP666" s="1"/>
      <c r="EQ666" s="1"/>
      <c r="ER666" s="1"/>
      <c r="ES666" s="1"/>
      <c r="ET666" s="1"/>
      <c r="EU666" s="1"/>
      <c r="EV666" s="1"/>
      <c r="EW666" s="1"/>
      <c r="EX666" s="1"/>
      <c r="EY666" s="1"/>
      <c r="EZ666" s="1"/>
      <c r="FA666" s="1"/>
      <c r="FB666" s="1"/>
      <c r="FC666" s="1"/>
      <c r="FD666" s="1"/>
      <c r="FE666" s="1"/>
      <c r="FF666" s="1"/>
      <c r="FG666" s="1"/>
      <c r="FH666" s="1"/>
      <c r="FI666" s="1"/>
      <c r="FJ666" s="1"/>
      <c r="FK666" s="1"/>
      <c r="FL666" s="1"/>
      <c r="FM666" s="1"/>
      <c r="FN666" s="1"/>
      <c r="FO666" s="1"/>
      <c r="FP666" s="1"/>
      <c r="FQ666" s="1"/>
      <c r="FR666" s="2"/>
      <c r="FS666" s="1"/>
    </row>
    <row r="667" spans="1:175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R667" s="1"/>
      <c r="S667" s="1"/>
      <c r="T667" s="1"/>
      <c r="U667" s="1"/>
      <c r="V667" s="1"/>
      <c r="Y667" s="1"/>
      <c r="Z667" s="2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U667" s="1"/>
      <c r="AW667" s="1"/>
      <c r="AX667" s="1"/>
      <c r="AY667" s="1"/>
      <c r="AZ667" s="1"/>
      <c r="BA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  <c r="DC667" s="1"/>
      <c r="DD667" s="1"/>
      <c r="DE667" s="1"/>
      <c r="DF667" s="1"/>
      <c r="DG667" s="1"/>
      <c r="DH667" s="1"/>
      <c r="DI667" s="1"/>
      <c r="DJ667" s="1"/>
      <c r="DK667" s="1"/>
      <c r="DL667" s="1"/>
      <c r="DM667" s="1"/>
      <c r="DN667" s="1"/>
      <c r="DO667" s="1"/>
      <c r="DP667" s="1"/>
      <c r="DQ667" s="1"/>
      <c r="DR667" s="1"/>
      <c r="DS667" s="1"/>
      <c r="DT667" s="1"/>
      <c r="DU667" s="1"/>
      <c r="DV667" s="1"/>
      <c r="DW667" s="1"/>
      <c r="DX667" s="1"/>
      <c r="DY667" s="1"/>
      <c r="DZ667" s="1"/>
      <c r="EA667" s="1"/>
      <c r="EB667" s="1"/>
      <c r="EC667" s="1"/>
      <c r="ED667" s="1"/>
      <c r="EE667" s="1"/>
      <c r="EF667" s="1"/>
      <c r="EG667" s="1"/>
      <c r="EH667" s="1"/>
      <c r="EI667" s="1"/>
      <c r="EJ667" s="1"/>
      <c r="EK667" s="1"/>
      <c r="EL667" s="1"/>
      <c r="EM667" s="1"/>
      <c r="EN667" s="1"/>
      <c r="EO667" s="1"/>
      <c r="EP667" s="1"/>
      <c r="EQ667" s="1"/>
      <c r="ER667" s="1"/>
      <c r="ES667" s="1"/>
      <c r="ET667" s="1"/>
      <c r="EU667" s="1"/>
      <c r="EV667" s="1"/>
      <c r="EW667" s="1"/>
      <c r="EX667" s="1"/>
      <c r="EY667" s="1"/>
      <c r="EZ667" s="1"/>
      <c r="FA667" s="1"/>
      <c r="FB667" s="1"/>
      <c r="FC667" s="1"/>
      <c r="FD667" s="1"/>
      <c r="FE667" s="1"/>
      <c r="FF667" s="1"/>
      <c r="FG667" s="1"/>
      <c r="FH667" s="1"/>
      <c r="FI667" s="1"/>
      <c r="FJ667" s="1"/>
      <c r="FK667" s="1"/>
      <c r="FL667" s="1"/>
      <c r="FM667" s="1"/>
      <c r="FN667" s="1"/>
      <c r="FO667" s="1"/>
      <c r="FP667" s="1"/>
      <c r="FQ667" s="1"/>
      <c r="FR667" s="2"/>
      <c r="FS667" s="1"/>
    </row>
    <row r="668" spans="1:175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R668" s="1"/>
      <c r="S668" s="1"/>
      <c r="T668" s="1"/>
      <c r="U668" s="1"/>
      <c r="V668" s="1"/>
      <c r="Y668" s="1"/>
      <c r="Z668" s="2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U668" s="1"/>
      <c r="AW668" s="1"/>
      <c r="AX668" s="1"/>
      <c r="AY668" s="1"/>
      <c r="AZ668" s="1"/>
      <c r="BA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  <c r="DC668" s="1"/>
      <c r="DD668" s="1"/>
      <c r="DE668" s="1"/>
      <c r="DF668" s="1"/>
      <c r="DG668" s="1"/>
      <c r="DH668" s="1"/>
      <c r="DI668" s="1"/>
      <c r="DJ668" s="1"/>
      <c r="DK668" s="1"/>
      <c r="DL668" s="1"/>
      <c r="DM668" s="1"/>
      <c r="DN668" s="1"/>
      <c r="DO668" s="1"/>
      <c r="DP668" s="1"/>
      <c r="DQ668" s="1"/>
      <c r="DR668" s="1"/>
      <c r="DS668" s="1"/>
      <c r="DT668" s="1"/>
      <c r="DU668" s="1"/>
      <c r="DV668" s="1"/>
      <c r="DW668" s="1"/>
      <c r="DX668" s="1"/>
      <c r="DY668" s="1"/>
      <c r="DZ668" s="1"/>
      <c r="EA668" s="1"/>
      <c r="EB668" s="1"/>
      <c r="EC668" s="1"/>
      <c r="ED668" s="1"/>
      <c r="EE668" s="1"/>
      <c r="EF668" s="1"/>
      <c r="EG668" s="1"/>
      <c r="EH668" s="1"/>
      <c r="EI668" s="1"/>
      <c r="EJ668" s="1"/>
      <c r="EK668" s="1"/>
      <c r="EL668" s="1"/>
      <c r="EM668" s="1"/>
      <c r="EN668" s="1"/>
      <c r="EO668" s="1"/>
      <c r="EP668" s="1"/>
      <c r="EQ668" s="1"/>
      <c r="ER668" s="1"/>
      <c r="ES668" s="1"/>
      <c r="ET668" s="1"/>
      <c r="EU668" s="1"/>
      <c r="EV668" s="1"/>
      <c r="EW668" s="1"/>
      <c r="EX668" s="1"/>
      <c r="EY668" s="1"/>
      <c r="EZ668" s="1"/>
      <c r="FA668" s="1"/>
      <c r="FB668" s="1"/>
      <c r="FC668" s="1"/>
      <c r="FD668" s="1"/>
      <c r="FE668" s="1"/>
      <c r="FF668" s="1"/>
      <c r="FG668" s="1"/>
      <c r="FH668" s="1"/>
      <c r="FI668" s="1"/>
      <c r="FJ668" s="1"/>
      <c r="FK668" s="1"/>
      <c r="FL668" s="1"/>
      <c r="FM668" s="1"/>
      <c r="FN668" s="1"/>
      <c r="FO668" s="1"/>
      <c r="FP668" s="1"/>
      <c r="FQ668" s="1"/>
      <c r="FR668" s="2"/>
      <c r="FS668" s="1"/>
    </row>
    <row r="669" spans="1:175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R669" s="1"/>
      <c r="S669" s="1"/>
      <c r="T669" s="1"/>
      <c r="U669" s="1"/>
      <c r="V669" s="1"/>
      <c r="Y669" s="1"/>
      <c r="Z669" s="2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U669" s="1"/>
      <c r="AW669" s="1"/>
      <c r="AX669" s="1"/>
      <c r="AY669" s="1"/>
      <c r="AZ669" s="1"/>
      <c r="BA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  <c r="DC669" s="1"/>
      <c r="DD669" s="1"/>
      <c r="DE669" s="1"/>
      <c r="DF669" s="1"/>
      <c r="DG669" s="1"/>
      <c r="DH669" s="1"/>
      <c r="DI669" s="1"/>
      <c r="DJ669" s="1"/>
      <c r="DK669" s="1"/>
      <c r="DL669" s="1"/>
      <c r="DM669" s="1"/>
      <c r="DN669" s="1"/>
      <c r="DO669" s="1"/>
      <c r="DP669" s="1"/>
      <c r="DQ669" s="1"/>
      <c r="DR669" s="1"/>
      <c r="DS669" s="1"/>
      <c r="DT669" s="1"/>
      <c r="DU669" s="1"/>
      <c r="DV669" s="1"/>
      <c r="DW669" s="1"/>
      <c r="DX669" s="1"/>
      <c r="DY669" s="1"/>
      <c r="DZ669" s="1"/>
      <c r="EA669" s="1"/>
      <c r="EB669" s="1"/>
      <c r="EC669" s="1"/>
      <c r="ED669" s="1"/>
      <c r="EE669" s="1"/>
      <c r="EF669" s="1"/>
      <c r="EG669" s="1"/>
      <c r="EH669" s="1"/>
      <c r="EI669" s="1"/>
      <c r="EJ669" s="1"/>
      <c r="EK669" s="1"/>
      <c r="EL669" s="1"/>
      <c r="EM669" s="1"/>
      <c r="EN669" s="1"/>
      <c r="EO669" s="1"/>
      <c r="EP669" s="1"/>
      <c r="EQ669" s="1"/>
      <c r="ER669" s="1"/>
      <c r="ES669" s="1"/>
      <c r="ET669" s="1"/>
      <c r="EU669" s="1"/>
      <c r="EV669" s="1"/>
      <c r="EW669" s="1"/>
      <c r="EX669" s="1"/>
      <c r="EY669" s="1"/>
      <c r="EZ669" s="1"/>
      <c r="FA669" s="1"/>
      <c r="FB669" s="1"/>
      <c r="FC669" s="1"/>
      <c r="FD669" s="1"/>
      <c r="FE669" s="1"/>
      <c r="FF669" s="1"/>
      <c r="FG669" s="1"/>
      <c r="FH669" s="1"/>
      <c r="FI669" s="1"/>
      <c r="FJ669" s="1"/>
      <c r="FK669" s="1"/>
      <c r="FL669" s="1"/>
      <c r="FM669" s="1"/>
      <c r="FN669" s="1"/>
      <c r="FO669" s="1"/>
      <c r="FP669" s="1"/>
      <c r="FQ669" s="1"/>
      <c r="FR669" s="2"/>
      <c r="FS669" s="1"/>
    </row>
    <row r="670" spans="1:175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R670" s="1"/>
      <c r="S670" s="1"/>
      <c r="T670" s="1"/>
      <c r="U670" s="1"/>
      <c r="V670" s="1"/>
      <c r="Y670" s="1"/>
      <c r="Z670" s="2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U670" s="1"/>
      <c r="AW670" s="1"/>
      <c r="AX670" s="1"/>
      <c r="AY670" s="1"/>
      <c r="AZ670" s="1"/>
      <c r="BA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  <c r="DC670" s="1"/>
      <c r="DD670" s="1"/>
      <c r="DE670" s="1"/>
      <c r="DF670" s="1"/>
      <c r="DG670" s="1"/>
      <c r="DH670" s="1"/>
      <c r="DI670" s="1"/>
      <c r="DJ670" s="1"/>
      <c r="DK670" s="1"/>
      <c r="DL670" s="1"/>
      <c r="DM670" s="1"/>
      <c r="DN670" s="1"/>
      <c r="DO670" s="1"/>
      <c r="DP670" s="1"/>
      <c r="DQ670" s="1"/>
      <c r="DR670" s="1"/>
      <c r="DS670" s="1"/>
      <c r="DT670" s="1"/>
      <c r="DU670" s="1"/>
      <c r="DV670" s="1"/>
      <c r="DW670" s="1"/>
      <c r="DX670" s="1"/>
      <c r="DY670" s="1"/>
      <c r="DZ670" s="1"/>
      <c r="EA670" s="1"/>
      <c r="EB670" s="1"/>
      <c r="EC670" s="1"/>
      <c r="ED670" s="1"/>
      <c r="EE670" s="1"/>
      <c r="EF670" s="1"/>
      <c r="EG670" s="1"/>
      <c r="EH670" s="1"/>
      <c r="EI670" s="1"/>
      <c r="EJ670" s="1"/>
      <c r="EK670" s="1"/>
      <c r="EL670" s="1"/>
      <c r="EM670" s="1"/>
      <c r="EN670" s="1"/>
      <c r="EO670" s="1"/>
      <c r="EP670" s="1"/>
      <c r="EQ670" s="1"/>
      <c r="ER670" s="1"/>
      <c r="ES670" s="1"/>
      <c r="ET670" s="1"/>
      <c r="EU670" s="1"/>
      <c r="EV670" s="1"/>
      <c r="EW670" s="1"/>
      <c r="EX670" s="1"/>
      <c r="EY670" s="1"/>
      <c r="EZ670" s="1"/>
      <c r="FA670" s="1"/>
      <c r="FB670" s="1"/>
      <c r="FC670" s="1"/>
      <c r="FD670" s="1"/>
      <c r="FE670" s="1"/>
      <c r="FF670" s="1"/>
      <c r="FG670" s="1"/>
      <c r="FH670" s="1"/>
      <c r="FI670" s="1"/>
      <c r="FJ670" s="1"/>
      <c r="FK670" s="1"/>
      <c r="FL670" s="1"/>
      <c r="FM670" s="1"/>
      <c r="FN670" s="1"/>
      <c r="FO670" s="1"/>
      <c r="FP670" s="1"/>
      <c r="FQ670" s="1"/>
      <c r="FR670" s="2"/>
      <c r="FS670" s="1"/>
    </row>
    <row r="671" spans="1:175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R671" s="1"/>
      <c r="S671" s="1"/>
      <c r="T671" s="1"/>
      <c r="U671" s="1"/>
      <c r="V671" s="1"/>
      <c r="Y671" s="1"/>
      <c r="Z671" s="2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U671" s="1"/>
      <c r="AW671" s="1"/>
      <c r="AX671" s="1"/>
      <c r="AY671" s="1"/>
      <c r="AZ671" s="1"/>
      <c r="BA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  <c r="DC671" s="1"/>
      <c r="DD671" s="1"/>
      <c r="DE671" s="1"/>
      <c r="DF671" s="1"/>
      <c r="DG671" s="1"/>
      <c r="DH671" s="1"/>
      <c r="DI671" s="1"/>
      <c r="DJ671" s="1"/>
      <c r="DK671" s="1"/>
      <c r="DL671" s="1"/>
      <c r="DM671" s="1"/>
      <c r="DN671" s="1"/>
      <c r="DO671" s="1"/>
      <c r="DP671" s="1"/>
      <c r="DQ671" s="1"/>
      <c r="DR671" s="1"/>
      <c r="DS671" s="1"/>
      <c r="DT671" s="1"/>
      <c r="DU671" s="1"/>
      <c r="DV671" s="1"/>
      <c r="DW671" s="1"/>
      <c r="DX671" s="1"/>
      <c r="DY671" s="1"/>
      <c r="DZ671" s="1"/>
      <c r="EA671" s="1"/>
      <c r="EB671" s="1"/>
      <c r="EC671" s="1"/>
      <c r="ED671" s="1"/>
      <c r="EE671" s="1"/>
      <c r="EF671" s="1"/>
      <c r="EG671" s="1"/>
      <c r="EH671" s="1"/>
      <c r="EI671" s="1"/>
      <c r="EJ671" s="1"/>
      <c r="EK671" s="1"/>
      <c r="EL671" s="1"/>
      <c r="EM671" s="1"/>
      <c r="EN671" s="1"/>
      <c r="EO671" s="1"/>
      <c r="EP671" s="1"/>
      <c r="EQ671" s="1"/>
      <c r="ER671" s="1"/>
      <c r="ES671" s="1"/>
      <c r="ET671" s="1"/>
      <c r="EU671" s="1"/>
      <c r="EV671" s="1"/>
      <c r="EW671" s="1"/>
      <c r="EX671" s="1"/>
      <c r="EY671" s="1"/>
      <c r="EZ671" s="1"/>
      <c r="FA671" s="1"/>
      <c r="FB671" s="1"/>
      <c r="FC671" s="1"/>
      <c r="FD671" s="1"/>
      <c r="FE671" s="1"/>
      <c r="FF671" s="1"/>
      <c r="FG671" s="1"/>
      <c r="FH671" s="1"/>
      <c r="FI671" s="1"/>
      <c r="FJ671" s="1"/>
      <c r="FK671" s="1"/>
      <c r="FL671" s="1"/>
      <c r="FM671" s="1"/>
      <c r="FN671" s="1"/>
      <c r="FO671" s="1"/>
      <c r="FP671" s="1"/>
      <c r="FQ671" s="1"/>
      <c r="FR671" s="2"/>
      <c r="FS671" s="1"/>
    </row>
    <row r="672" spans="1:175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R672" s="1"/>
      <c r="S672" s="1"/>
      <c r="T672" s="1"/>
      <c r="U672" s="1"/>
      <c r="V672" s="1"/>
      <c r="Y672" s="1"/>
      <c r="Z672" s="2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U672" s="1"/>
      <c r="AW672" s="1"/>
      <c r="AX672" s="1"/>
      <c r="AY672" s="1"/>
      <c r="AZ672" s="1"/>
      <c r="BA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  <c r="DC672" s="1"/>
      <c r="DD672" s="1"/>
      <c r="DE672" s="1"/>
      <c r="DF672" s="1"/>
      <c r="DG672" s="1"/>
      <c r="DH672" s="1"/>
      <c r="DI672" s="1"/>
      <c r="DJ672" s="1"/>
      <c r="DK672" s="1"/>
      <c r="DL672" s="1"/>
      <c r="DM672" s="1"/>
      <c r="DN672" s="1"/>
      <c r="DO672" s="1"/>
      <c r="DP672" s="1"/>
      <c r="DQ672" s="1"/>
      <c r="DR672" s="1"/>
      <c r="DS672" s="1"/>
      <c r="DT672" s="1"/>
      <c r="DU672" s="1"/>
      <c r="DV672" s="1"/>
      <c r="DW672" s="1"/>
      <c r="DX672" s="1"/>
      <c r="DY672" s="1"/>
      <c r="DZ672" s="1"/>
      <c r="EA672" s="1"/>
      <c r="EB672" s="1"/>
      <c r="EC672" s="1"/>
      <c r="ED672" s="1"/>
      <c r="EE672" s="1"/>
      <c r="EF672" s="1"/>
      <c r="EG672" s="1"/>
      <c r="EH672" s="1"/>
      <c r="EI672" s="1"/>
      <c r="EJ672" s="1"/>
      <c r="EK672" s="1"/>
      <c r="EL672" s="1"/>
      <c r="EM672" s="1"/>
      <c r="EN672" s="1"/>
      <c r="EO672" s="1"/>
      <c r="EP672" s="1"/>
      <c r="EQ672" s="1"/>
      <c r="ER672" s="1"/>
      <c r="ES672" s="1"/>
      <c r="ET672" s="1"/>
      <c r="EU672" s="1"/>
      <c r="EV672" s="1"/>
      <c r="EW672" s="1"/>
      <c r="EX672" s="1"/>
      <c r="EY672" s="1"/>
      <c r="EZ672" s="1"/>
      <c r="FA672" s="1"/>
      <c r="FB672" s="1"/>
      <c r="FC672" s="1"/>
      <c r="FD672" s="1"/>
      <c r="FE672" s="1"/>
      <c r="FF672" s="1"/>
      <c r="FG672" s="1"/>
      <c r="FH672" s="1"/>
      <c r="FI672" s="1"/>
      <c r="FJ672" s="1"/>
      <c r="FK672" s="1"/>
      <c r="FL672" s="1"/>
      <c r="FM672" s="1"/>
      <c r="FN672" s="1"/>
      <c r="FO672" s="1"/>
      <c r="FP672" s="1"/>
      <c r="FQ672" s="1"/>
      <c r="FR672" s="2"/>
      <c r="FS672" s="1"/>
    </row>
    <row r="673" spans="1:175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R673" s="1"/>
      <c r="S673" s="1"/>
      <c r="T673" s="1"/>
      <c r="U673" s="1"/>
      <c r="V673" s="1"/>
      <c r="Y673" s="1"/>
      <c r="Z673" s="2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U673" s="1"/>
      <c r="AW673" s="1"/>
      <c r="AX673" s="1"/>
      <c r="AY673" s="1"/>
      <c r="AZ673" s="1"/>
      <c r="BA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  <c r="DC673" s="1"/>
      <c r="DD673" s="1"/>
      <c r="DE673" s="1"/>
      <c r="DF673" s="1"/>
      <c r="DG673" s="1"/>
      <c r="DH673" s="1"/>
      <c r="DI673" s="1"/>
      <c r="DJ673" s="1"/>
      <c r="DK673" s="1"/>
      <c r="DL673" s="1"/>
      <c r="DM673" s="1"/>
      <c r="DN673" s="1"/>
      <c r="DO673" s="1"/>
      <c r="DP673" s="1"/>
      <c r="DQ673" s="1"/>
      <c r="DR673" s="1"/>
      <c r="DS673" s="1"/>
      <c r="DT673" s="1"/>
      <c r="DU673" s="1"/>
      <c r="DV673" s="1"/>
      <c r="DW673" s="1"/>
      <c r="DX673" s="1"/>
      <c r="DY673" s="1"/>
      <c r="DZ673" s="1"/>
      <c r="EA673" s="1"/>
      <c r="EB673" s="1"/>
      <c r="EC673" s="1"/>
      <c r="ED673" s="1"/>
      <c r="EE673" s="1"/>
      <c r="EF673" s="1"/>
      <c r="EG673" s="1"/>
      <c r="EH673" s="1"/>
      <c r="EI673" s="1"/>
      <c r="EJ673" s="1"/>
      <c r="EK673" s="1"/>
      <c r="EL673" s="1"/>
      <c r="EM673" s="1"/>
      <c r="EN673" s="1"/>
      <c r="EO673" s="1"/>
      <c r="EP673" s="1"/>
      <c r="EQ673" s="1"/>
      <c r="ER673" s="1"/>
      <c r="ES673" s="1"/>
      <c r="ET673" s="1"/>
      <c r="EU673" s="1"/>
      <c r="EV673" s="1"/>
      <c r="EW673" s="1"/>
      <c r="EX673" s="1"/>
      <c r="EY673" s="1"/>
      <c r="EZ673" s="1"/>
      <c r="FA673" s="1"/>
      <c r="FB673" s="1"/>
      <c r="FC673" s="1"/>
      <c r="FD673" s="1"/>
      <c r="FE673" s="1"/>
      <c r="FF673" s="1"/>
      <c r="FG673" s="1"/>
      <c r="FH673" s="1"/>
      <c r="FI673" s="1"/>
      <c r="FJ673" s="1"/>
      <c r="FK673" s="1"/>
      <c r="FL673" s="1"/>
      <c r="FM673" s="1"/>
      <c r="FN673" s="1"/>
      <c r="FO673" s="1"/>
      <c r="FP673" s="1"/>
      <c r="FQ673" s="1"/>
      <c r="FR673" s="2"/>
      <c r="FS673" s="1"/>
    </row>
    <row r="674" spans="1:175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R674" s="1"/>
      <c r="S674" s="1"/>
      <c r="T674" s="1"/>
      <c r="U674" s="1"/>
      <c r="V674" s="1"/>
      <c r="Y674" s="1"/>
      <c r="Z674" s="2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U674" s="1"/>
      <c r="AW674" s="1"/>
      <c r="AX674" s="1"/>
      <c r="AY674" s="1"/>
      <c r="AZ674" s="1"/>
      <c r="BA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  <c r="DC674" s="1"/>
      <c r="DD674" s="1"/>
      <c r="DE674" s="1"/>
      <c r="DF674" s="1"/>
      <c r="DG674" s="1"/>
      <c r="DH674" s="1"/>
      <c r="DI674" s="1"/>
      <c r="DJ674" s="1"/>
      <c r="DK674" s="1"/>
      <c r="DL674" s="1"/>
      <c r="DM674" s="1"/>
      <c r="DN674" s="1"/>
      <c r="DO674" s="1"/>
      <c r="DP674" s="1"/>
      <c r="DQ674" s="1"/>
      <c r="DR674" s="1"/>
      <c r="DS674" s="1"/>
      <c r="DT674" s="1"/>
      <c r="DU674" s="1"/>
      <c r="DV674" s="1"/>
      <c r="DW674" s="1"/>
      <c r="DX674" s="1"/>
      <c r="DY674" s="1"/>
      <c r="DZ674" s="1"/>
      <c r="EA674" s="1"/>
      <c r="EB674" s="1"/>
      <c r="EC674" s="1"/>
      <c r="ED674" s="1"/>
      <c r="EE674" s="1"/>
      <c r="EF674" s="1"/>
      <c r="EG674" s="1"/>
      <c r="EH674" s="1"/>
      <c r="EI674" s="1"/>
      <c r="EJ674" s="1"/>
      <c r="EK674" s="1"/>
      <c r="EL674" s="1"/>
      <c r="EM674" s="1"/>
      <c r="EN674" s="1"/>
      <c r="EO674" s="1"/>
      <c r="EP674" s="1"/>
      <c r="EQ674" s="1"/>
      <c r="ER674" s="1"/>
      <c r="ES674" s="1"/>
      <c r="ET674" s="1"/>
      <c r="EU674" s="1"/>
      <c r="EV674" s="1"/>
      <c r="EW674" s="1"/>
      <c r="EX674" s="1"/>
      <c r="EY674" s="1"/>
      <c r="EZ674" s="1"/>
      <c r="FA674" s="1"/>
      <c r="FB674" s="1"/>
      <c r="FC674" s="1"/>
      <c r="FD674" s="1"/>
      <c r="FE674" s="1"/>
      <c r="FF674" s="1"/>
      <c r="FG674" s="1"/>
      <c r="FH674" s="1"/>
      <c r="FI674" s="1"/>
      <c r="FJ674" s="1"/>
      <c r="FK674" s="1"/>
      <c r="FL674" s="1"/>
      <c r="FM674" s="1"/>
      <c r="FN674" s="1"/>
      <c r="FO674" s="1"/>
      <c r="FP674" s="1"/>
      <c r="FQ674" s="1"/>
      <c r="FR674" s="2"/>
      <c r="FS674" s="1"/>
    </row>
    <row r="675" spans="1:175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R675" s="1"/>
      <c r="S675" s="1"/>
      <c r="T675" s="1"/>
      <c r="U675" s="1"/>
      <c r="V675" s="1"/>
      <c r="Y675" s="1"/>
      <c r="Z675" s="2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U675" s="1"/>
      <c r="AW675" s="1"/>
      <c r="AX675" s="1"/>
      <c r="AY675" s="1"/>
      <c r="AZ675" s="1"/>
      <c r="BA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  <c r="DC675" s="1"/>
      <c r="DD675" s="1"/>
      <c r="DE675" s="1"/>
      <c r="DF675" s="1"/>
      <c r="DG675" s="1"/>
      <c r="DH675" s="1"/>
      <c r="DI675" s="1"/>
      <c r="DJ675" s="1"/>
      <c r="DK675" s="1"/>
      <c r="DL675" s="1"/>
      <c r="DM675" s="1"/>
      <c r="DN675" s="1"/>
      <c r="DO675" s="1"/>
      <c r="DP675" s="1"/>
      <c r="DQ675" s="1"/>
      <c r="DR675" s="1"/>
      <c r="DS675" s="1"/>
      <c r="DT675" s="1"/>
      <c r="DU675" s="1"/>
      <c r="DV675" s="1"/>
      <c r="DW675" s="1"/>
      <c r="DX675" s="1"/>
      <c r="DY675" s="1"/>
      <c r="DZ675" s="1"/>
      <c r="EA675" s="1"/>
      <c r="EB675" s="1"/>
      <c r="EC675" s="1"/>
      <c r="ED675" s="1"/>
      <c r="EE675" s="1"/>
      <c r="EF675" s="1"/>
      <c r="EG675" s="1"/>
      <c r="EH675" s="1"/>
      <c r="EI675" s="1"/>
      <c r="EJ675" s="1"/>
      <c r="EK675" s="1"/>
      <c r="EL675" s="1"/>
      <c r="EM675" s="1"/>
      <c r="EN675" s="1"/>
      <c r="EO675" s="1"/>
      <c r="EP675" s="1"/>
      <c r="EQ675" s="1"/>
      <c r="ER675" s="1"/>
      <c r="ES675" s="1"/>
      <c r="ET675" s="1"/>
      <c r="EU675" s="1"/>
      <c r="EV675" s="1"/>
      <c r="EW675" s="1"/>
      <c r="EX675" s="1"/>
      <c r="EY675" s="1"/>
      <c r="EZ675" s="1"/>
      <c r="FA675" s="1"/>
      <c r="FB675" s="1"/>
      <c r="FC675" s="1"/>
      <c r="FD675" s="1"/>
      <c r="FE675" s="1"/>
      <c r="FF675" s="1"/>
      <c r="FG675" s="1"/>
      <c r="FH675" s="1"/>
      <c r="FI675" s="1"/>
      <c r="FJ675" s="1"/>
      <c r="FK675" s="1"/>
      <c r="FL675" s="1"/>
      <c r="FM675" s="1"/>
      <c r="FN675" s="1"/>
      <c r="FO675" s="1"/>
      <c r="FP675" s="1"/>
      <c r="FQ675" s="1"/>
      <c r="FR675" s="2"/>
      <c r="FS675" s="1"/>
    </row>
    <row r="676" spans="1:175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R676" s="1"/>
      <c r="S676" s="1"/>
      <c r="T676" s="1"/>
      <c r="U676" s="1"/>
      <c r="V676" s="1"/>
      <c r="Y676" s="1"/>
      <c r="Z676" s="2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U676" s="1"/>
      <c r="AW676" s="1"/>
      <c r="AX676" s="1"/>
      <c r="AY676" s="1"/>
      <c r="AZ676" s="1"/>
      <c r="BA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  <c r="DC676" s="1"/>
      <c r="DD676" s="1"/>
      <c r="DE676" s="1"/>
      <c r="DF676" s="1"/>
      <c r="DG676" s="1"/>
      <c r="DH676" s="1"/>
      <c r="DI676" s="1"/>
      <c r="DJ676" s="1"/>
      <c r="DK676" s="1"/>
      <c r="DL676" s="1"/>
      <c r="DM676" s="1"/>
      <c r="DN676" s="1"/>
      <c r="DO676" s="1"/>
      <c r="DP676" s="1"/>
      <c r="DQ676" s="1"/>
      <c r="DR676" s="1"/>
      <c r="DS676" s="1"/>
      <c r="DT676" s="1"/>
      <c r="DU676" s="1"/>
      <c r="DV676" s="1"/>
      <c r="DW676" s="1"/>
      <c r="DX676" s="1"/>
      <c r="DY676" s="1"/>
      <c r="DZ676" s="1"/>
      <c r="EA676" s="1"/>
      <c r="EB676" s="1"/>
      <c r="EC676" s="1"/>
      <c r="ED676" s="1"/>
      <c r="EE676" s="1"/>
      <c r="EF676" s="1"/>
      <c r="EG676" s="1"/>
      <c r="EH676" s="1"/>
      <c r="EI676" s="1"/>
      <c r="EJ676" s="1"/>
      <c r="EK676" s="1"/>
      <c r="EL676" s="1"/>
      <c r="EM676" s="1"/>
      <c r="EN676" s="1"/>
      <c r="EO676" s="1"/>
      <c r="EP676" s="1"/>
      <c r="EQ676" s="1"/>
      <c r="ER676" s="1"/>
      <c r="ES676" s="1"/>
      <c r="ET676" s="1"/>
      <c r="EU676" s="1"/>
      <c r="EV676" s="1"/>
      <c r="EW676" s="1"/>
      <c r="EX676" s="1"/>
      <c r="EY676" s="1"/>
      <c r="EZ676" s="1"/>
      <c r="FA676" s="1"/>
      <c r="FB676" s="1"/>
      <c r="FC676" s="1"/>
      <c r="FD676" s="1"/>
      <c r="FE676" s="1"/>
      <c r="FF676" s="1"/>
      <c r="FG676" s="1"/>
      <c r="FH676" s="1"/>
      <c r="FI676" s="1"/>
      <c r="FJ676" s="1"/>
      <c r="FK676" s="1"/>
      <c r="FL676" s="1"/>
      <c r="FM676" s="1"/>
      <c r="FN676" s="1"/>
      <c r="FO676" s="1"/>
      <c r="FP676" s="1"/>
      <c r="FQ676" s="1"/>
      <c r="FR676" s="2"/>
      <c r="FS676" s="1"/>
    </row>
    <row r="677" spans="1:175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R677" s="1"/>
      <c r="S677" s="1"/>
      <c r="T677" s="1"/>
      <c r="U677" s="1"/>
      <c r="V677" s="1"/>
      <c r="Y677" s="1"/>
      <c r="Z677" s="2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U677" s="1"/>
      <c r="AW677" s="1"/>
      <c r="AX677" s="1"/>
      <c r="AY677" s="1"/>
      <c r="AZ677" s="1"/>
      <c r="BA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  <c r="DC677" s="1"/>
      <c r="DD677" s="1"/>
      <c r="DE677" s="1"/>
      <c r="DF677" s="1"/>
      <c r="DG677" s="1"/>
      <c r="DH677" s="1"/>
      <c r="DI677" s="1"/>
      <c r="DJ677" s="1"/>
      <c r="DK677" s="1"/>
      <c r="DL677" s="1"/>
      <c r="DM677" s="1"/>
      <c r="DN677" s="1"/>
      <c r="DO677" s="1"/>
      <c r="DP677" s="1"/>
      <c r="DQ677" s="1"/>
      <c r="DR677" s="1"/>
      <c r="DS677" s="1"/>
      <c r="DT677" s="1"/>
      <c r="DU677" s="1"/>
      <c r="DV677" s="1"/>
      <c r="DW677" s="1"/>
      <c r="DX677" s="1"/>
      <c r="DY677" s="1"/>
      <c r="DZ677" s="1"/>
      <c r="EA677" s="1"/>
      <c r="EB677" s="1"/>
      <c r="EC677" s="1"/>
      <c r="ED677" s="1"/>
      <c r="EE677" s="1"/>
      <c r="EF677" s="1"/>
      <c r="EG677" s="1"/>
      <c r="EH677" s="1"/>
      <c r="EI677" s="1"/>
      <c r="EJ677" s="1"/>
      <c r="EK677" s="1"/>
      <c r="EL677" s="1"/>
      <c r="EM677" s="1"/>
      <c r="EN677" s="1"/>
      <c r="EO677" s="1"/>
      <c r="EP677" s="1"/>
      <c r="EQ677" s="1"/>
      <c r="ER677" s="1"/>
      <c r="ES677" s="1"/>
      <c r="ET677" s="1"/>
      <c r="EU677" s="1"/>
      <c r="EV677" s="1"/>
      <c r="EW677" s="1"/>
      <c r="EX677" s="1"/>
      <c r="EY677" s="1"/>
      <c r="EZ677" s="1"/>
      <c r="FA677" s="1"/>
      <c r="FB677" s="1"/>
      <c r="FC677" s="1"/>
      <c r="FD677" s="1"/>
      <c r="FE677" s="1"/>
      <c r="FF677" s="1"/>
      <c r="FG677" s="1"/>
      <c r="FH677" s="1"/>
      <c r="FI677" s="1"/>
      <c r="FJ677" s="1"/>
      <c r="FK677" s="1"/>
      <c r="FL677" s="1"/>
      <c r="FM677" s="1"/>
      <c r="FN677" s="1"/>
      <c r="FO677" s="1"/>
      <c r="FP677" s="1"/>
      <c r="FQ677" s="1"/>
      <c r="FR677" s="2"/>
      <c r="FS677" s="1"/>
    </row>
    <row r="678" spans="1:175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R678" s="1"/>
      <c r="S678" s="1"/>
      <c r="T678" s="1"/>
      <c r="U678" s="1"/>
      <c r="V678" s="1"/>
      <c r="Y678" s="1"/>
      <c r="Z678" s="2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U678" s="1"/>
      <c r="AW678" s="1"/>
      <c r="AX678" s="1"/>
      <c r="AY678" s="1"/>
      <c r="AZ678" s="1"/>
      <c r="BA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  <c r="DC678" s="1"/>
      <c r="DD678" s="1"/>
      <c r="DE678" s="1"/>
      <c r="DF678" s="1"/>
      <c r="DG678" s="1"/>
      <c r="DH678" s="1"/>
      <c r="DI678" s="1"/>
      <c r="DJ678" s="1"/>
      <c r="DK678" s="1"/>
      <c r="DL678" s="1"/>
      <c r="DM678" s="1"/>
      <c r="DN678" s="1"/>
      <c r="DO678" s="1"/>
      <c r="DP678" s="1"/>
      <c r="DQ678" s="1"/>
      <c r="DR678" s="1"/>
      <c r="DS678" s="1"/>
      <c r="DT678" s="1"/>
      <c r="DU678" s="1"/>
      <c r="DV678" s="1"/>
      <c r="DW678" s="1"/>
      <c r="DX678" s="1"/>
      <c r="DY678" s="1"/>
      <c r="DZ678" s="1"/>
      <c r="EA678" s="1"/>
      <c r="EB678" s="1"/>
      <c r="EC678" s="1"/>
      <c r="ED678" s="1"/>
      <c r="EE678" s="1"/>
      <c r="EF678" s="1"/>
      <c r="EG678" s="1"/>
      <c r="EH678" s="1"/>
      <c r="EI678" s="1"/>
      <c r="EJ678" s="1"/>
      <c r="EK678" s="1"/>
      <c r="EL678" s="1"/>
      <c r="EM678" s="1"/>
      <c r="EN678" s="1"/>
      <c r="EO678" s="1"/>
      <c r="EP678" s="1"/>
      <c r="EQ678" s="1"/>
      <c r="ER678" s="1"/>
      <c r="ES678" s="1"/>
      <c r="ET678" s="1"/>
      <c r="EU678" s="1"/>
      <c r="EV678" s="1"/>
      <c r="EW678" s="1"/>
      <c r="EX678" s="1"/>
      <c r="EY678" s="1"/>
      <c r="EZ678" s="1"/>
      <c r="FA678" s="1"/>
      <c r="FB678" s="1"/>
      <c r="FC678" s="1"/>
      <c r="FD678" s="1"/>
      <c r="FE678" s="1"/>
      <c r="FF678" s="1"/>
      <c r="FG678" s="1"/>
      <c r="FH678" s="1"/>
      <c r="FI678" s="1"/>
      <c r="FJ678" s="1"/>
      <c r="FK678" s="1"/>
      <c r="FL678" s="1"/>
      <c r="FM678" s="1"/>
      <c r="FN678" s="1"/>
      <c r="FO678" s="1"/>
      <c r="FP678" s="1"/>
      <c r="FQ678" s="1"/>
      <c r="FR678" s="2"/>
      <c r="FS678" s="1"/>
    </row>
    <row r="679" spans="1:175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R679" s="1"/>
      <c r="S679" s="1"/>
      <c r="T679" s="1"/>
      <c r="U679" s="1"/>
      <c r="V679" s="1"/>
      <c r="Y679" s="1"/>
      <c r="Z679" s="2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U679" s="1"/>
      <c r="AW679" s="1"/>
      <c r="AX679" s="1"/>
      <c r="AY679" s="1"/>
      <c r="AZ679" s="1"/>
      <c r="BA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  <c r="DC679" s="1"/>
      <c r="DD679" s="1"/>
      <c r="DE679" s="1"/>
      <c r="DF679" s="1"/>
      <c r="DG679" s="1"/>
      <c r="DH679" s="1"/>
      <c r="DI679" s="1"/>
      <c r="DJ679" s="1"/>
      <c r="DK679" s="1"/>
      <c r="DL679" s="1"/>
      <c r="DM679" s="1"/>
      <c r="DN679" s="1"/>
      <c r="DO679" s="1"/>
      <c r="DP679" s="1"/>
      <c r="DQ679" s="1"/>
      <c r="DR679" s="1"/>
      <c r="DS679" s="1"/>
      <c r="DT679" s="1"/>
      <c r="DU679" s="1"/>
      <c r="DV679" s="1"/>
      <c r="DW679" s="1"/>
      <c r="DX679" s="1"/>
      <c r="DY679" s="1"/>
      <c r="DZ679" s="1"/>
      <c r="EA679" s="1"/>
      <c r="EB679" s="1"/>
      <c r="EC679" s="1"/>
      <c r="ED679" s="1"/>
      <c r="EE679" s="1"/>
      <c r="EF679" s="1"/>
      <c r="EG679" s="1"/>
      <c r="EH679" s="1"/>
      <c r="EI679" s="1"/>
      <c r="EJ679" s="1"/>
      <c r="EK679" s="1"/>
      <c r="EL679" s="1"/>
      <c r="EM679" s="1"/>
      <c r="EN679" s="1"/>
      <c r="EO679" s="1"/>
      <c r="EP679" s="1"/>
      <c r="EQ679" s="1"/>
      <c r="ER679" s="1"/>
      <c r="ES679" s="1"/>
      <c r="ET679" s="1"/>
      <c r="EU679" s="1"/>
      <c r="EV679" s="1"/>
      <c r="EW679" s="1"/>
      <c r="EX679" s="1"/>
      <c r="EY679" s="1"/>
      <c r="EZ679" s="1"/>
      <c r="FA679" s="1"/>
      <c r="FB679" s="1"/>
      <c r="FC679" s="1"/>
      <c r="FD679" s="1"/>
      <c r="FE679" s="1"/>
      <c r="FF679" s="1"/>
      <c r="FG679" s="1"/>
      <c r="FH679" s="1"/>
      <c r="FI679" s="1"/>
      <c r="FJ679" s="1"/>
      <c r="FK679" s="1"/>
      <c r="FL679" s="1"/>
      <c r="FM679" s="1"/>
      <c r="FN679" s="1"/>
      <c r="FO679" s="1"/>
      <c r="FP679" s="1"/>
      <c r="FQ679" s="1"/>
      <c r="FR679" s="2"/>
      <c r="FS679" s="1"/>
    </row>
    <row r="680" spans="1:175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R680" s="1"/>
      <c r="S680" s="1"/>
      <c r="T680" s="1"/>
      <c r="U680" s="1"/>
      <c r="V680" s="1"/>
      <c r="Y680" s="1"/>
      <c r="Z680" s="2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U680" s="1"/>
      <c r="AW680" s="1"/>
      <c r="AX680" s="1"/>
      <c r="AY680" s="1"/>
      <c r="AZ680" s="1"/>
      <c r="BA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  <c r="DC680" s="1"/>
      <c r="DD680" s="1"/>
      <c r="DE680" s="1"/>
      <c r="DF680" s="1"/>
      <c r="DG680" s="1"/>
      <c r="DH680" s="1"/>
      <c r="DI680" s="1"/>
      <c r="DJ680" s="1"/>
      <c r="DK680" s="1"/>
      <c r="DL680" s="1"/>
      <c r="DM680" s="1"/>
      <c r="DN680" s="1"/>
      <c r="DO680" s="1"/>
      <c r="DP680" s="1"/>
      <c r="DQ680" s="1"/>
      <c r="DR680" s="1"/>
      <c r="DS680" s="1"/>
      <c r="DT680" s="1"/>
      <c r="DU680" s="1"/>
      <c r="DV680" s="1"/>
      <c r="DW680" s="1"/>
      <c r="DX680" s="1"/>
      <c r="DY680" s="1"/>
      <c r="DZ680" s="1"/>
      <c r="EA680" s="1"/>
      <c r="EB680" s="1"/>
      <c r="EC680" s="1"/>
      <c r="ED680" s="1"/>
      <c r="EE680" s="1"/>
      <c r="EF680" s="1"/>
      <c r="EG680" s="1"/>
      <c r="EH680" s="1"/>
      <c r="EI680" s="1"/>
      <c r="EJ680" s="1"/>
      <c r="EK680" s="1"/>
      <c r="EL680" s="1"/>
      <c r="EM680" s="1"/>
      <c r="EN680" s="1"/>
      <c r="EO680" s="1"/>
      <c r="EP680" s="1"/>
      <c r="EQ680" s="1"/>
      <c r="ER680" s="1"/>
      <c r="ES680" s="1"/>
      <c r="ET680" s="1"/>
      <c r="EU680" s="1"/>
      <c r="EV680" s="1"/>
      <c r="EW680" s="1"/>
      <c r="EX680" s="1"/>
      <c r="EY680" s="1"/>
      <c r="EZ680" s="1"/>
      <c r="FA680" s="1"/>
      <c r="FB680" s="1"/>
      <c r="FC680" s="1"/>
      <c r="FD680" s="1"/>
      <c r="FE680" s="1"/>
      <c r="FF680" s="1"/>
      <c r="FG680" s="1"/>
      <c r="FH680" s="1"/>
      <c r="FI680" s="1"/>
      <c r="FJ680" s="1"/>
      <c r="FK680" s="1"/>
      <c r="FL680" s="1"/>
      <c r="FM680" s="1"/>
      <c r="FN680" s="1"/>
      <c r="FO680" s="1"/>
      <c r="FP680" s="1"/>
      <c r="FQ680" s="1"/>
      <c r="FR680" s="2"/>
      <c r="FS680" s="1"/>
    </row>
    <row r="681" spans="1:175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R681" s="1"/>
      <c r="S681" s="1"/>
      <c r="T681" s="1"/>
      <c r="U681" s="1"/>
      <c r="V681" s="1"/>
      <c r="Y681" s="1"/>
      <c r="Z681" s="2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U681" s="1"/>
      <c r="AW681" s="1"/>
      <c r="AX681" s="1"/>
      <c r="AY681" s="1"/>
      <c r="AZ681" s="1"/>
      <c r="BA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  <c r="DC681" s="1"/>
      <c r="DD681" s="1"/>
      <c r="DE681" s="1"/>
      <c r="DF681" s="1"/>
      <c r="DG681" s="1"/>
      <c r="DH681" s="1"/>
      <c r="DI681" s="1"/>
      <c r="DJ681" s="1"/>
      <c r="DK681" s="1"/>
      <c r="DL681" s="1"/>
      <c r="DM681" s="1"/>
      <c r="DN681" s="1"/>
      <c r="DO681" s="1"/>
      <c r="DP681" s="1"/>
      <c r="DQ681" s="1"/>
      <c r="DR681" s="1"/>
      <c r="DS681" s="1"/>
      <c r="DT681" s="1"/>
      <c r="DU681" s="1"/>
      <c r="DV681" s="1"/>
      <c r="DW681" s="1"/>
      <c r="DX681" s="1"/>
      <c r="DY681" s="1"/>
      <c r="DZ681" s="1"/>
      <c r="EA681" s="1"/>
      <c r="EB681" s="1"/>
      <c r="EC681" s="1"/>
      <c r="ED681" s="1"/>
      <c r="EE681" s="1"/>
      <c r="EF681" s="1"/>
      <c r="EG681" s="1"/>
      <c r="EH681" s="1"/>
      <c r="EI681" s="1"/>
      <c r="EJ681" s="1"/>
      <c r="EK681" s="1"/>
      <c r="EL681" s="1"/>
      <c r="EM681" s="1"/>
      <c r="EN681" s="1"/>
      <c r="EO681" s="1"/>
      <c r="EP681" s="1"/>
      <c r="EQ681" s="1"/>
      <c r="ER681" s="1"/>
      <c r="ES681" s="1"/>
      <c r="ET681" s="1"/>
      <c r="EU681" s="1"/>
      <c r="EV681" s="1"/>
      <c r="EW681" s="1"/>
      <c r="EX681" s="1"/>
      <c r="EY681" s="1"/>
      <c r="EZ681" s="1"/>
      <c r="FA681" s="1"/>
      <c r="FB681" s="1"/>
      <c r="FC681" s="1"/>
      <c r="FD681" s="1"/>
      <c r="FE681" s="1"/>
      <c r="FF681" s="1"/>
      <c r="FG681" s="1"/>
      <c r="FH681" s="1"/>
      <c r="FI681" s="1"/>
      <c r="FJ681" s="1"/>
      <c r="FK681" s="1"/>
      <c r="FL681" s="1"/>
      <c r="FM681" s="1"/>
      <c r="FN681" s="1"/>
      <c r="FO681" s="1"/>
      <c r="FP681" s="1"/>
      <c r="FQ681" s="1"/>
      <c r="FR681" s="2"/>
      <c r="FS681" s="1"/>
    </row>
    <row r="682" spans="1:175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R682" s="1"/>
      <c r="S682" s="1"/>
      <c r="T682" s="1"/>
      <c r="U682" s="1"/>
      <c r="V682" s="1"/>
      <c r="Y682" s="1"/>
      <c r="Z682" s="2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U682" s="1"/>
      <c r="AW682" s="1"/>
      <c r="AX682" s="1"/>
      <c r="AY682" s="1"/>
      <c r="AZ682" s="1"/>
      <c r="BA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  <c r="DC682" s="1"/>
      <c r="DD682" s="1"/>
      <c r="DE682" s="1"/>
      <c r="DF682" s="1"/>
      <c r="DG682" s="1"/>
      <c r="DH682" s="1"/>
      <c r="DI682" s="1"/>
      <c r="DJ682" s="1"/>
      <c r="DK682" s="1"/>
      <c r="DL682" s="1"/>
      <c r="DM682" s="1"/>
      <c r="DN682" s="1"/>
      <c r="DO682" s="1"/>
      <c r="DP682" s="1"/>
      <c r="DQ682" s="1"/>
      <c r="DR682" s="1"/>
      <c r="DS682" s="1"/>
      <c r="DT682" s="1"/>
      <c r="DU682" s="1"/>
      <c r="DV682" s="1"/>
      <c r="DW682" s="1"/>
      <c r="DX682" s="1"/>
      <c r="DY682" s="1"/>
      <c r="DZ682" s="1"/>
      <c r="EA682" s="1"/>
      <c r="EB682" s="1"/>
      <c r="EC682" s="1"/>
      <c r="ED682" s="1"/>
      <c r="EE682" s="1"/>
      <c r="EF682" s="1"/>
      <c r="EG682" s="1"/>
      <c r="EH682" s="1"/>
      <c r="EI682" s="1"/>
      <c r="EJ682" s="1"/>
      <c r="EK682" s="1"/>
      <c r="EL682" s="1"/>
      <c r="EM682" s="1"/>
      <c r="EN682" s="1"/>
      <c r="EO682" s="1"/>
      <c r="EP682" s="1"/>
      <c r="EQ682" s="1"/>
      <c r="ER682" s="1"/>
      <c r="ES682" s="1"/>
      <c r="ET682" s="1"/>
      <c r="EU682" s="1"/>
      <c r="EV682" s="1"/>
      <c r="EW682" s="1"/>
      <c r="EX682" s="1"/>
      <c r="EY682" s="1"/>
      <c r="EZ682" s="1"/>
      <c r="FA682" s="1"/>
      <c r="FB682" s="1"/>
      <c r="FC682" s="1"/>
      <c r="FD682" s="1"/>
      <c r="FE682" s="1"/>
      <c r="FF682" s="1"/>
      <c r="FG682" s="1"/>
      <c r="FH682" s="1"/>
      <c r="FI682" s="1"/>
      <c r="FJ682" s="1"/>
      <c r="FK682" s="1"/>
      <c r="FL682" s="1"/>
      <c r="FM682" s="1"/>
      <c r="FN682" s="1"/>
      <c r="FO682" s="1"/>
      <c r="FP682" s="1"/>
      <c r="FQ682" s="1"/>
      <c r="FR682" s="2"/>
      <c r="FS682" s="1"/>
    </row>
    <row r="683" spans="1:175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R683" s="1"/>
      <c r="S683" s="1"/>
      <c r="T683" s="1"/>
      <c r="U683" s="1"/>
      <c r="V683" s="1"/>
      <c r="Y683" s="1"/>
      <c r="Z683" s="2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U683" s="1"/>
      <c r="AW683" s="1"/>
      <c r="AX683" s="1"/>
      <c r="AY683" s="1"/>
      <c r="AZ683" s="1"/>
      <c r="BA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  <c r="DC683" s="1"/>
      <c r="DD683" s="1"/>
      <c r="DE683" s="1"/>
      <c r="DF683" s="1"/>
      <c r="DG683" s="1"/>
      <c r="DH683" s="1"/>
      <c r="DI683" s="1"/>
      <c r="DJ683" s="1"/>
      <c r="DK683" s="1"/>
      <c r="DL683" s="1"/>
      <c r="DM683" s="1"/>
      <c r="DN683" s="1"/>
      <c r="DO683" s="1"/>
      <c r="DP683" s="1"/>
      <c r="DQ683" s="1"/>
      <c r="DR683" s="1"/>
      <c r="DS683" s="1"/>
      <c r="DT683" s="1"/>
      <c r="DU683" s="1"/>
      <c r="DV683" s="1"/>
      <c r="DW683" s="1"/>
      <c r="DX683" s="1"/>
      <c r="DY683" s="1"/>
      <c r="DZ683" s="1"/>
      <c r="EA683" s="1"/>
      <c r="EB683" s="1"/>
      <c r="EC683" s="1"/>
      <c r="ED683" s="1"/>
      <c r="EE683" s="1"/>
      <c r="EF683" s="1"/>
      <c r="EG683" s="1"/>
      <c r="EH683" s="1"/>
      <c r="EI683" s="1"/>
      <c r="EJ683" s="1"/>
      <c r="EK683" s="1"/>
      <c r="EL683" s="1"/>
      <c r="EM683" s="1"/>
      <c r="EN683" s="1"/>
      <c r="EO683" s="1"/>
      <c r="EP683" s="1"/>
      <c r="EQ683" s="1"/>
      <c r="ER683" s="1"/>
      <c r="ES683" s="1"/>
      <c r="ET683" s="1"/>
      <c r="EU683" s="1"/>
      <c r="EV683" s="1"/>
      <c r="EW683" s="1"/>
      <c r="EX683" s="1"/>
      <c r="EY683" s="1"/>
      <c r="EZ683" s="1"/>
      <c r="FA683" s="1"/>
      <c r="FB683" s="1"/>
      <c r="FC683" s="1"/>
      <c r="FD683" s="1"/>
      <c r="FE683" s="1"/>
      <c r="FF683" s="1"/>
      <c r="FG683" s="1"/>
      <c r="FH683" s="1"/>
      <c r="FI683" s="1"/>
      <c r="FJ683" s="1"/>
      <c r="FK683" s="1"/>
      <c r="FL683" s="1"/>
      <c r="FM683" s="1"/>
      <c r="FN683" s="1"/>
      <c r="FO683" s="1"/>
      <c r="FP683" s="1"/>
      <c r="FQ683" s="1"/>
      <c r="FR683" s="2"/>
      <c r="FS683" s="1"/>
    </row>
    <row r="684" spans="1:175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R684" s="1"/>
      <c r="S684" s="1"/>
      <c r="T684" s="1"/>
      <c r="U684" s="1"/>
      <c r="V684" s="1"/>
      <c r="Y684" s="1"/>
      <c r="Z684" s="2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U684" s="1"/>
      <c r="AW684" s="1"/>
      <c r="AX684" s="1"/>
      <c r="AY684" s="1"/>
      <c r="AZ684" s="1"/>
      <c r="BA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  <c r="DC684" s="1"/>
      <c r="DD684" s="1"/>
      <c r="DE684" s="1"/>
      <c r="DF684" s="1"/>
      <c r="DG684" s="1"/>
      <c r="DH684" s="1"/>
      <c r="DI684" s="1"/>
      <c r="DJ684" s="1"/>
      <c r="DK684" s="1"/>
      <c r="DL684" s="1"/>
      <c r="DM684" s="1"/>
      <c r="DN684" s="1"/>
      <c r="DO684" s="1"/>
      <c r="DP684" s="1"/>
      <c r="DQ684" s="1"/>
      <c r="DR684" s="1"/>
      <c r="DS684" s="1"/>
      <c r="DT684" s="1"/>
      <c r="DU684" s="1"/>
      <c r="DV684" s="1"/>
      <c r="DW684" s="1"/>
      <c r="DX684" s="1"/>
      <c r="DY684" s="1"/>
      <c r="DZ684" s="1"/>
      <c r="EA684" s="1"/>
      <c r="EB684" s="1"/>
      <c r="EC684" s="1"/>
      <c r="ED684" s="1"/>
      <c r="EE684" s="1"/>
      <c r="EF684" s="1"/>
      <c r="EG684" s="1"/>
      <c r="EH684" s="1"/>
      <c r="EI684" s="1"/>
      <c r="EJ684" s="1"/>
      <c r="EK684" s="1"/>
      <c r="EL684" s="1"/>
      <c r="EM684" s="1"/>
      <c r="EN684" s="1"/>
      <c r="EO684" s="1"/>
      <c r="EP684" s="1"/>
      <c r="EQ684" s="1"/>
      <c r="ER684" s="1"/>
      <c r="ES684" s="1"/>
      <c r="ET684" s="1"/>
      <c r="EU684" s="1"/>
      <c r="EV684" s="1"/>
      <c r="EW684" s="1"/>
      <c r="EX684" s="1"/>
      <c r="EY684" s="1"/>
      <c r="EZ684" s="1"/>
      <c r="FA684" s="1"/>
      <c r="FB684" s="1"/>
      <c r="FC684" s="1"/>
      <c r="FD684" s="1"/>
      <c r="FE684" s="1"/>
      <c r="FF684" s="1"/>
      <c r="FG684" s="1"/>
      <c r="FH684" s="1"/>
      <c r="FI684" s="1"/>
      <c r="FJ684" s="1"/>
      <c r="FK684" s="1"/>
      <c r="FL684" s="1"/>
      <c r="FM684" s="1"/>
      <c r="FN684" s="1"/>
      <c r="FO684" s="1"/>
      <c r="FP684" s="1"/>
      <c r="FQ684" s="1"/>
      <c r="FR684" s="2"/>
      <c r="FS684" s="1"/>
    </row>
    <row r="685" spans="1:175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R685" s="1"/>
      <c r="S685" s="1"/>
      <c r="T685" s="1"/>
      <c r="U685" s="1"/>
      <c r="V685" s="1"/>
      <c r="Y685" s="1"/>
      <c r="Z685" s="2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U685" s="1"/>
      <c r="AW685" s="1"/>
      <c r="AX685" s="1"/>
      <c r="AY685" s="1"/>
      <c r="AZ685" s="1"/>
      <c r="BA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  <c r="DC685" s="1"/>
      <c r="DD685" s="1"/>
      <c r="DE685" s="1"/>
      <c r="DF685" s="1"/>
      <c r="DG685" s="1"/>
      <c r="DH685" s="1"/>
      <c r="DI685" s="1"/>
      <c r="DJ685" s="1"/>
      <c r="DK685" s="1"/>
      <c r="DL685" s="1"/>
      <c r="DM685" s="1"/>
      <c r="DN685" s="1"/>
      <c r="DO685" s="1"/>
      <c r="DP685" s="1"/>
      <c r="DQ685" s="1"/>
      <c r="DR685" s="1"/>
      <c r="DS685" s="1"/>
      <c r="DT685" s="1"/>
      <c r="DU685" s="1"/>
      <c r="DV685" s="1"/>
      <c r="DW685" s="1"/>
      <c r="DX685" s="1"/>
      <c r="DY685" s="1"/>
      <c r="DZ685" s="1"/>
      <c r="EA685" s="1"/>
      <c r="EB685" s="1"/>
      <c r="EC685" s="1"/>
      <c r="ED685" s="1"/>
      <c r="EE685" s="1"/>
      <c r="EF685" s="1"/>
      <c r="EG685" s="1"/>
      <c r="EH685" s="1"/>
      <c r="EI685" s="1"/>
      <c r="EJ685" s="1"/>
      <c r="EK685" s="1"/>
      <c r="EL685" s="1"/>
      <c r="EM685" s="1"/>
      <c r="EN685" s="1"/>
      <c r="EO685" s="1"/>
      <c r="EP685" s="1"/>
      <c r="EQ685" s="1"/>
      <c r="ER685" s="1"/>
      <c r="ES685" s="1"/>
      <c r="ET685" s="1"/>
      <c r="EU685" s="1"/>
      <c r="EV685" s="1"/>
      <c r="EW685" s="1"/>
      <c r="EX685" s="1"/>
      <c r="EY685" s="1"/>
      <c r="EZ685" s="1"/>
      <c r="FA685" s="1"/>
      <c r="FB685" s="1"/>
      <c r="FC685" s="1"/>
      <c r="FD685" s="1"/>
      <c r="FE685" s="1"/>
      <c r="FF685" s="1"/>
      <c r="FG685" s="1"/>
      <c r="FH685" s="1"/>
      <c r="FI685" s="1"/>
      <c r="FJ685" s="1"/>
      <c r="FK685" s="1"/>
      <c r="FL685" s="1"/>
      <c r="FM685" s="1"/>
      <c r="FN685" s="1"/>
      <c r="FO685" s="1"/>
      <c r="FP685" s="1"/>
      <c r="FQ685" s="1"/>
      <c r="FR685" s="2"/>
      <c r="FS685" s="1"/>
    </row>
    <row r="686" spans="1:175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R686" s="1"/>
      <c r="S686" s="1"/>
      <c r="T686" s="1"/>
      <c r="U686" s="1"/>
      <c r="V686" s="1"/>
      <c r="Y686" s="1"/>
      <c r="Z686" s="2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U686" s="1"/>
      <c r="AW686" s="1"/>
      <c r="AX686" s="1"/>
      <c r="AY686" s="1"/>
      <c r="AZ686" s="1"/>
      <c r="BA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  <c r="DC686" s="1"/>
      <c r="DD686" s="1"/>
      <c r="DE686" s="1"/>
      <c r="DF686" s="1"/>
      <c r="DG686" s="1"/>
      <c r="DH686" s="1"/>
      <c r="DI686" s="1"/>
      <c r="DJ686" s="1"/>
      <c r="DK686" s="1"/>
      <c r="DL686" s="1"/>
      <c r="DM686" s="1"/>
      <c r="DN686" s="1"/>
      <c r="DO686" s="1"/>
      <c r="DP686" s="1"/>
      <c r="DQ686" s="1"/>
      <c r="DR686" s="1"/>
      <c r="DS686" s="1"/>
      <c r="DT686" s="1"/>
      <c r="DU686" s="1"/>
      <c r="DV686" s="1"/>
      <c r="DW686" s="1"/>
      <c r="DX686" s="1"/>
      <c r="DY686" s="1"/>
      <c r="DZ686" s="1"/>
      <c r="EA686" s="1"/>
      <c r="EB686" s="1"/>
      <c r="EC686" s="1"/>
      <c r="ED686" s="1"/>
      <c r="EE686" s="1"/>
      <c r="EF686" s="1"/>
      <c r="EG686" s="1"/>
      <c r="EH686" s="1"/>
      <c r="EI686" s="1"/>
      <c r="EJ686" s="1"/>
      <c r="EK686" s="1"/>
      <c r="EL686" s="1"/>
      <c r="EM686" s="1"/>
      <c r="EN686" s="1"/>
      <c r="EO686" s="1"/>
      <c r="EP686" s="1"/>
      <c r="EQ686" s="1"/>
      <c r="ER686" s="1"/>
      <c r="ES686" s="1"/>
      <c r="ET686" s="1"/>
      <c r="EU686" s="1"/>
      <c r="EV686" s="1"/>
      <c r="EW686" s="1"/>
      <c r="EX686" s="1"/>
      <c r="EY686" s="1"/>
      <c r="EZ686" s="1"/>
      <c r="FA686" s="1"/>
      <c r="FB686" s="1"/>
      <c r="FC686" s="1"/>
      <c r="FD686" s="1"/>
      <c r="FE686" s="1"/>
      <c r="FF686" s="1"/>
      <c r="FG686" s="1"/>
      <c r="FH686" s="1"/>
      <c r="FI686" s="1"/>
      <c r="FJ686" s="1"/>
      <c r="FK686" s="1"/>
      <c r="FL686" s="1"/>
      <c r="FM686" s="1"/>
      <c r="FN686" s="1"/>
      <c r="FO686" s="1"/>
      <c r="FP686" s="1"/>
      <c r="FQ686" s="1"/>
      <c r="FR686" s="2"/>
      <c r="FS686" s="1"/>
    </row>
    <row r="687" spans="1:175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R687" s="1"/>
      <c r="S687" s="1"/>
      <c r="T687" s="1"/>
      <c r="U687" s="1"/>
      <c r="V687" s="1"/>
      <c r="Y687" s="1"/>
      <c r="Z687" s="2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U687" s="1"/>
      <c r="AW687" s="1"/>
      <c r="AX687" s="1"/>
      <c r="AY687" s="1"/>
      <c r="AZ687" s="1"/>
      <c r="BA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  <c r="DC687" s="1"/>
      <c r="DD687" s="1"/>
      <c r="DE687" s="1"/>
      <c r="DF687" s="1"/>
      <c r="DG687" s="1"/>
      <c r="DH687" s="1"/>
      <c r="DI687" s="1"/>
      <c r="DJ687" s="1"/>
      <c r="DK687" s="1"/>
      <c r="DL687" s="1"/>
      <c r="DM687" s="1"/>
      <c r="DN687" s="1"/>
      <c r="DO687" s="1"/>
      <c r="DP687" s="1"/>
      <c r="DQ687" s="1"/>
      <c r="DR687" s="1"/>
      <c r="DS687" s="1"/>
      <c r="DT687" s="1"/>
      <c r="DU687" s="1"/>
      <c r="DV687" s="1"/>
      <c r="DW687" s="1"/>
      <c r="DX687" s="1"/>
      <c r="DY687" s="1"/>
      <c r="DZ687" s="1"/>
      <c r="EA687" s="1"/>
      <c r="EB687" s="1"/>
      <c r="EC687" s="1"/>
      <c r="ED687" s="1"/>
      <c r="EE687" s="1"/>
      <c r="EF687" s="1"/>
      <c r="EG687" s="1"/>
      <c r="EH687" s="1"/>
      <c r="EI687" s="1"/>
      <c r="EJ687" s="1"/>
      <c r="EK687" s="1"/>
      <c r="EL687" s="1"/>
      <c r="EM687" s="1"/>
      <c r="EN687" s="1"/>
      <c r="EO687" s="1"/>
      <c r="EP687" s="1"/>
      <c r="EQ687" s="1"/>
      <c r="ER687" s="1"/>
      <c r="ES687" s="1"/>
      <c r="ET687" s="1"/>
      <c r="EU687" s="1"/>
      <c r="EV687" s="1"/>
      <c r="EW687" s="1"/>
      <c r="EX687" s="1"/>
      <c r="EY687" s="1"/>
      <c r="EZ687" s="1"/>
      <c r="FA687" s="1"/>
      <c r="FB687" s="1"/>
      <c r="FC687" s="1"/>
      <c r="FD687" s="1"/>
      <c r="FE687" s="1"/>
      <c r="FF687" s="1"/>
      <c r="FG687" s="1"/>
      <c r="FH687" s="1"/>
      <c r="FI687" s="1"/>
      <c r="FJ687" s="1"/>
      <c r="FK687" s="1"/>
      <c r="FL687" s="1"/>
      <c r="FM687" s="1"/>
      <c r="FN687" s="1"/>
      <c r="FO687" s="1"/>
      <c r="FP687" s="1"/>
      <c r="FQ687" s="1"/>
      <c r="FR687" s="2"/>
      <c r="FS687" s="1"/>
    </row>
    <row r="688" spans="1:175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R688" s="1"/>
      <c r="S688" s="1"/>
      <c r="T688" s="1"/>
      <c r="U688" s="1"/>
      <c r="V688" s="1"/>
      <c r="Y688" s="1"/>
      <c r="Z688" s="2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U688" s="1"/>
      <c r="AW688" s="1"/>
      <c r="AX688" s="1"/>
      <c r="AY688" s="1"/>
      <c r="AZ688" s="1"/>
      <c r="BA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  <c r="DC688" s="1"/>
      <c r="DD688" s="1"/>
      <c r="DE688" s="1"/>
      <c r="DF688" s="1"/>
      <c r="DG688" s="1"/>
      <c r="DH688" s="1"/>
      <c r="DI688" s="1"/>
      <c r="DJ688" s="1"/>
      <c r="DK688" s="1"/>
      <c r="DL688" s="1"/>
      <c r="DM688" s="1"/>
      <c r="DN688" s="1"/>
      <c r="DO688" s="1"/>
      <c r="DP688" s="1"/>
      <c r="DQ688" s="1"/>
      <c r="DR688" s="1"/>
      <c r="DS688" s="1"/>
      <c r="DT688" s="1"/>
      <c r="DU688" s="1"/>
      <c r="DV688" s="1"/>
      <c r="DW688" s="1"/>
      <c r="DX688" s="1"/>
      <c r="DY688" s="1"/>
      <c r="DZ688" s="1"/>
      <c r="EA688" s="1"/>
      <c r="EB688" s="1"/>
      <c r="EC688" s="1"/>
      <c r="ED688" s="1"/>
      <c r="EE688" s="1"/>
      <c r="EF688" s="1"/>
      <c r="EG688" s="1"/>
      <c r="EH688" s="1"/>
      <c r="EI688" s="1"/>
      <c r="EJ688" s="1"/>
      <c r="EK688" s="1"/>
      <c r="EL688" s="1"/>
      <c r="EM688" s="1"/>
      <c r="EN688" s="1"/>
      <c r="EO688" s="1"/>
      <c r="EP688" s="1"/>
      <c r="EQ688" s="1"/>
      <c r="ER688" s="1"/>
      <c r="ES688" s="1"/>
      <c r="ET688" s="1"/>
      <c r="EU688" s="1"/>
      <c r="EV688" s="1"/>
      <c r="EW688" s="1"/>
      <c r="EX688" s="1"/>
      <c r="EY688" s="1"/>
      <c r="EZ688" s="1"/>
      <c r="FA688" s="1"/>
      <c r="FB688" s="1"/>
      <c r="FC688" s="1"/>
      <c r="FD688" s="1"/>
      <c r="FE688" s="1"/>
      <c r="FF688" s="1"/>
      <c r="FG688" s="1"/>
      <c r="FH688" s="1"/>
      <c r="FI688" s="1"/>
      <c r="FJ688" s="1"/>
      <c r="FK688" s="1"/>
      <c r="FL688" s="1"/>
      <c r="FM688" s="1"/>
      <c r="FN688" s="1"/>
      <c r="FO688" s="1"/>
      <c r="FP688" s="1"/>
      <c r="FQ688" s="1"/>
      <c r="FR688" s="2"/>
      <c r="FS688" s="1"/>
    </row>
    <row r="689" spans="1:175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R689" s="1"/>
      <c r="S689" s="1"/>
      <c r="T689" s="1"/>
      <c r="U689" s="1"/>
      <c r="V689" s="1"/>
      <c r="Y689" s="1"/>
      <c r="Z689" s="2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U689" s="1"/>
      <c r="AW689" s="1"/>
      <c r="AX689" s="1"/>
      <c r="AY689" s="1"/>
      <c r="AZ689" s="1"/>
      <c r="BA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  <c r="DC689" s="1"/>
      <c r="DD689" s="1"/>
      <c r="DE689" s="1"/>
      <c r="DF689" s="1"/>
      <c r="DG689" s="1"/>
      <c r="DH689" s="1"/>
      <c r="DI689" s="1"/>
      <c r="DJ689" s="1"/>
      <c r="DK689" s="1"/>
      <c r="DL689" s="1"/>
      <c r="DM689" s="1"/>
      <c r="DN689" s="1"/>
      <c r="DO689" s="1"/>
      <c r="DP689" s="1"/>
      <c r="DQ689" s="1"/>
      <c r="DR689" s="1"/>
      <c r="DS689" s="1"/>
      <c r="DT689" s="1"/>
      <c r="DU689" s="1"/>
      <c r="DV689" s="1"/>
      <c r="DW689" s="1"/>
      <c r="DX689" s="1"/>
      <c r="DY689" s="1"/>
      <c r="DZ689" s="1"/>
      <c r="EA689" s="1"/>
      <c r="EB689" s="1"/>
      <c r="EC689" s="1"/>
      <c r="ED689" s="1"/>
      <c r="EE689" s="1"/>
      <c r="EF689" s="1"/>
      <c r="EG689" s="1"/>
      <c r="EH689" s="1"/>
      <c r="EI689" s="1"/>
      <c r="EJ689" s="1"/>
      <c r="EK689" s="1"/>
      <c r="EL689" s="1"/>
      <c r="EM689" s="1"/>
      <c r="EN689" s="1"/>
      <c r="EO689" s="1"/>
      <c r="EP689" s="1"/>
      <c r="EQ689" s="1"/>
      <c r="ER689" s="1"/>
      <c r="ES689" s="1"/>
      <c r="ET689" s="1"/>
      <c r="EU689" s="1"/>
      <c r="EV689" s="1"/>
      <c r="EW689" s="1"/>
      <c r="EX689" s="1"/>
      <c r="EY689" s="1"/>
      <c r="EZ689" s="1"/>
      <c r="FA689" s="1"/>
      <c r="FB689" s="1"/>
      <c r="FC689" s="1"/>
      <c r="FD689" s="1"/>
      <c r="FE689" s="1"/>
      <c r="FF689" s="1"/>
      <c r="FG689" s="1"/>
      <c r="FH689" s="1"/>
      <c r="FI689" s="1"/>
      <c r="FJ689" s="1"/>
      <c r="FK689" s="1"/>
      <c r="FL689" s="1"/>
      <c r="FM689" s="1"/>
      <c r="FN689" s="1"/>
      <c r="FO689" s="1"/>
      <c r="FP689" s="1"/>
      <c r="FQ689" s="1"/>
      <c r="FR689" s="2"/>
      <c r="FS689" s="1"/>
    </row>
    <row r="690" spans="1:175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R690" s="1"/>
      <c r="S690" s="1"/>
      <c r="T690" s="1"/>
      <c r="U690" s="1"/>
      <c r="V690" s="1"/>
      <c r="Y690" s="1"/>
      <c r="Z690" s="2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U690" s="1"/>
      <c r="AW690" s="1"/>
      <c r="AX690" s="1"/>
      <c r="AY690" s="1"/>
      <c r="AZ690" s="1"/>
      <c r="BA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  <c r="DC690" s="1"/>
      <c r="DD690" s="1"/>
      <c r="DE690" s="1"/>
      <c r="DF690" s="1"/>
      <c r="DG690" s="1"/>
      <c r="DH690" s="1"/>
      <c r="DI690" s="1"/>
      <c r="DJ690" s="1"/>
      <c r="DK690" s="1"/>
      <c r="DL690" s="1"/>
      <c r="DM690" s="1"/>
      <c r="DN690" s="1"/>
      <c r="DO690" s="1"/>
      <c r="DP690" s="1"/>
      <c r="DQ690" s="1"/>
      <c r="DR690" s="1"/>
      <c r="DS690" s="1"/>
      <c r="DT690" s="1"/>
      <c r="DU690" s="1"/>
      <c r="DV690" s="1"/>
      <c r="DW690" s="1"/>
      <c r="DX690" s="1"/>
      <c r="DY690" s="1"/>
      <c r="DZ690" s="1"/>
      <c r="EA690" s="1"/>
      <c r="EB690" s="1"/>
      <c r="EC690" s="1"/>
      <c r="ED690" s="1"/>
      <c r="EE690" s="1"/>
      <c r="EF690" s="1"/>
      <c r="EG690" s="1"/>
      <c r="EH690" s="1"/>
      <c r="EI690" s="1"/>
      <c r="EJ690" s="1"/>
      <c r="EK690" s="1"/>
      <c r="EL690" s="1"/>
      <c r="EM690" s="1"/>
      <c r="EN690" s="1"/>
      <c r="EO690" s="1"/>
      <c r="EP690" s="1"/>
      <c r="EQ690" s="1"/>
      <c r="ER690" s="1"/>
      <c r="ES690" s="1"/>
      <c r="ET690" s="1"/>
      <c r="EU690" s="1"/>
      <c r="EV690" s="1"/>
      <c r="EW690" s="1"/>
      <c r="EX690" s="1"/>
      <c r="EY690" s="1"/>
      <c r="EZ690" s="1"/>
      <c r="FA690" s="1"/>
      <c r="FB690" s="1"/>
      <c r="FC690" s="1"/>
      <c r="FD690" s="1"/>
      <c r="FE690" s="1"/>
      <c r="FF690" s="1"/>
      <c r="FG690" s="1"/>
      <c r="FH690" s="1"/>
      <c r="FI690" s="1"/>
      <c r="FJ690" s="1"/>
      <c r="FK690" s="1"/>
      <c r="FL690" s="1"/>
      <c r="FM690" s="1"/>
      <c r="FN690" s="1"/>
      <c r="FO690" s="1"/>
      <c r="FP690" s="1"/>
      <c r="FQ690" s="1"/>
      <c r="FR690" s="2"/>
      <c r="FS690" s="1"/>
    </row>
    <row r="691" spans="1:175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R691" s="1"/>
      <c r="S691" s="1"/>
      <c r="T691" s="1"/>
      <c r="U691" s="1"/>
      <c r="V691" s="1"/>
      <c r="Y691" s="1"/>
      <c r="Z691" s="2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U691" s="1"/>
      <c r="AW691" s="1"/>
      <c r="AX691" s="1"/>
      <c r="AY691" s="1"/>
      <c r="AZ691" s="1"/>
      <c r="BA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  <c r="DC691" s="1"/>
      <c r="DD691" s="1"/>
      <c r="DE691" s="1"/>
      <c r="DF691" s="1"/>
      <c r="DG691" s="1"/>
      <c r="DH691" s="1"/>
      <c r="DI691" s="1"/>
      <c r="DJ691" s="1"/>
      <c r="DK691" s="1"/>
      <c r="DL691" s="1"/>
      <c r="DM691" s="1"/>
      <c r="DN691" s="1"/>
      <c r="DO691" s="1"/>
      <c r="DP691" s="1"/>
      <c r="DQ691" s="1"/>
      <c r="DR691" s="1"/>
      <c r="DS691" s="1"/>
      <c r="DT691" s="1"/>
      <c r="DU691" s="1"/>
      <c r="DV691" s="1"/>
      <c r="DW691" s="1"/>
      <c r="DX691" s="1"/>
      <c r="DY691" s="1"/>
      <c r="DZ691" s="1"/>
      <c r="EA691" s="1"/>
      <c r="EB691" s="1"/>
      <c r="EC691" s="1"/>
      <c r="ED691" s="1"/>
      <c r="EE691" s="1"/>
      <c r="EF691" s="1"/>
      <c r="EG691" s="1"/>
      <c r="EH691" s="1"/>
      <c r="EI691" s="1"/>
      <c r="EJ691" s="1"/>
      <c r="EK691" s="1"/>
      <c r="EL691" s="1"/>
      <c r="EM691" s="1"/>
      <c r="EN691" s="1"/>
      <c r="EO691" s="1"/>
      <c r="EP691" s="1"/>
      <c r="EQ691" s="1"/>
      <c r="ER691" s="1"/>
      <c r="ES691" s="1"/>
      <c r="ET691" s="1"/>
      <c r="EU691" s="1"/>
      <c r="EV691" s="1"/>
      <c r="EW691" s="1"/>
      <c r="EX691" s="1"/>
      <c r="EY691" s="1"/>
      <c r="EZ691" s="1"/>
      <c r="FA691" s="1"/>
      <c r="FB691" s="1"/>
      <c r="FC691" s="1"/>
      <c r="FD691" s="1"/>
      <c r="FE691" s="1"/>
      <c r="FF691" s="1"/>
      <c r="FG691" s="1"/>
      <c r="FH691" s="1"/>
      <c r="FI691" s="1"/>
      <c r="FJ691" s="1"/>
      <c r="FK691" s="1"/>
      <c r="FL691" s="1"/>
      <c r="FM691" s="1"/>
      <c r="FN691" s="1"/>
      <c r="FO691" s="1"/>
      <c r="FP691" s="1"/>
      <c r="FQ691" s="1"/>
      <c r="FR691" s="2"/>
      <c r="FS691" s="1"/>
    </row>
    <row r="692" spans="1:175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R692" s="1"/>
      <c r="S692" s="1"/>
      <c r="T692" s="1"/>
      <c r="U692" s="1"/>
      <c r="V692" s="1"/>
      <c r="Y692" s="1"/>
      <c r="Z692" s="2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U692" s="1"/>
      <c r="AW692" s="1"/>
      <c r="AX692" s="1"/>
      <c r="AY692" s="1"/>
      <c r="AZ692" s="1"/>
      <c r="BA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  <c r="DC692" s="1"/>
      <c r="DD692" s="1"/>
      <c r="DE692" s="1"/>
      <c r="DF692" s="1"/>
      <c r="DG692" s="1"/>
      <c r="DH692" s="1"/>
      <c r="DI692" s="1"/>
      <c r="DJ692" s="1"/>
      <c r="DK692" s="1"/>
      <c r="DL692" s="1"/>
      <c r="DM692" s="1"/>
      <c r="DN692" s="1"/>
      <c r="DO692" s="1"/>
      <c r="DP692" s="1"/>
      <c r="DQ692" s="1"/>
      <c r="DR692" s="1"/>
      <c r="DS692" s="1"/>
      <c r="DT692" s="1"/>
      <c r="DU692" s="1"/>
      <c r="DV692" s="1"/>
      <c r="DW692" s="1"/>
      <c r="DX692" s="1"/>
      <c r="DY692" s="1"/>
      <c r="DZ692" s="1"/>
      <c r="EA692" s="1"/>
      <c r="EB692" s="1"/>
      <c r="EC692" s="1"/>
      <c r="ED692" s="1"/>
      <c r="EE692" s="1"/>
      <c r="EF692" s="1"/>
      <c r="EG692" s="1"/>
      <c r="EH692" s="1"/>
      <c r="EI692" s="1"/>
      <c r="EJ692" s="1"/>
      <c r="EK692" s="1"/>
      <c r="EL692" s="1"/>
      <c r="EM692" s="1"/>
      <c r="EN692" s="1"/>
      <c r="EO692" s="1"/>
      <c r="EP692" s="1"/>
      <c r="EQ692" s="1"/>
      <c r="ER692" s="1"/>
      <c r="ES692" s="1"/>
      <c r="ET692" s="1"/>
      <c r="EU692" s="1"/>
      <c r="EV692" s="1"/>
      <c r="EW692" s="1"/>
      <c r="EX692" s="1"/>
      <c r="EY692" s="1"/>
      <c r="EZ692" s="1"/>
      <c r="FA692" s="1"/>
      <c r="FB692" s="1"/>
      <c r="FC692" s="1"/>
      <c r="FD692" s="1"/>
      <c r="FE692" s="1"/>
      <c r="FF692" s="1"/>
      <c r="FG692" s="1"/>
      <c r="FH692" s="1"/>
      <c r="FI692" s="1"/>
      <c r="FJ692" s="1"/>
      <c r="FK692" s="1"/>
      <c r="FL692" s="1"/>
      <c r="FM692" s="1"/>
      <c r="FN692" s="1"/>
      <c r="FO692" s="1"/>
      <c r="FP692" s="1"/>
      <c r="FQ692" s="1"/>
      <c r="FR692" s="2"/>
      <c r="FS692" s="1"/>
    </row>
    <row r="693" spans="1:175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R693" s="1"/>
      <c r="S693" s="1"/>
      <c r="T693" s="1"/>
      <c r="U693" s="1"/>
      <c r="V693" s="1"/>
      <c r="Y693" s="1"/>
      <c r="Z693" s="2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U693" s="1"/>
      <c r="AW693" s="1"/>
      <c r="AX693" s="1"/>
      <c r="AY693" s="1"/>
      <c r="AZ693" s="1"/>
      <c r="BA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  <c r="DC693" s="1"/>
      <c r="DD693" s="1"/>
      <c r="DE693" s="1"/>
      <c r="DF693" s="1"/>
      <c r="DG693" s="1"/>
      <c r="DH693" s="1"/>
      <c r="DI693" s="1"/>
      <c r="DJ693" s="1"/>
      <c r="DK693" s="1"/>
      <c r="DL693" s="1"/>
      <c r="DM693" s="1"/>
      <c r="DN693" s="1"/>
      <c r="DO693" s="1"/>
      <c r="DP693" s="1"/>
      <c r="DQ693" s="1"/>
      <c r="DR693" s="1"/>
      <c r="DS693" s="1"/>
      <c r="DT693" s="1"/>
      <c r="DU693" s="1"/>
      <c r="DV693" s="1"/>
      <c r="DW693" s="1"/>
      <c r="DX693" s="1"/>
      <c r="DY693" s="1"/>
      <c r="DZ693" s="1"/>
      <c r="EA693" s="1"/>
      <c r="EB693" s="1"/>
      <c r="EC693" s="1"/>
      <c r="ED693" s="1"/>
      <c r="EE693" s="1"/>
      <c r="EF693" s="1"/>
      <c r="EG693" s="1"/>
      <c r="EH693" s="1"/>
      <c r="EI693" s="1"/>
      <c r="EJ693" s="1"/>
      <c r="EK693" s="1"/>
      <c r="EL693" s="1"/>
      <c r="EM693" s="1"/>
      <c r="EN693" s="1"/>
      <c r="EO693" s="1"/>
      <c r="EP693" s="1"/>
      <c r="EQ693" s="1"/>
      <c r="ER693" s="1"/>
      <c r="ES693" s="1"/>
      <c r="ET693" s="1"/>
      <c r="EU693" s="1"/>
      <c r="EV693" s="1"/>
      <c r="EW693" s="1"/>
      <c r="EX693" s="1"/>
      <c r="EY693" s="1"/>
      <c r="EZ693" s="1"/>
      <c r="FA693" s="1"/>
      <c r="FB693" s="1"/>
      <c r="FC693" s="1"/>
      <c r="FD693" s="1"/>
      <c r="FE693" s="1"/>
      <c r="FF693" s="1"/>
      <c r="FG693" s="1"/>
      <c r="FH693" s="1"/>
      <c r="FI693" s="1"/>
      <c r="FJ693" s="1"/>
      <c r="FK693" s="1"/>
      <c r="FL693" s="1"/>
      <c r="FM693" s="1"/>
      <c r="FN693" s="1"/>
      <c r="FO693" s="1"/>
      <c r="FP693" s="1"/>
      <c r="FQ693" s="1"/>
      <c r="FR693" s="2"/>
      <c r="FS693" s="1"/>
    </row>
    <row r="694" spans="1:175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R694" s="1"/>
      <c r="S694" s="1"/>
      <c r="T694" s="1"/>
      <c r="U694" s="1"/>
      <c r="V694" s="1"/>
      <c r="Y694" s="1"/>
      <c r="Z694" s="2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U694" s="1"/>
      <c r="AW694" s="1"/>
      <c r="AX694" s="1"/>
      <c r="AY694" s="1"/>
      <c r="AZ694" s="1"/>
      <c r="BA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  <c r="DC694" s="1"/>
      <c r="DD694" s="1"/>
      <c r="DE694" s="1"/>
      <c r="DF694" s="1"/>
      <c r="DG694" s="1"/>
      <c r="DH694" s="1"/>
      <c r="DI694" s="1"/>
      <c r="DJ694" s="1"/>
      <c r="DK694" s="1"/>
      <c r="DL694" s="1"/>
      <c r="DM694" s="1"/>
      <c r="DN694" s="1"/>
      <c r="DO694" s="1"/>
      <c r="DP694" s="1"/>
      <c r="DQ694" s="1"/>
      <c r="DR694" s="1"/>
      <c r="DS694" s="1"/>
      <c r="DT694" s="1"/>
      <c r="DU694" s="1"/>
      <c r="DV694" s="1"/>
      <c r="DW694" s="1"/>
      <c r="DX694" s="1"/>
      <c r="DY694" s="1"/>
      <c r="DZ694" s="1"/>
      <c r="EA694" s="1"/>
      <c r="EB694" s="1"/>
      <c r="EC694" s="1"/>
      <c r="ED694" s="1"/>
      <c r="EE694" s="1"/>
      <c r="EF694" s="1"/>
      <c r="EG694" s="1"/>
      <c r="EH694" s="1"/>
      <c r="EI694" s="1"/>
      <c r="EJ694" s="1"/>
      <c r="EK694" s="1"/>
      <c r="EL694" s="1"/>
      <c r="EM694" s="1"/>
      <c r="EN694" s="1"/>
      <c r="EO694" s="1"/>
      <c r="EP694" s="1"/>
      <c r="EQ694" s="1"/>
      <c r="ER694" s="1"/>
      <c r="ES694" s="1"/>
      <c r="ET694" s="1"/>
      <c r="EU694" s="1"/>
      <c r="EV694" s="1"/>
      <c r="EW694" s="1"/>
      <c r="EX694" s="1"/>
      <c r="EY694" s="1"/>
      <c r="EZ694" s="1"/>
      <c r="FA694" s="1"/>
      <c r="FB694" s="1"/>
      <c r="FC694" s="1"/>
      <c r="FD694" s="1"/>
      <c r="FE694" s="1"/>
      <c r="FF694" s="1"/>
      <c r="FG694" s="1"/>
      <c r="FH694" s="1"/>
      <c r="FI694" s="1"/>
      <c r="FJ694" s="1"/>
      <c r="FK694" s="1"/>
      <c r="FL694" s="1"/>
      <c r="FM694" s="1"/>
      <c r="FN694" s="1"/>
      <c r="FO694" s="1"/>
      <c r="FP694" s="1"/>
      <c r="FQ694" s="1"/>
      <c r="FR694" s="2"/>
      <c r="FS694" s="1"/>
    </row>
    <row r="695" spans="1:175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R695" s="1"/>
      <c r="S695" s="1"/>
      <c r="T695" s="1"/>
      <c r="U695" s="1"/>
      <c r="V695" s="1"/>
      <c r="Y695" s="1"/>
      <c r="Z695" s="2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U695" s="1"/>
      <c r="AW695" s="1"/>
      <c r="AX695" s="1"/>
      <c r="AY695" s="1"/>
      <c r="AZ695" s="1"/>
      <c r="BA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  <c r="DC695" s="1"/>
      <c r="DD695" s="1"/>
      <c r="DE695" s="1"/>
      <c r="DF695" s="1"/>
      <c r="DG695" s="1"/>
      <c r="DH695" s="1"/>
      <c r="DI695" s="1"/>
      <c r="DJ695" s="1"/>
      <c r="DK695" s="1"/>
      <c r="DL695" s="1"/>
      <c r="DM695" s="1"/>
      <c r="DN695" s="1"/>
      <c r="DO695" s="1"/>
      <c r="DP695" s="1"/>
      <c r="DQ695" s="1"/>
      <c r="DR695" s="1"/>
      <c r="DS695" s="1"/>
      <c r="DT695" s="1"/>
      <c r="DU695" s="1"/>
      <c r="DV695" s="1"/>
      <c r="DW695" s="1"/>
      <c r="DX695" s="1"/>
      <c r="DY695" s="1"/>
      <c r="DZ695" s="1"/>
      <c r="EA695" s="1"/>
      <c r="EB695" s="1"/>
      <c r="EC695" s="1"/>
      <c r="ED695" s="1"/>
      <c r="EE695" s="1"/>
      <c r="EF695" s="1"/>
      <c r="EG695" s="1"/>
      <c r="EH695" s="1"/>
      <c r="EI695" s="1"/>
      <c r="EJ695" s="1"/>
      <c r="EK695" s="1"/>
      <c r="EL695" s="1"/>
      <c r="EM695" s="1"/>
      <c r="EN695" s="1"/>
      <c r="EO695" s="1"/>
      <c r="EP695" s="1"/>
      <c r="EQ695" s="1"/>
      <c r="ER695" s="1"/>
      <c r="ES695" s="1"/>
      <c r="ET695" s="1"/>
      <c r="EU695" s="1"/>
      <c r="EV695" s="1"/>
      <c r="EW695" s="1"/>
      <c r="EX695" s="1"/>
      <c r="EY695" s="1"/>
      <c r="EZ695" s="1"/>
      <c r="FA695" s="1"/>
      <c r="FB695" s="1"/>
      <c r="FC695" s="1"/>
      <c r="FD695" s="1"/>
      <c r="FE695" s="1"/>
      <c r="FF695" s="1"/>
      <c r="FG695" s="1"/>
      <c r="FH695" s="1"/>
      <c r="FI695" s="1"/>
      <c r="FJ695" s="1"/>
      <c r="FK695" s="1"/>
      <c r="FL695" s="1"/>
      <c r="FM695" s="1"/>
      <c r="FN695" s="1"/>
      <c r="FO695" s="1"/>
      <c r="FP695" s="1"/>
      <c r="FQ695" s="1"/>
      <c r="FR695" s="2"/>
      <c r="FS695" s="1"/>
    </row>
    <row r="696" spans="1:175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R696" s="1"/>
      <c r="S696" s="1"/>
      <c r="T696" s="1"/>
      <c r="U696" s="1"/>
      <c r="V696" s="1"/>
      <c r="Y696" s="1"/>
      <c r="Z696" s="2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U696" s="1"/>
      <c r="AW696" s="1"/>
      <c r="AX696" s="1"/>
      <c r="AY696" s="1"/>
      <c r="AZ696" s="1"/>
      <c r="BA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  <c r="DC696" s="1"/>
      <c r="DD696" s="1"/>
      <c r="DE696" s="1"/>
      <c r="DF696" s="1"/>
      <c r="DG696" s="1"/>
      <c r="DH696" s="1"/>
      <c r="DI696" s="1"/>
      <c r="DJ696" s="1"/>
      <c r="DK696" s="1"/>
      <c r="DL696" s="1"/>
      <c r="DM696" s="1"/>
      <c r="DN696" s="1"/>
      <c r="DO696" s="1"/>
      <c r="DP696" s="1"/>
      <c r="DQ696" s="1"/>
      <c r="DR696" s="1"/>
      <c r="DS696" s="1"/>
      <c r="DT696" s="1"/>
      <c r="DU696" s="1"/>
      <c r="DV696" s="1"/>
      <c r="DW696" s="1"/>
      <c r="DX696" s="1"/>
      <c r="DY696" s="1"/>
      <c r="DZ696" s="1"/>
      <c r="EA696" s="1"/>
      <c r="EB696" s="1"/>
      <c r="EC696" s="1"/>
      <c r="ED696" s="1"/>
      <c r="EE696" s="1"/>
      <c r="EF696" s="1"/>
      <c r="EG696" s="1"/>
      <c r="EH696" s="1"/>
      <c r="EI696" s="1"/>
      <c r="EJ696" s="1"/>
      <c r="EK696" s="1"/>
      <c r="EL696" s="1"/>
      <c r="EM696" s="1"/>
      <c r="EN696" s="1"/>
      <c r="EO696" s="1"/>
      <c r="EP696" s="1"/>
      <c r="EQ696" s="1"/>
      <c r="ER696" s="1"/>
      <c r="ES696" s="1"/>
      <c r="ET696" s="1"/>
      <c r="EU696" s="1"/>
      <c r="EV696" s="1"/>
      <c r="EW696" s="1"/>
      <c r="EX696" s="1"/>
      <c r="EY696" s="1"/>
      <c r="EZ696" s="1"/>
      <c r="FA696" s="1"/>
      <c r="FB696" s="1"/>
      <c r="FC696" s="1"/>
      <c r="FD696" s="1"/>
      <c r="FE696" s="1"/>
      <c r="FF696" s="1"/>
      <c r="FG696" s="1"/>
      <c r="FH696" s="1"/>
      <c r="FI696" s="1"/>
      <c r="FJ696" s="1"/>
      <c r="FK696" s="1"/>
      <c r="FL696" s="1"/>
      <c r="FM696" s="1"/>
      <c r="FN696" s="1"/>
      <c r="FO696" s="1"/>
      <c r="FP696" s="1"/>
      <c r="FQ696" s="1"/>
      <c r="FR696" s="2"/>
      <c r="FS696" s="1"/>
    </row>
    <row r="697" spans="1:175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R697" s="1"/>
      <c r="S697" s="1"/>
      <c r="T697" s="1"/>
      <c r="U697" s="1"/>
      <c r="V697" s="1"/>
      <c r="Y697" s="1"/>
      <c r="Z697" s="2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U697" s="1"/>
      <c r="AW697" s="1"/>
      <c r="AX697" s="1"/>
      <c r="AY697" s="1"/>
      <c r="AZ697" s="1"/>
      <c r="BA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  <c r="DC697" s="1"/>
      <c r="DD697" s="1"/>
      <c r="DE697" s="1"/>
      <c r="DF697" s="1"/>
      <c r="DG697" s="1"/>
      <c r="DH697" s="1"/>
      <c r="DI697" s="1"/>
      <c r="DJ697" s="1"/>
      <c r="DK697" s="1"/>
      <c r="DL697" s="1"/>
      <c r="DM697" s="1"/>
      <c r="DN697" s="1"/>
      <c r="DO697" s="1"/>
      <c r="DP697" s="1"/>
      <c r="DQ697" s="1"/>
      <c r="DR697" s="1"/>
      <c r="DS697" s="1"/>
      <c r="DT697" s="1"/>
      <c r="DU697" s="1"/>
      <c r="DV697" s="1"/>
      <c r="DW697" s="1"/>
      <c r="DX697" s="1"/>
      <c r="DY697" s="1"/>
      <c r="DZ697" s="1"/>
      <c r="EA697" s="1"/>
      <c r="EB697" s="1"/>
      <c r="EC697" s="1"/>
      <c r="ED697" s="1"/>
      <c r="EE697" s="1"/>
      <c r="EF697" s="1"/>
      <c r="EG697" s="1"/>
      <c r="EH697" s="1"/>
      <c r="EI697" s="1"/>
      <c r="EJ697" s="1"/>
      <c r="EK697" s="1"/>
      <c r="EL697" s="1"/>
      <c r="EM697" s="1"/>
      <c r="EN697" s="1"/>
      <c r="EO697" s="1"/>
      <c r="EP697" s="1"/>
      <c r="EQ697" s="1"/>
      <c r="ER697" s="1"/>
      <c r="ES697" s="1"/>
      <c r="ET697" s="1"/>
      <c r="EU697" s="1"/>
      <c r="EV697" s="1"/>
      <c r="EW697" s="1"/>
      <c r="EX697" s="1"/>
      <c r="EY697" s="1"/>
      <c r="EZ697" s="1"/>
      <c r="FA697" s="1"/>
      <c r="FB697" s="1"/>
      <c r="FC697" s="1"/>
      <c r="FD697" s="1"/>
      <c r="FE697" s="1"/>
      <c r="FF697" s="1"/>
      <c r="FG697" s="1"/>
      <c r="FH697" s="1"/>
      <c r="FI697" s="1"/>
      <c r="FJ697" s="1"/>
      <c r="FK697" s="1"/>
      <c r="FL697" s="1"/>
      <c r="FM697" s="1"/>
      <c r="FN697" s="1"/>
      <c r="FO697" s="1"/>
      <c r="FP697" s="1"/>
      <c r="FQ697" s="1"/>
      <c r="FR697" s="2"/>
      <c r="FS697" s="1"/>
    </row>
    <row r="698" spans="1:175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R698" s="1"/>
      <c r="S698" s="1"/>
      <c r="T698" s="1"/>
      <c r="U698" s="1"/>
      <c r="V698" s="1"/>
      <c r="Y698" s="1"/>
      <c r="Z698" s="2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U698" s="1"/>
      <c r="AW698" s="1"/>
      <c r="AX698" s="1"/>
      <c r="AY698" s="1"/>
      <c r="AZ698" s="1"/>
      <c r="BA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  <c r="DC698" s="1"/>
      <c r="DD698" s="1"/>
      <c r="DE698" s="1"/>
      <c r="DF698" s="1"/>
      <c r="DG698" s="1"/>
      <c r="DH698" s="1"/>
      <c r="DI698" s="1"/>
      <c r="DJ698" s="1"/>
      <c r="DK698" s="1"/>
      <c r="DL698" s="1"/>
      <c r="DM698" s="1"/>
      <c r="DN698" s="1"/>
      <c r="DO698" s="1"/>
      <c r="DP698" s="1"/>
      <c r="DQ698" s="1"/>
      <c r="DR698" s="1"/>
      <c r="DS698" s="1"/>
      <c r="DT698" s="1"/>
      <c r="DU698" s="1"/>
      <c r="DV698" s="1"/>
      <c r="DW698" s="1"/>
      <c r="DX698" s="1"/>
      <c r="DY698" s="1"/>
      <c r="DZ698" s="1"/>
      <c r="EA698" s="1"/>
      <c r="EB698" s="1"/>
      <c r="EC698" s="1"/>
      <c r="ED698" s="1"/>
      <c r="EE698" s="1"/>
      <c r="EF698" s="1"/>
      <c r="EG698" s="1"/>
      <c r="EH698" s="1"/>
      <c r="EI698" s="1"/>
      <c r="EJ698" s="1"/>
      <c r="EK698" s="1"/>
      <c r="EL698" s="1"/>
      <c r="EM698" s="1"/>
      <c r="EN698" s="1"/>
      <c r="EO698" s="1"/>
      <c r="EP698" s="1"/>
      <c r="EQ698" s="1"/>
      <c r="ER698" s="1"/>
      <c r="ES698" s="1"/>
      <c r="ET698" s="1"/>
      <c r="EU698" s="1"/>
      <c r="EV698" s="1"/>
      <c r="EW698" s="1"/>
      <c r="EX698" s="1"/>
      <c r="EY698" s="1"/>
      <c r="EZ698" s="1"/>
      <c r="FA698" s="1"/>
      <c r="FB698" s="1"/>
      <c r="FC698" s="1"/>
      <c r="FD698" s="1"/>
      <c r="FE698" s="1"/>
      <c r="FF698" s="1"/>
      <c r="FG698" s="1"/>
      <c r="FH698" s="1"/>
      <c r="FI698" s="1"/>
      <c r="FJ698" s="1"/>
      <c r="FK698" s="1"/>
      <c r="FL698" s="1"/>
      <c r="FM698" s="1"/>
      <c r="FN698" s="1"/>
      <c r="FO698" s="1"/>
      <c r="FP698" s="1"/>
      <c r="FQ698" s="1"/>
      <c r="FR698" s="2"/>
      <c r="FS698" s="1"/>
    </row>
    <row r="699" spans="1:175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R699" s="1"/>
      <c r="S699" s="1"/>
      <c r="T699" s="1"/>
      <c r="U699" s="1"/>
      <c r="V699" s="1"/>
      <c r="Y699" s="1"/>
      <c r="Z699" s="2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U699" s="1"/>
      <c r="AW699" s="1"/>
      <c r="AX699" s="1"/>
      <c r="AY699" s="1"/>
      <c r="AZ699" s="1"/>
      <c r="BA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  <c r="DC699" s="1"/>
      <c r="DD699" s="1"/>
      <c r="DE699" s="1"/>
      <c r="DF699" s="1"/>
      <c r="DG699" s="1"/>
      <c r="DH699" s="1"/>
      <c r="DI699" s="1"/>
      <c r="DJ699" s="1"/>
      <c r="DK699" s="1"/>
      <c r="DL699" s="1"/>
      <c r="DM699" s="1"/>
      <c r="DN699" s="1"/>
      <c r="DO699" s="1"/>
      <c r="DP699" s="1"/>
      <c r="DQ699" s="1"/>
      <c r="DR699" s="1"/>
      <c r="DS699" s="1"/>
      <c r="DT699" s="1"/>
      <c r="DU699" s="1"/>
      <c r="DV699" s="1"/>
      <c r="DW699" s="1"/>
      <c r="DX699" s="1"/>
      <c r="DY699" s="1"/>
      <c r="DZ699" s="1"/>
      <c r="EA699" s="1"/>
      <c r="EB699" s="1"/>
      <c r="EC699" s="1"/>
      <c r="ED699" s="1"/>
      <c r="EE699" s="1"/>
      <c r="EF699" s="1"/>
      <c r="EG699" s="1"/>
      <c r="EH699" s="1"/>
      <c r="EI699" s="1"/>
      <c r="EJ699" s="1"/>
      <c r="EK699" s="1"/>
      <c r="EL699" s="1"/>
      <c r="EM699" s="1"/>
      <c r="EN699" s="1"/>
      <c r="EO699" s="1"/>
      <c r="EP699" s="1"/>
      <c r="EQ699" s="1"/>
      <c r="ER699" s="1"/>
      <c r="ES699" s="1"/>
      <c r="ET699" s="1"/>
      <c r="EU699" s="1"/>
      <c r="EV699" s="1"/>
      <c r="EW699" s="1"/>
      <c r="EX699" s="1"/>
      <c r="EY699" s="1"/>
      <c r="EZ699" s="1"/>
      <c r="FA699" s="1"/>
      <c r="FB699" s="1"/>
      <c r="FC699" s="1"/>
      <c r="FD699" s="1"/>
      <c r="FE699" s="1"/>
      <c r="FF699" s="1"/>
      <c r="FG699" s="1"/>
      <c r="FH699" s="1"/>
      <c r="FI699" s="1"/>
      <c r="FJ699" s="1"/>
      <c r="FK699" s="1"/>
      <c r="FL699" s="1"/>
      <c r="FM699" s="1"/>
      <c r="FN699" s="1"/>
      <c r="FO699" s="1"/>
      <c r="FP699" s="1"/>
      <c r="FQ699" s="1"/>
      <c r="FR699" s="2"/>
      <c r="FS699" s="1"/>
    </row>
    <row r="700" spans="1:175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R700" s="1"/>
      <c r="S700" s="1"/>
      <c r="T700" s="1"/>
      <c r="U700" s="1"/>
      <c r="V700" s="1"/>
      <c r="Y700" s="1"/>
      <c r="Z700" s="2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U700" s="1"/>
      <c r="AW700" s="1"/>
      <c r="AX700" s="1"/>
      <c r="AY700" s="1"/>
      <c r="AZ700" s="1"/>
      <c r="BA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  <c r="DC700" s="1"/>
      <c r="DD700" s="1"/>
      <c r="DE700" s="1"/>
      <c r="DF700" s="1"/>
      <c r="DG700" s="1"/>
      <c r="DH700" s="1"/>
      <c r="DI700" s="1"/>
      <c r="DJ700" s="1"/>
      <c r="DK700" s="1"/>
      <c r="DL700" s="1"/>
      <c r="DM700" s="1"/>
      <c r="DN700" s="1"/>
      <c r="DO700" s="1"/>
      <c r="DP700" s="1"/>
      <c r="DQ700" s="1"/>
      <c r="DR700" s="1"/>
      <c r="DS700" s="1"/>
      <c r="DT700" s="1"/>
      <c r="DU700" s="1"/>
      <c r="DV700" s="1"/>
      <c r="DW700" s="1"/>
      <c r="DX700" s="1"/>
      <c r="DY700" s="1"/>
      <c r="DZ700" s="1"/>
      <c r="EA700" s="1"/>
      <c r="EB700" s="1"/>
      <c r="EC700" s="1"/>
      <c r="ED700" s="1"/>
      <c r="EE700" s="1"/>
      <c r="EF700" s="1"/>
      <c r="EG700" s="1"/>
      <c r="EH700" s="1"/>
      <c r="EI700" s="1"/>
      <c r="EJ700" s="1"/>
      <c r="EK700" s="1"/>
      <c r="EL700" s="1"/>
      <c r="EM700" s="1"/>
      <c r="EN700" s="1"/>
      <c r="EO700" s="1"/>
      <c r="EP700" s="1"/>
      <c r="EQ700" s="1"/>
      <c r="ER700" s="1"/>
      <c r="ES700" s="1"/>
      <c r="ET700" s="1"/>
      <c r="EU700" s="1"/>
      <c r="EV700" s="1"/>
      <c r="EW700" s="1"/>
      <c r="EX700" s="1"/>
      <c r="EY700" s="1"/>
      <c r="EZ700" s="1"/>
      <c r="FA700" s="1"/>
      <c r="FB700" s="1"/>
      <c r="FC700" s="1"/>
      <c r="FD700" s="1"/>
      <c r="FE700" s="1"/>
      <c r="FF700" s="1"/>
      <c r="FG700" s="1"/>
      <c r="FH700" s="1"/>
      <c r="FI700" s="1"/>
      <c r="FJ700" s="1"/>
      <c r="FK700" s="1"/>
      <c r="FL700" s="1"/>
      <c r="FM700" s="1"/>
      <c r="FN700" s="1"/>
      <c r="FO700" s="1"/>
      <c r="FP700" s="1"/>
      <c r="FQ700" s="1"/>
      <c r="FR700" s="2"/>
      <c r="FS700" s="1"/>
    </row>
    <row r="701" spans="1:175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R701" s="1"/>
      <c r="S701" s="1"/>
      <c r="T701" s="1"/>
      <c r="U701" s="1"/>
      <c r="V701" s="1"/>
      <c r="Y701" s="1"/>
      <c r="Z701" s="2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U701" s="1"/>
      <c r="AW701" s="1"/>
      <c r="AX701" s="1"/>
      <c r="AY701" s="1"/>
      <c r="AZ701" s="1"/>
      <c r="BA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  <c r="DC701" s="1"/>
      <c r="DD701" s="1"/>
      <c r="DE701" s="1"/>
      <c r="DF701" s="1"/>
      <c r="DG701" s="1"/>
      <c r="DH701" s="1"/>
      <c r="DI701" s="1"/>
      <c r="DJ701" s="1"/>
      <c r="DK701" s="1"/>
      <c r="DL701" s="1"/>
      <c r="DM701" s="1"/>
      <c r="DN701" s="1"/>
      <c r="DO701" s="1"/>
      <c r="DP701" s="1"/>
      <c r="DQ701" s="1"/>
      <c r="DR701" s="1"/>
      <c r="DS701" s="1"/>
      <c r="DT701" s="1"/>
      <c r="DU701" s="1"/>
      <c r="DV701" s="1"/>
      <c r="DW701" s="1"/>
      <c r="DX701" s="1"/>
      <c r="DY701" s="1"/>
      <c r="DZ701" s="1"/>
      <c r="EA701" s="1"/>
      <c r="EB701" s="1"/>
      <c r="EC701" s="1"/>
      <c r="ED701" s="1"/>
      <c r="EE701" s="1"/>
      <c r="EF701" s="1"/>
      <c r="EG701" s="1"/>
      <c r="EH701" s="1"/>
      <c r="EI701" s="1"/>
      <c r="EJ701" s="1"/>
      <c r="EK701" s="1"/>
      <c r="EL701" s="1"/>
      <c r="EM701" s="1"/>
      <c r="EN701" s="1"/>
      <c r="EO701" s="1"/>
      <c r="EP701" s="1"/>
      <c r="EQ701" s="1"/>
      <c r="ER701" s="1"/>
      <c r="ES701" s="1"/>
      <c r="ET701" s="1"/>
      <c r="EU701" s="1"/>
      <c r="EV701" s="1"/>
      <c r="EW701" s="1"/>
      <c r="EX701" s="1"/>
      <c r="EY701" s="1"/>
      <c r="EZ701" s="1"/>
      <c r="FA701" s="1"/>
      <c r="FB701" s="1"/>
      <c r="FC701" s="1"/>
      <c r="FD701" s="1"/>
      <c r="FE701" s="1"/>
      <c r="FF701" s="1"/>
      <c r="FG701" s="1"/>
      <c r="FH701" s="1"/>
      <c r="FI701" s="1"/>
      <c r="FJ701" s="1"/>
      <c r="FK701" s="1"/>
      <c r="FL701" s="1"/>
      <c r="FM701" s="1"/>
      <c r="FN701" s="1"/>
      <c r="FO701" s="1"/>
      <c r="FP701" s="1"/>
      <c r="FQ701" s="1"/>
      <c r="FR701" s="2"/>
      <c r="FS701" s="1"/>
    </row>
    <row r="702" spans="1:175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R702" s="1"/>
      <c r="S702" s="1"/>
      <c r="T702" s="1"/>
      <c r="U702" s="1"/>
      <c r="V702" s="1"/>
      <c r="Y702" s="1"/>
      <c r="Z702" s="2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U702" s="1"/>
      <c r="AW702" s="1"/>
      <c r="AX702" s="1"/>
      <c r="AY702" s="1"/>
      <c r="AZ702" s="1"/>
      <c r="BA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  <c r="DC702" s="1"/>
      <c r="DD702" s="1"/>
      <c r="DE702" s="1"/>
      <c r="DF702" s="1"/>
      <c r="DG702" s="1"/>
      <c r="DH702" s="1"/>
      <c r="DI702" s="1"/>
      <c r="DJ702" s="1"/>
      <c r="DK702" s="1"/>
      <c r="DL702" s="1"/>
      <c r="DM702" s="1"/>
      <c r="DN702" s="1"/>
      <c r="DO702" s="1"/>
      <c r="DP702" s="1"/>
      <c r="DQ702" s="1"/>
      <c r="DR702" s="1"/>
      <c r="DS702" s="1"/>
      <c r="DT702" s="1"/>
      <c r="DU702" s="1"/>
      <c r="DV702" s="1"/>
      <c r="DW702" s="1"/>
      <c r="DX702" s="1"/>
      <c r="DY702" s="1"/>
      <c r="DZ702" s="1"/>
      <c r="EA702" s="1"/>
      <c r="EB702" s="1"/>
      <c r="EC702" s="1"/>
      <c r="ED702" s="1"/>
      <c r="EE702" s="1"/>
      <c r="EF702" s="1"/>
      <c r="EG702" s="1"/>
      <c r="EH702" s="1"/>
      <c r="EI702" s="1"/>
      <c r="EJ702" s="1"/>
      <c r="EK702" s="1"/>
      <c r="EL702" s="1"/>
      <c r="EM702" s="1"/>
      <c r="EN702" s="1"/>
      <c r="EO702" s="1"/>
      <c r="EP702" s="1"/>
      <c r="EQ702" s="1"/>
      <c r="ER702" s="1"/>
      <c r="ES702" s="1"/>
      <c r="ET702" s="1"/>
      <c r="EU702" s="1"/>
      <c r="EV702" s="1"/>
      <c r="EW702" s="1"/>
      <c r="EX702" s="1"/>
      <c r="EY702" s="1"/>
      <c r="EZ702" s="1"/>
      <c r="FA702" s="1"/>
      <c r="FB702" s="1"/>
      <c r="FC702" s="1"/>
      <c r="FD702" s="1"/>
      <c r="FE702" s="1"/>
      <c r="FF702" s="1"/>
      <c r="FG702" s="1"/>
      <c r="FH702" s="1"/>
      <c r="FI702" s="1"/>
      <c r="FJ702" s="1"/>
      <c r="FK702" s="1"/>
      <c r="FL702" s="1"/>
      <c r="FM702" s="1"/>
      <c r="FN702" s="1"/>
      <c r="FO702" s="1"/>
      <c r="FP702" s="1"/>
      <c r="FQ702" s="1"/>
      <c r="FR702" s="2"/>
      <c r="FS702" s="1"/>
    </row>
    <row r="703" spans="1:175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R703" s="1"/>
      <c r="S703" s="1"/>
      <c r="T703" s="1"/>
      <c r="U703" s="1"/>
      <c r="V703" s="1"/>
      <c r="Y703" s="1"/>
      <c r="Z703" s="2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U703" s="1"/>
      <c r="AW703" s="1"/>
      <c r="AX703" s="1"/>
      <c r="AY703" s="1"/>
      <c r="AZ703" s="1"/>
      <c r="BA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  <c r="DC703" s="1"/>
      <c r="DD703" s="1"/>
      <c r="DE703" s="1"/>
      <c r="DF703" s="1"/>
      <c r="DG703" s="1"/>
      <c r="DH703" s="1"/>
      <c r="DI703" s="1"/>
      <c r="DJ703" s="1"/>
      <c r="DK703" s="1"/>
      <c r="DL703" s="1"/>
      <c r="DM703" s="1"/>
      <c r="DN703" s="1"/>
      <c r="DO703" s="1"/>
      <c r="DP703" s="1"/>
      <c r="DQ703" s="1"/>
      <c r="DR703" s="1"/>
      <c r="DS703" s="1"/>
      <c r="DT703" s="1"/>
      <c r="DU703" s="1"/>
      <c r="DV703" s="1"/>
      <c r="DW703" s="1"/>
      <c r="DX703" s="1"/>
      <c r="DY703" s="1"/>
      <c r="DZ703" s="1"/>
      <c r="EA703" s="1"/>
      <c r="EB703" s="1"/>
      <c r="EC703" s="1"/>
      <c r="ED703" s="1"/>
      <c r="EE703" s="1"/>
      <c r="EF703" s="1"/>
      <c r="EG703" s="1"/>
      <c r="EH703" s="1"/>
      <c r="EI703" s="1"/>
      <c r="EJ703" s="1"/>
      <c r="EK703" s="1"/>
      <c r="EL703" s="1"/>
      <c r="EM703" s="1"/>
      <c r="EN703" s="1"/>
      <c r="EO703" s="1"/>
      <c r="EP703" s="1"/>
      <c r="EQ703" s="1"/>
      <c r="ER703" s="1"/>
      <c r="ES703" s="1"/>
      <c r="ET703" s="1"/>
      <c r="EU703" s="1"/>
      <c r="EV703" s="1"/>
      <c r="EW703" s="1"/>
      <c r="EX703" s="1"/>
      <c r="EY703" s="1"/>
      <c r="EZ703" s="1"/>
      <c r="FA703" s="1"/>
      <c r="FB703" s="1"/>
      <c r="FC703" s="1"/>
      <c r="FD703" s="1"/>
      <c r="FE703" s="1"/>
      <c r="FF703" s="1"/>
      <c r="FG703" s="1"/>
      <c r="FH703" s="1"/>
      <c r="FI703" s="1"/>
      <c r="FJ703" s="1"/>
      <c r="FK703" s="1"/>
      <c r="FL703" s="1"/>
      <c r="FM703" s="1"/>
      <c r="FN703" s="1"/>
      <c r="FO703" s="1"/>
      <c r="FP703" s="1"/>
      <c r="FQ703" s="1"/>
      <c r="FR703" s="2"/>
      <c r="FS703" s="1"/>
    </row>
    <row r="704" spans="1:175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R704" s="1"/>
      <c r="S704" s="1"/>
      <c r="T704" s="1"/>
      <c r="U704" s="1"/>
      <c r="V704" s="1"/>
      <c r="Y704" s="1"/>
      <c r="Z704" s="2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U704" s="1"/>
      <c r="AW704" s="1"/>
      <c r="AX704" s="1"/>
      <c r="AY704" s="1"/>
      <c r="AZ704" s="1"/>
      <c r="BA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  <c r="DC704" s="1"/>
      <c r="DD704" s="1"/>
      <c r="DE704" s="1"/>
      <c r="DF704" s="1"/>
      <c r="DG704" s="1"/>
      <c r="DH704" s="1"/>
      <c r="DI704" s="1"/>
      <c r="DJ704" s="1"/>
      <c r="DK704" s="1"/>
      <c r="DL704" s="1"/>
      <c r="DM704" s="1"/>
      <c r="DN704" s="1"/>
      <c r="DO704" s="1"/>
      <c r="DP704" s="1"/>
      <c r="DQ704" s="1"/>
      <c r="DR704" s="1"/>
      <c r="DS704" s="1"/>
      <c r="DT704" s="1"/>
      <c r="DU704" s="1"/>
      <c r="DV704" s="1"/>
      <c r="DW704" s="1"/>
      <c r="DX704" s="1"/>
      <c r="DY704" s="1"/>
      <c r="DZ704" s="1"/>
      <c r="EA704" s="1"/>
      <c r="EB704" s="1"/>
      <c r="EC704" s="1"/>
      <c r="ED704" s="1"/>
      <c r="EE704" s="1"/>
      <c r="EF704" s="1"/>
      <c r="EG704" s="1"/>
      <c r="EH704" s="1"/>
      <c r="EI704" s="1"/>
      <c r="EJ704" s="1"/>
      <c r="EK704" s="1"/>
      <c r="EL704" s="1"/>
      <c r="EM704" s="1"/>
      <c r="EN704" s="1"/>
      <c r="EO704" s="1"/>
      <c r="EP704" s="1"/>
      <c r="EQ704" s="1"/>
      <c r="ER704" s="1"/>
      <c r="ES704" s="1"/>
      <c r="ET704" s="1"/>
      <c r="EU704" s="1"/>
      <c r="EV704" s="1"/>
      <c r="EW704" s="1"/>
      <c r="EX704" s="1"/>
      <c r="EY704" s="1"/>
      <c r="EZ704" s="1"/>
      <c r="FA704" s="1"/>
      <c r="FB704" s="1"/>
      <c r="FC704" s="1"/>
      <c r="FD704" s="1"/>
      <c r="FE704" s="1"/>
      <c r="FF704" s="1"/>
      <c r="FG704" s="1"/>
      <c r="FH704" s="1"/>
      <c r="FI704" s="1"/>
      <c r="FJ704" s="1"/>
      <c r="FK704" s="1"/>
      <c r="FL704" s="1"/>
      <c r="FM704" s="1"/>
      <c r="FN704" s="1"/>
      <c r="FO704" s="1"/>
      <c r="FP704" s="1"/>
      <c r="FQ704" s="1"/>
      <c r="FR704" s="2"/>
      <c r="FS704" s="1"/>
    </row>
    <row r="705" spans="1:175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R705" s="1"/>
      <c r="S705" s="1"/>
      <c r="T705" s="1"/>
      <c r="U705" s="1"/>
      <c r="V705" s="1"/>
      <c r="Y705" s="1"/>
      <c r="Z705" s="2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U705" s="1"/>
      <c r="AW705" s="1"/>
      <c r="AX705" s="1"/>
      <c r="AY705" s="1"/>
      <c r="AZ705" s="1"/>
      <c r="BA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  <c r="DC705" s="1"/>
      <c r="DD705" s="1"/>
      <c r="DE705" s="1"/>
      <c r="DF705" s="1"/>
      <c r="DG705" s="1"/>
      <c r="DH705" s="1"/>
      <c r="DI705" s="1"/>
      <c r="DJ705" s="1"/>
      <c r="DK705" s="1"/>
      <c r="DL705" s="1"/>
      <c r="DM705" s="1"/>
      <c r="DN705" s="1"/>
      <c r="DO705" s="1"/>
      <c r="DP705" s="1"/>
      <c r="DQ705" s="1"/>
      <c r="DR705" s="1"/>
      <c r="DS705" s="1"/>
      <c r="DT705" s="1"/>
      <c r="DU705" s="1"/>
      <c r="DV705" s="1"/>
      <c r="DW705" s="1"/>
      <c r="DX705" s="1"/>
      <c r="DY705" s="1"/>
      <c r="DZ705" s="1"/>
      <c r="EA705" s="1"/>
      <c r="EB705" s="1"/>
      <c r="EC705" s="1"/>
      <c r="ED705" s="1"/>
      <c r="EE705" s="1"/>
      <c r="EF705" s="1"/>
      <c r="EG705" s="1"/>
      <c r="EH705" s="1"/>
      <c r="EI705" s="1"/>
      <c r="EJ705" s="1"/>
      <c r="EK705" s="1"/>
      <c r="EL705" s="1"/>
      <c r="EM705" s="1"/>
      <c r="EN705" s="1"/>
      <c r="EO705" s="1"/>
      <c r="EP705" s="1"/>
      <c r="EQ705" s="1"/>
      <c r="ER705" s="1"/>
      <c r="ES705" s="1"/>
      <c r="ET705" s="1"/>
      <c r="EU705" s="1"/>
      <c r="EV705" s="1"/>
      <c r="EW705" s="1"/>
      <c r="EX705" s="1"/>
      <c r="EY705" s="1"/>
      <c r="EZ705" s="1"/>
      <c r="FA705" s="1"/>
      <c r="FB705" s="1"/>
      <c r="FC705" s="1"/>
      <c r="FD705" s="1"/>
      <c r="FE705" s="1"/>
      <c r="FF705" s="1"/>
      <c r="FG705" s="1"/>
      <c r="FH705" s="1"/>
      <c r="FI705" s="1"/>
      <c r="FJ705" s="1"/>
      <c r="FK705" s="1"/>
      <c r="FL705" s="1"/>
      <c r="FM705" s="1"/>
      <c r="FN705" s="1"/>
      <c r="FO705" s="1"/>
      <c r="FP705" s="1"/>
      <c r="FQ705" s="1"/>
      <c r="FR705" s="2"/>
      <c r="FS705" s="1"/>
    </row>
    <row r="706" spans="1:175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R706" s="1"/>
      <c r="S706" s="1"/>
      <c r="T706" s="1"/>
      <c r="U706" s="1"/>
      <c r="V706" s="1"/>
      <c r="Y706" s="1"/>
      <c r="Z706" s="2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U706" s="1"/>
      <c r="AW706" s="1"/>
      <c r="AX706" s="1"/>
      <c r="AY706" s="1"/>
      <c r="AZ706" s="1"/>
      <c r="BA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  <c r="DC706" s="1"/>
      <c r="DD706" s="1"/>
      <c r="DE706" s="1"/>
      <c r="DF706" s="1"/>
      <c r="DG706" s="1"/>
      <c r="DH706" s="1"/>
      <c r="DI706" s="1"/>
      <c r="DJ706" s="1"/>
      <c r="DK706" s="1"/>
      <c r="DL706" s="1"/>
      <c r="DM706" s="1"/>
      <c r="DN706" s="1"/>
      <c r="DO706" s="1"/>
      <c r="DP706" s="1"/>
      <c r="DQ706" s="1"/>
      <c r="DR706" s="1"/>
      <c r="DS706" s="1"/>
      <c r="DT706" s="1"/>
      <c r="DU706" s="1"/>
      <c r="DV706" s="1"/>
      <c r="DW706" s="1"/>
      <c r="DX706" s="1"/>
      <c r="DY706" s="1"/>
      <c r="DZ706" s="1"/>
      <c r="EA706" s="1"/>
      <c r="EB706" s="1"/>
      <c r="EC706" s="1"/>
      <c r="ED706" s="1"/>
      <c r="EE706" s="1"/>
      <c r="EF706" s="1"/>
      <c r="EG706" s="1"/>
      <c r="EH706" s="1"/>
      <c r="EI706" s="1"/>
      <c r="EJ706" s="1"/>
      <c r="EK706" s="1"/>
      <c r="EL706" s="1"/>
      <c r="EM706" s="1"/>
      <c r="EN706" s="1"/>
      <c r="EO706" s="1"/>
      <c r="EP706" s="1"/>
      <c r="EQ706" s="1"/>
      <c r="ER706" s="1"/>
      <c r="ES706" s="1"/>
      <c r="ET706" s="1"/>
      <c r="EU706" s="1"/>
      <c r="EV706" s="1"/>
      <c r="EW706" s="1"/>
      <c r="EX706" s="1"/>
      <c r="EY706" s="1"/>
      <c r="EZ706" s="1"/>
      <c r="FA706" s="1"/>
      <c r="FB706" s="1"/>
      <c r="FC706" s="1"/>
      <c r="FD706" s="1"/>
      <c r="FE706" s="1"/>
      <c r="FF706" s="1"/>
      <c r="FG706" s="1"/>
      <c r="FH706" s="1"/>
      <c r="FI706" s="1"/>
      <c r="FJ706" s="1"/>
      <c r="FK706" s="1"/>
      <c r="FL706" s="1"/>
      <c r="FM706" s="1"/>
      <c r="FN706" s="1"/>
      <c r="FO706" s="1"/>
      <c r="FP706" s="1"/>
      <c r="FQ706" s="1"/>
      <c r="FR706" s="2"/>
      <c r="FS706" s="1"/>
    </row>
    <row r="707" spans="1:175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R707" s="1"/>
      <c r="S707" s="1"/>
      <c r="T707" s="1"/>
      <c r="U707" s="1"/>
      <c r="V707" s="1"/>
      <c r="Y707" s="1"/>
      <c r="Z707" s="2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U707" s="1"/>
      <c r="AW707" s="1"/>
      <c r="AX707" s="1"/>
      <c r="AY707" s="1"/>
      <c r="AZ707" s="1"/>
      <c r="BA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  <c r="DC707" s="1"/>
      <c r="DD707" s="1"/>
      <c r="DE707" s="1"/>
      <c r="DF707" s="1"/>
      <c r="DG707" s="1"/>
      <c r="DH707" s="1"/>
      <c r="DI707" s="1"/>
      <c r="DJ707" s="1"/>
      <c r="DK707" s="1"/>
      <c r="DL707" s="1"/>
      <c r="DM707" s="1"/>
      <c r="DN707" s="1"/>
      <c r="DO707" s="1"/>
      <c r="DP707" s="1"/>
      <c r="DQ707" s="1"/>
      <c r="DR707" s="1"/>
      <c r="DS707" s="1"/>
      <c r="DT707" s="1"/>
      <c r="DU707" s="1"/>
      <c r="DV707" s="1"/>
      <c r="DW707" s="1"/>
      <c r="DX707" s="1"/>
      <c r="DY707" s="1"/>
      <c r="DZ707" s="1"/>
      <c r="EA707" s="1"/>
      <c r="EB707" s="1"/>
      <c r="EC707" s="1"/>
      <c r="ED707" s="1"/>
      <c r="EE707" s="1"/>
      <c r="EF707" s="1"/>
      <c r="EG707" s="1"/>
      <c r="EH707" s="1"/>
      <c r="EI707" s="1"/>
      <c r="EJ707" s="1"/>
      <c r="EK707" s="1"/>
      <c r="EL707" s="1"/>
      <c r="EM707" s="1"/>
      <c r="EN707" s="1"/>
      <c r="EO707" s="1"/>
      <c r="EP707" s="1"/>
      <c r="EQ707" s="1"/>
      <c r="ER707" s="1"/>
      <c r="ES707" s="1"/>
      <c r="ET707" s="1"/>
      <c r="EU707" s="1"/>
      <c r="EV707" s="1"/>
      <c r="EW707" s="1"/>
      <c r="EX707" s="1"/>
      <c r="EY707" s="1"/>
      <c r="EZ707" s="1"/>
      <c r="FA707" s="1"/>
      <c r="FB707" s="1"/>
      <c r="FC707" s="1"/>
      <c r="FD707" s="1"/>
      <c r="FE707" s="1"/>
      <c r="FF707" s="1"/>
      <c r="FG707" s="1"/>
      <c r="FH707" s="1"/>
      <c r="FI707" s="1"/>
      <c r="FJ707" s="1"/>
      <c r="FK707" s="1"/>
      <c r="FL707" s="1"/>
      <c r="FM707" s="1"/>
      <c r="FN707" s="1"/>
      <c r="FO707" s="1"/>
      <c r="FP707" s="1"/>
      <c r="FQ707" s="1"/>
      <c r="FR707" s="2"/>
      <c r="FS707" s="1"/>
    </row>
    <row r="708" spans="1:175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R708" s="1"/>
      <c r="S708" s="1"/>
      <c r="T708" s="1"/>
      <c r="U708" s="1"/>
      <c r="V708" s="1"/>
      <c r="Y708" s="1"/>
      <c r="Z708" s="2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U708" s="1"/>
      <c r="AW708" s="1"/>
      <c r="AX708" s="1"/>
      <c r="AY708" s="1"/>
      <c r="AZ708" s="1"/>
      <c r="BA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  <c r="DC708" s="1"/>
      <c r="DD708" s="1"/>
      <c r="DE708" s="1"/>
      <c r="DF708" s="1"/>
      <c r="DG708" s="1"/>
      <c r="DH708" s="1"/>
      <c r="DI708" s="1"/>
      <c r="DJ708" s="1"/>
      <c r="DK708" s="1"/>
      <c r="DL708" s="1"/>
      <c r="DM708" s="1"/>
      <c r="DN708" s="1"/>
      <c r="DO708" s="1"/>
      <c r="DP708" s="1"/>
      <c r="DQ708" s="1"/>
      <c r="DR708" s="1"/>
      <c r="DS708" s="1"/>
      <c r="DT708" s="1"/>
      <c r="DU708" s="1"/>
      <c r="DV708" s="1"/>
      <c r="DW708" s="1"/>
      <c r="DX708" s="1"/>
      <c r="DY708" s="1"/>
      <c r="DZ708" s="1"/>
      <c r="EA708" s="1"/>
      <c r="EB708" s="1"/>
      <c r="EC708" s="1"/>
      <c r="ED708" s="1"/>
      <c r="EE708" s="1"/>
      <c r="EF708" s="1"/>
      <c r="EG708" s="1"/>
      <c r="EH708" s="1"/>
      <c r="EI708" s="1"/>
      <c r="EJ708" s="1"/>
      <c r="EK708" s="1"/>
      <c r="EL708" s="1"/>
      <c r="EM708" s="1"/>
      <c r="EN708" s="1"/>
      <c r="EO708" s="1"/>
      <c r="EP708" s="1"/>
      <c r="EQ708" s="1"/>
      <c r="ER708" s="1"/>
      <c r="ES708" s="1"/>
      <c r="ET708" s="1"/>
      <c r="EU708" s="1"/>
      <c r="EV708" s="1"/>
      <c r="EW708" s="1"/>
      <c r="EX708" s="1"/>
      <c r="EY708" s="1"/>
      <c r="EZ708" s="1"/>
      <c r="FA708" s="1"/>
      <c r="FB708" s="1"/>
      <c r="FC708" s="1"/>
      <c r="FD708" s="1"/>
      <c r="FE708" s="1"/>
      <c r="FF708" s="1"/>
      <c r="FG708" s="1"/>
      <c r="FH708" s="1"/>
      <c r="FI708" s="1"/>
      <c r="FJ708" s="1"/>
      <c r="FK708" s="1"/>
      <c r="FL708" s="1"/>
      <c r="FM708" s="1"/>
      <c r="FN708" s="1"/>
      <c r="FO708" s="1"/>
      <c r="FP708" s="1"/>
      <c r="FQ708" s="1"/>
      <c r="FR708" s="2"/>
      <c r="FS708" s="1"/>
    </row>
    <row r="709" spans="1:175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R709" s="1"/>
      <c r="S709" s="1"/>
      <c r="T709" s="1"/>
      <c r="U709" s="1"/>
      <c r="V709" s="1"/>
      <c r="Y709" s="1"/>
      <c r="Z709" s="2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U709" s="1"/>
      <c r="AW709" s="1"/>
      <c r="AX709" s="1"/>
      <c r="AY709" s="1"/>
      <c r="AZ709" s="1"/>
      <c r="BA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  <c r="DC709" s="1"/>
      <c r="DD709" s="1"/>
      <c r="DE709" s="1"/>
      <c r="DF709" s="1"/>
      <c r="DG709" s="1"/>
      <c r="DH709" s="1"/>
      <c r="DI709" s="1"/>
      <c r="DJ709" s="1"/>
      <c r="DK709" s="1"/>
      <c r="DL709" s="1"/>
      <c r="DM709" s="1"/>
      <c r="DN709" s="1"/>
      <c r="DO709" s="1"/>
      <c r="DP709" s="1"/>
      <c r="DQ709" s="1"/>
      <c r="DR709" s="1"/>
      <c r="DS709" s="1"/>
      <c r="DT709" s="1"/>
      <c r="DU709" s="1"/>
      <c r="DV709" s="1"/>
      <c r="DW709" s="1"/>
      <c r="DX709" s="1"/>
      <c r="DY709" s="1"/>
      <c r="DZ709" s="1"/>
      <c r="EA709" s="1"/>
      <c r="EB709" s="1"/>
      <c r="EC709" s="1"/>
      <c r="ED709" s="1"/>
      <c r="EE709" s="1"/>
      <c r="EF709" s="1"/>
      <c r="EG709" s="1"/>
      <c r="EH709" s="1"/>
      <c r="EI709" s="1"/>
      <c r="EJ709" s="1"/>
      <c r="EK709" s="1"/>
      <c r="EL709" s="1"/>
      <c r="EM709" s="1"/>
      <c r="EN709" s="1"/>
      <c r="EO709" s="1"/>
      <c r="EP709" s="1"/>
      <c r="EQ709" s="1"/>
      <c r="ER709" s="1"/>
      <c r="ES709" s="1"/>
      <c r="ET709" s="1"/>
      <c r="EU709" s="1"/>
      <c r="EV709" s="1"/>
      <c r="EW709" s="1"/>
      <c r="EX709" s="1"/>
      <c r="EY709" s="1"/>
      <c r="EZ709" s="1"/>
      <c r="FA709" s="1"/>
      <c r="FB709" s="1"/>
      <c r="FC709" s="1"/>
      <c r="FD709" s="1"/>
      <c r="FE709" s="1"/>
      <c r="FF709" s="1"/>
      <c r="FG709" s="1"/>
      <c r="FH709" s="1"/>
      <c r="FI709" s="1"/>
      <c r="FJ709" s="1"/>
      <c r="FK709" s="1"/>
      <c r="FL709" s="1"/>
      <c r="FM709" s="1"/>
      <c r="FN709" s="1"/>
      <c r="FO709" s="1"/>
      <c r="FP709" s="1"/>
      <c r="FQ709" s="1"/>
      <c r="FR709" s="2"/>
      <c r="FS709" s="1"/>
    </row>
    <row r="710" spans="1:175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R710" s="1"/>
      <c r="S710" s="1"/>
      <c r="T710" s="1"/>
      <c r="U710" s="1"/>
      <c r="V710" s="1"/>
      <c r="Y710" s="1"/>
      <c r="Z710" s="2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U710" s="1"/>
      <c r="AW710" s="1"/>
      <c r="AX710" s="1"/>
      <c r="AY710" s="1"/>
      <c r="AZ710" s="1"/>
      <c r="BA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  <c r="DC710" s="1"/>
      <c r="DD710" s="1"/>
      <c r="DE710" s="1"/>
      <c r="DF710" s="1"/>
      <c r="DG710" s="1"/>
      <c r="DH710" s="1"/>
      <c r="DI710" s="1"/>
      <c r="DJ710" s="1"/>
      <c r="DK710" s="1"/>
      <c r="DL710" s="1"/>
      <c r="DM710" s="1"/>
      <c r="DN710" s="1"/>
      <c r="DO710" s="1"/>
      <c r="DP710" s="1"/>
      <c r="DQ710" s="1"/>
      <c r="DR710" s="1"/>
      <c r="DS710" s="1"/>
      <c r="DT710" s="1"/>
      <c r="DU710" s="1"/>
      <c r="DV710" s="1"/>
      <c r="DW710" s="1"/>
      <c r="DX710" s="1"/>
      <c r="DY710" s="1"/>
      <c r="DZ710" s="1"/>
      <c r="EA710" s="1"/>
      <c r="EB710" s="1"/>
      <c r="EC710" s="1"/>
      <c r="ED710" s="1"/>
      <c r="EE710" s="1"/>
      <c r="EF710" s="1"/>
      <c r="EG710" s="1"/>
      <c r="EH710" s="1"/>
      <c r="EI710" s="1"/>
      <c r="EJ710" s="1"/>
      <c r="EK710" s="1"/>
      <c r="EL710" s="1"/>
      <c r="EM710" s="1"/>
      <c r="EN710" s="1"/>
      <c r="EO710" s="1"/>
      <c r="EP710" s="1"/>
      <c r="EQ710" s="1"/>
      <c r="ER710" s="1"/>
      <c r="ES710" s="1"/>
      <c r="ET710" s="1"/>
      <c r="EU710" s="1"/>
      <c r="EV710" s="1"/>
      <c r="EW710" s="1"/>
      <c r="EX710" s="1"/>
      <c r="EY710" s="1"/>
      <c r="EZ710" s="1"/>
      <c r="FA710" s="1"/>
      <c r="FB710" s="1"/>
      <c r="FC710" s="1"/>
      <c r="FD710" s="1"/>
      <c r="FE710" s="1"/>
      <c r="FF710" s="1"/>
      <c r="FG710" s="1"/>
      <c r="FH710" s="1"/>
      <c r="FI710" s="1"/>
      <c r="FJ710" s="1"/>
      <c r="FK710" s="1"/>
      <c r="FL710" s="1"/>
      <c r="FM710" s="1"/>
      <c r="FN710" s="1"/>
      <c r="FO710" s="1"/>
      <c r="FP710" s="1"/>
      <c r="FQ710" s="1"/>
      <c r="FR710" s="2"/>
      <c r="FS710" s="1"/>
    </row>
    <row r="711" spans="1:175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R711" s="1"/>
      <c r="S711" s="1"/>
      <c r="T711" s="1"/>
      <c r="U711" s="1"/>
      <c r="V711" s="1"/>
      <c r="Y711" s="1"/>
      <c r="Z711" s="2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U711" s="1"/>
      <c r="AW711" s="1"/>
      <c r="AX711" s="1"/>
      <c r="AY711" s="1"/>
      <c r="AZ711" s="1"/>
      <c r="BA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  <c r="DC711" s="1"/>
      <c r="DD711" s="1"/>
      <c r="DE711" s="1"/>
      <c r="DF711" s="1"/>
      <c r="DG711" s="1"/>
      <c r="DH711" s="1"/>
      <c r="DI711" s="1"/>
      <c r="DJ711" s="1"/>
      <c r="DK711" s="1"/>
      <c r="DL711" s="1"/>
      <c r="DM711" s="1"/>
      <c r="DN711" s="1"/>
      <c r="DO711" s="1"/>
      <c r="DP711" s="1"/>
      <c r="DQ711" s="1"/>
      <c r="DR711" s="1"/>
      <c r="DS711" s="1"/>
      <c r="DT711" s="1"/>
      <c r="DU711" s="1"/>
      <c r="DV711" s="1"/>
      <c r="DW711" s="1"/>
      <c r="DX711" s="1"/>
      <c r="DY711" s="1"/>
      <c r="DZ711" s="1"/>
      <c r="EA711" s="1"/>
      <c r="EB711" s="1"/>
      <c r="EC711" s="1"/>
      <c r="ED711" s="1"/>
      <c r="EE711" s="1"/>
      <c r="EF711" s="1"/>
      <c r="EG711" s="1"/>
      <c r="EH711" s="1"/>
      <c r="EI711" s="1"/>
      <c r="EJ711" s="1"/>
      <c r="EK711" s="1"/>
      <c r="EL711" s="1"/>
      <c r="EM711" s="1"/>
      <c r="EN711" s="1"/>
      <c r="EO711" s="1"/>
      <c r="EP711" s="1"/>
      <c r="EQ711" s="1"/>
      <c r="ER711" s="1"/>
      <c r="ES711" s="1"/>
      <c r="ET711" s="1"/>
      <c r="EU711" s="1"/>
      <c r="EV711" s="1"/>
      <c r="EW711" s="1"/>
      <c r="EX711" s="1"/>
      <c r="EY711" s="1"/>
      <c r="EZ711" s="1"/>
      <c r="FA711" s="1"/>
      <c r="FB711" s="1"/>
      <c r="FC711" s="1"/>
      <c r="FD711" s="1"/>
      <c r="FE711" s="1"/>
      <c r="FF711" s="1"/>
      <c r="FG711" s="1"/>
      <c r="FH711" s="1"/>
      <c r="FI711" s="1"/>
      <c r="FJ711" s="1"/>
      <c r="FK711" s="1"/>
      <c r="FL711" s="1"/>
      <c r="FM711" s="1"/>
      <c r="FN711" s="1"/>
      <c r="FO711" s="1"/>
      <c r="FP711" s="1"/>
      <c r="FQ711" s="1"/>
      <c r="FR711" s="2"/>
      <c r="FS711" s="1"/>
    </row>
    <row r="712" spans="1:175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R712" s="1"/>
      <c r="S712" s="1"/>
      <c r="T712" s="1"/>
      <c r="U712" s="1"/>
      <c r="V712" s="1"/>
      <c r="Y712" s="1"/>
      <c r="Z712" s="2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U712" s="1"/>
      <c r="AW712" s="1"/>
      <c r="AX712" s="1"/>
      <c r="AY712" s="1"/>
      <c r="AZ712" s="1"/>
      <c r="BA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  <c r="DC712" s="1"/>
      <c r="DD712" s="1"/>
      <c r="DE712" s="1"/>
      <c r="DF712" s="1"/>
      <c r="DG712" s="1"/>
      <c r="DH712" s="1"/>
      <c r="DI712" s="1"/>
      <c r="DJ712" s="1"/>
      <c r="DK712" s="1"/>
      <c r="DL712" s="1"/>
      <c r="DM712" s="1"/>
      <c r="DN712" s="1"/>
      <c r="DO712" s="1"/>
      <c r="DP712" s="1"/>
      <c r="DQ712" s="1"/>
      <c r="DR712" s="1"/>
      <c r="DS712" s="1"/>
      <c r="DT712" s="1"/>
      <c r="DU712" s="1"/>
      <c r="DV712" s="1"/>
      <c r="DW712" s="1"/>
      <c r="DX712" s="1"/>
      <c r="DY712" s="1"/>
      <c r="DZ712" s="1"/>
      <c r="EA712" s="1"/>
      <c r="EB712" s="1"/>
      <c r="EC712" s="1"/>
      <c r="ED712" s="1"/>
      <c r="EE712" s="1"/>
      <c r="EF712" s="1"/>
      <c r="EG712" s="1"/>
      <c r="EH712" s="1"/>
      <c r="EI712" s="1"/>
      <c r="EJ712" s="1"/>
      <c r="EK712" s="1"/>
      <c r="EL712" s="1"/>
      <c r="EM712" s="1"/>
      <c r="EN712" s="1"/>
      <c r="EO712" s="1"/>
      <c r="EP712" s="1"/>
      <c r="EQ712" s="1"/>
      <c r="ER712" s="1"/>
      <c r="ES712" s="1"/>
      <c r="ET712" s="1"/>
      <c r="EU712" s="1"/>
      <c r="EV712" s="1"/>
      <c r="EW712" s="1"/>
      <c r="EX712" s="1"/>
      <c r="EY712" s="1"/>
      <c r="EZ712" s="1"/>
      <c r="FA712" s="1"/>
      <c r="FB712" s="1"/>
      <c r="FC712" s="1"/>
      <c r="FD712" s="1"/>
      <c r="FE712" s="1"/>
      <c r="FF712" s="1"/>
      <c r="FG712" s="1"/>
      <c r="FH712" s="1"/>
      <c r="FI712" s="1"/>
      <c r="FJ712" s="1"/>
      <c r="FK712" s="1"/>
      <c r="FL712" s="1"/>
      <c r="FM712" s="1"/>
      <c r="FN712" s="1"/>
      <c r="FO712" s="1"/>
      <c r="FP712" s="1"/>
      <c r="FQ712" s="1"/>
      <c r="FR712" s="2"/>
      <c r="FS712" s="1"/>
    </row>
    <row r="713" spans="1:175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R713" s="1"/>
      <c r="S713" s="1"/>
      <c r="T713" s="1"/>
      <c r="U713" s="1"/>
      <c r="V713" s="1"/>
      <c r="Y713" s="1"/>
      <c r="Z713" s="2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U713" s="1"/>
      <c r="AW713" s="1"/>
      <c r="AX713" s="1"/>
      <c r="AY713" s="1"/>
      <c r="AZ713" s="1"/>
      <c r="BA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  <c r="DC713" s="1"/>
      <c r="DD713" s="1"/>
      <c r="DE713" s="1"/>
      <c r="DF713" s="1"/>
      <c r="DG713" s="1"/>
      <c r="DH713" s="1"/>
      <c r="DI713" s="1"/>
      <c r="DJ713" s="1"/>
      <c r="DK713" s="1"/>
      <c r="DL713" s="1"/>
      <c r="DM713" s="1"/>
      <c r="DN713" s="1"/>
      <c r="DO713" s="1"/>
      <c r="DP713" s="1"/>
      <c r="DQ713" s="1"/>
      <c r="DR713" s="1"/>
      <c r="DS713" s="1"/>
      <c r="DT713" s="1"/>
      <c r="DU713" s="1"/>
      <c r="DV713" s="1"/>
      <c r="DW713" s="1"/>
      <c r="DX713" s="1"/>
      <c r="DY713" s="1"/>
      <c r="DZ713" s="1"/>
      <c r="EA713" s="1"/>
      <c r="EB713" s="1"/>
      <c r="EC713" s="1"/>
      <c r="ED713" s="1"/>
      <c r="EE713" s="1"/>
      <c r="EF713" s="1"/>
      <c r="EG713" s="1"/>
      <c r="EH713" s="1"/>
      <c r="EI713" s="1"/>
      <c r="EJ713" s="1"/>
      <c r="EK713" s="1"/>
      <c r="EL713" s="1"/>
      <c r="EM713" s="1"/>
      <c r="EN713" s="1"/>
      <c r="EO713" s="1"/>
      <c r="EP713" s="1"/>
      <c r="EQ713" s="1"/>
      <c r="ER713" s="1"/>
      <c r="ES713" s="1"/>
      <c r="ET713" s="1"/>
      <c r="EU713" s="1"/>
      <c r="EV713" s="1"/>
      <c r="EW713" s="1"/>
      <c r="EX713" s="1"/>
      <c r="EY713" s="1"/>
      <c r="EZ713" s="1"/>
      <c r="FA713" s="1"/>
      <c r="FB713" s="1"/>
      <c r="FC713" s="1"/>
      <c r="FD713" s="1"/>
      <c r="FE713" s="1"/>
      <c r="FF713" s="1"/>
      <c r="FG713" s="1"/>
      <c r="FH713" s="1"/>
      <c r="FI713" s="1"/>
      <c r="FJ713" s="1"/>
      <c r="FK713" s="1"/>
      <c r="FL713" s="1"/>
      <c r="FM713" s="1"/>
      <c r="FN713" s="1"/>
      <c r="FO713" s="1"/>
      <c r="FP713" s="1"/>
      <c r="FQ713" s="1"/>
      <c r="FR713" s="2"/>
      <c r="FS713" s="1"/>
    </row>
    <row r="714" spans="1:175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R714" s="1"/>
      <c r="S714" s="1"/>
      <c r="T714" s="1"/>
      <c r="U714" s="1"/>
      <c r="V714" s="1"/>
      <c r="Y714" s="1"/>
      <c r="Z714" s="2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U714" s="1"/>
      <c r="AW714" s="1"/>
      <c r="AX714" s="1"/>
      <c r="AY714" s="1"/>
      <c r="AZ714" s="1"/>
      <c r="BA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  <c r="DC714" s="1"/>
      <c r="DD714" s="1"/>
      <c r="DE714" s="1"/>
      <c r="DF714" s="1"/>
      <c r="DG714" s="1"/>
      <c r="DH714" s="1"/>
      <c r="DI714" s="1"/>
      <c r="DJ714" s="1"/>
      <c r="DK714" s="1"/>
      <c r="DL714" s="1"/>
      <c r="DM714" s="1"/>
      <c r="DN714" s="1"/>
      <c r="DO714" s="1"/>
      <c r="DP714" s="1"/>
      <c r="DQ714" s="1"/>
      <c r="DR714" s="1"/>
      <c r="DS714" s="1"/>
      <c r="DT714" s="1"/>
      <c r="DU714" s="1"/>
      <c r="DV714" s="1"/>
      <c r="DW714" s="1"/>
      <c r="DX714" s="1"/>
      <c r="DY714" s="1"/>
      <c r="DZ714" s="1"/>
      <c r="EA714" s="1"/>
      <c r="EB714" s="1"/>
      <c r="EC714" s="1"/>
      <c r="ED714" s="1"/>
      <c r="EE714" s="1"/>
      <c r="EF714" s="1"/>
      <c r="EG714" s="1"/>
      <c r="EH714" s="1"/>
      <c r="EI714" s="1"/>
      <c r="EJ714" s="1"/>
      <c r="EK714" s="1"/>
      <c r="EL714" s="1"/>
      <c r="EM714" s="1"/>
      <c r="EN714" s="1"/>
      <c r="EO714" s="1"/>
      <c r="EP714" s="1"/>
      <c r="EQ714" s="1"/>
      <c r="ER714" s="1"/>
      <c r="ES714" s="1"/>
      <c r="ET714" s="1"/>
      <c r="EU714" s="1"/>
      <c r="EV714" s="1"/>
      <c r="EW714" s="1"/>
      <c r="EX714" s="1"/>
      <c r="EY714" s="1"/>
      <c r="EZ714" s="1"/>
      <c r="FA714" s="1"/>
      <c r="FB714" s="1"/>
      <c r="FC714" s="1"/>
      <c r="FD714" s="1"/>
      <c r="FE714" s="1"/>
      <c r="FF714" s="1"/>
      <c r="FG714" s="1"/>
      <c r="FH714" s="1"/>
      <c r="FI714" s="1"/>
      <c r="FJ714" s="1"/>
      <c r="FK714" s="1"/>
      <c r="FL714" s="1"/>
      <c r="FM714" s="1"/>
      <c r="FN714" s="1"/>
      <c r="FO714" s="1"/>
      <c r="FP714" s="1"/>
      <c r="FQ714" s="1"/>
      <c r="FR714" s="2"/>
      <c r="FS714" s="1"/>
    </row>
    <row r="715" spans="1:175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R715" s="1"/>
      <c r="S715" s="1"/>
      <c r="T715" s="1"/>
      <c r="U715" s="1"/>
      <c r="V715" s="1"/>
      <c r="Y715" s="1"/>
      <c r="Z715" s="2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U715" s="1"/>
      <c r="AW715" s="1"/>
      <c r="AX715" s="1"/>
      <c r="AY715" s="1"/>
      <c r="AZ715" s="1"/>
      <c r="BA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  <c r="DC715" s="1"/>
      <c r="DD715" s="1"/>
      <c r="DE715" s="1"/>
      <c r="DF715" s="1"/>
      <c r="DG715" s="1"/>
      <c r="DH715" s="1"/>
      <c r="DI715" s="1"/>
      <c r="DJ715" s="1"/>
      <c r="DK715" s="1"/>
      <c r="DL715" s="1"/>
      <c r="DM715" s="1"/>
      <c r="DN715" s="1"/>
      <c r="DO715" s="1"/>
      <c r="DP715" s="1"/>
      <c r="DQ715" s="1"/>
      <c r="DR715" s="1"/>
      <c r="DS715" s="1"/>
      <c r="DT715" s="1"/>
      <c r="DU715" s="1"/>
      <c r="DV715" s="1"/>
      <c r="DW715" s="1"/>
      <c r="DX715" s="1"/>
      <c r="DY715" s="1"/>
      <c r="DZ715" s="1"/>
      <c r="EA715" s="1"/>
      <c r="EB715" s="1"/>
      <c r="EC715" s="1"/>
      <c r="ED715" s="1"/>
      <c r="EE715" s="1"/>
      <c r="EF715" s="1"/>
      <c r="EG715" s="1"/>
      <c r="EH715" s="1"/>
      <c r="EI715" s="1"/>
      <c r="EJ715" s="1"/>
      <c r="EK715" s="1"/>
      <c r="EL715" s="1"/>
      <c r="EM715" s="1"/>
      <c r="EN715" s="1"/>
      <c r="EO715" s="1"/>
      <c r="EP715" s="1"/>
      <c r="EQ715" s="1"/>
      <c r="ER715" s="1"/>
      <c r="ES715" s="1"/>
      <c r="ET715" s="1"/>
      <c r="EU715" s="1"/>
      <c r="EV715" s="1"/>
      <c r="EW715" s="1"/>
      <c r="EX715" s="1"/>
      <c r="EY715" s="1"/>
      <c r="EZ715" s="1"/>
      <c r="FA715" s="1"/>
      <c r="FB715" s="1"/>
      <c r="FC715" s="1"/>
      <c r="FD715" s="1"/>
      <c r="FE715" s="1"/>
      <c r="FF715" s="1"/>
      <c r="FG715" s="1"/>
      <c r="FH715" s="1"/>
      <c r="FI715" s="1"/>
      <c r="FJ715" s="1"/>
      <c r="FK715" s="1"/>
      <c r="FL715" s="1"/>
      <c r="FM715" s="1"/>
      <c r="FN715" s="1"/>
      <c r="FO715" s="1"/>
      <c r="FP715" s="1"/>
      <c r="FQ715" s="1"/>
      <c r="FR715" s="2"/>
      <c r="FS715" s="1"/>
    </row>
    <row r="716" spans="1:175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R716" s="1"/>
      <c r="S716" s="1"/>
      <c r="T716" s="1"/>
      <c r="U716" s="1"/>
      <c r="V716" s="1"/>
      <c r="Y716" s="1"/>
      <c r="Z716" s="2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U716" s="1"/>
      <c r="AW716" s="1"/>
      <c r="AX716" s="1"/>
      <c r="AY716" s="1"/>
      <c r="AZ716" s="1"/>
      <c r="BA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  <c r="DC716" s="1"/>
      <c r="DD716" s="1"/>
      <c r="DE716" s="1"/>
      <c r="DF716" s="1"/>
      <c r="DG716" s="1"/>
      <c r="DH716" s="1"/>
      <c r="DI716" s="1"/>
      <c r="DJ716" s="1"/>
      <c r="DK716" s="1"/>
      <c r="DL716" s="1"/>
      <c r="DM716" s="1"/>
      <c r="DN716" s="1"/>
      <c r="DO716" s="1"/>
      <c r="DP716" s="1"/>
      <c r="DQ716" s="1"/>
      <c r="DR716" s="1"/>
      <c r="DS716" s="1"/>
      <c r="DT716" s="1"/>
      <c r="DU716" s="1"/>
      <c r="DV716" s="1"/>
      <c r="DW716" s="1"/>
      <c r="DX716" s="1"/>
      <c r="DY716" s="1"/>
      <c r="DZ716" s="1"/>
      <c r="EA716" s="1"/>
      <c r="EB716" s="1"/>
      <c r="EC716" s="1"/>
      <c r="ED716" s="1"/>
      <c r="EE716" s="1"/>
      <c r="EF716" s="1"/>
      <c r="EG716" s="1"/>
      <c r="EH716" s="1"/>
      <c r="EI716" s="1"/>
      <c r="EJ716" s="1"/>
      <c r="EK716" s="1"/>
      <c r="EL716" s="1"/>
      <c r="EM716" s="1"/>
      <c r="EN716" s="1"/>
      <c r="EO716" s="1"/>
      <c r="EP716" s="1"/>
      <c r="EQ716" s="1"/>
      <c r="ER716" s="1"/>
      <c r="ES716" s="1"/>
      <c r="ET716" s="1"/>
      <c r="EU716" s="1"/>
      <c r="EV716" s="1"/>
      <c r="EW716" s="1"/>
      <c r="EX716" s="1"/>
      <c r="EY716" s="1"/>
      <c r="EZ716" s="1"/>
      <c r="FA716" s="1"/>
      <c r="FB716" s="1"/>
      <c r="FC716" s="1"/>
      <c r="FD716" s="1"/>
      <c r="FE716" s="1"/>
      <c r="FF716" s="1"/>
      <c r="FG716" s="1"/>
      <c r="FH716" s="1"/>
      <c r="FI716" s="1"/>
      <c r="FJ716" s="1"/>
      <c r="FK716" s="1"/>
      <c r="FL716" s="1"/>
      <c r="FM716" s="1"/>
      <c r="FN716" s="1"/>
      <c r="FO716" s="1"/>
      <c r="FP716" s="1"/>
      <c r="FQ716" s="1"/>
      <c r="FR716" s="2"/>
      <c r="FS716" s="1"/>
    </row>
    <row r="717" spans="1:175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R717" s="1"/>
      <c r="S717" s="1"/>
      <c r="T717" s="1"/>
      <c r="U717" s="1"/>
      <c r="V717" s="1"/>
      <c r="Y717" s="1"/>
      <c r="Z717" s="2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U717" s="1"/>
      <c r="AW717" s="1"/>
      <c r="AX717" s="1"/>
      <c r="AY717" s="1"/>
      <c r="AZ717" s="1"/>
      <c r="BA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  <c r="DC717" s="1"/>
      <c r="DD717" s="1"/>
      <c r="DE717" s="1"/>
      <c r="DF717" s="1"/>
      <c r="DG717" s="1"/>
      <c r="DH717" s="1"/>
      <c r="DI717" s="1"/>
      <c r="DJ717" s="1"/>
      <c r="DK717" s="1"/>
      <c r="DL717" s="1"/>
      <c r="DM717" s="1"/>
      <c r="DN717" s="1"/>
      <c r="DO717" s="1"/>
      <c r="DP717" s="1"/>
      <c r="DQ717" s="1"/>
      <c r="DR717" s="1"/>
      <c r="DS717" s="1"/>
      <c r="DT717" s="1"/>
      <c r="DU717" s="1"/>
      <c r="DV717" s="1"/>
      <c r="DW717" s="1"/>
      <c r="DX717" s="1"/>
      <c r="DY717" s="1"/>
      <c r="DZ717" s="1"/>
      <c r="EA717" s="1"/>
      <c r="EB717" s="1"/>
      <c r="EC717" s="1"/>
      <c r="ED717" s="1"/>
      <c r="EE717" s="1"/>
      <c r="EF717" s="1"/>
      <c r="EG717" s="1"/>
      <c r="EH717" s="1"/>
      <c r="EI717" s="1"/>
      <c r="EJ717" s="1"/>
      <c r="EK717" s="1"/>
      <c r="EL717" s="1"/>
      <c r="EM717" s="1"/>
      <c r="EN717" s="1"/>
      <c r="EO717" s="1"/>
      <c r="EP717" s="1"/>
      <c r="EQ717" s="1"/>
      <c r="ER717" s="1"/>
      <c r="ES717" s="1"/>
      <c r="ET717" s="1"/>
      <c r="EU717" s="1"/>
      <c r="EV717" s="1"/>
      <c r="EW717" s="1"/>
      <c r="EX717" s="1"/>
      <c r="EY717" s="1"/>
      <c r="EZ717" s="1"/>
      <c r="FA717" s="1"/>
      <c r="FB717" s="1"/>
      <c r="FC717" s="1"/>
      <c r="FD717" s="1"/>
      <c r="FE717" s="1"/>
      <c r="FF717" s="1"/>
      <c r="FG717" s="1"/>
      <c r="FH717" s="1"/>
      <c r="FI717" s="1"/>
      <c r="FJ717" s="1"/>
      <c r="FK717" s="1"/>
      <c r="FL717" s="1"/>
      <c r="FM717" s="1"/>
      <c r="FN717" s="1"/>
      <c r="FO717" s="1"/>
      <c r="FP717" s="1"/>
      <c r="FQ717" s="1"/>
      <c r="FR717" s="2"/>
      <c r="FS717" s="1"/>
    </row>
    <row r="718" spans="1:175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R718" s="1"/>
      <c r="S718" s="1"/>
      <c r="T718" s="1"/>
      <c r="U718" s="1"/>
      <c r="V718" s="1"/>
      <c r="Y718" s="1"/>
      <c r="Z718" s="2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U718" s="1"/>
      <c r="AW718" s="1"/>
      <c r="AX718" s="1"/>
      <c r="AY718" s="1"/>
      <c r="AZ718" s="1"/>
      <c r="BA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  <c r="DC718" s="1"/>
      <c r="DD718" s="1"/>
      <c r="DE718" s="1"/>
      <c r="DF718" s="1"/>
      <c r="DG718" s="1"/>
      <c r="DH718" s="1"/>
      <c r="DI718" s="1"/>
      <c r="DJ718" s="1"/>
      <c r="DK718" s="1"/>
      <c r="DL718" s="1"/>
      <c r="DM718" s="1"/>
      <c r="DN718" s="1"/>
      <c r="DO718" s="1"/>
      <c r="DP718" s="1"/>
      <c r="DQ718" s="1"/>
      <c r="DR718" s="1"/>
      <c r="DS718" s="1"/>
      <c r="DT718" s="1"/>
      <c r="DU718" s="1"/>
      <c r="DV718" s="1"/>
      <c r="DW718" s="1"/>
      <c r="DX718" s="1"/>
      <c r="DY718" s="1"/>
      <c r="DZ718" s="1"/>
      <c r="EA718" s="1"/>
      <c r="EB718" s="1"/>
      <c r="EC718" s="1"/>
      <c r="ED718" s="1"/>
      <c r="EE718" s="1"/>
      <c r="EF718" s="1"/>
      <c r="EG718" s="1"/>
      <c r="EH718" s="1"/>
      <c r="EI718" s="1"/>
      <c r="EJ718" s="1"/>
      <c r="EK718" s="1"/>
      <c r="EL718" s="1"/>
      <c r="EM718" s="1"/>
      <c r="EN718" s="1"/>
      <c r="EO718" s="1"/>
      <c r="EP718" s="1"/>
      <c r="EQ718" s="1"/>
      <c r="ER718" s="1"/>
      <c r="ES718" s="1"/>
      <c r="ET718" s="1"/>
      <c r="EU718" s="1"/>
      <c r="EV718" s="1"/>
      <c r="EW718" s="1"/>
      <c r="EX718" s="1"/>
      <c r="EY718" s="1"/>
      <c r="EZ718" s="1"/>
      <c r="FA718" s="1"/>
      <c r="FB718" s="1"/>
      <c r="FC718" s="1"/>
      <c r="FD718" s="1"/>
      <c r="FE718" s="1"/>
      <c r="FF718" s="1"/>
      <c r="FG718" s="1"/>
      <c r="FH718" s="1"/>
      <c r="FI718" s="1"/>
      <c r="FJ718" s="1"/>
      <c r="FK718" s="1"/>
      <c r="FL718" s="1"/>
      <c r="FM718" s="1"/>
      <c r="FN718" s="1"/>
      <c r="FO718" s="1"/>
      <c r="FP718" s="1"/>
      <c r="FQ718" s="1"/>
      <c r="FR718" s="2"/>
      <c r="FS718" s="1"/>
    </row>
    <row r="719" spans="1:175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R719" s="1"/>
      <c r="S719" s="1"/>
      <c r="T719" s="1"/>
      <c r="U719" s="1"/>
      <c r="V719" s="1"/>
      <c r="Y719" s="1"/>
      <c r="Z719" s="2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U719" s="1"/>
      <c r="AW719" s="1"/>
      <c r="AX719" s="1"/>
      <c r="AY719" s="1"/>
      <c r="AZ719" s="1"/>
      <c r="BA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  <c r="DC719" s="1"/>
      <c r="DD719" s="1"/>
      <c r="DE719" s="1"/>
      <c r="DF719" s="1"/>
      <c r="DG719" s="1"/>
      <c r="DH719" s="1"/>
      <c r="DI719" s="1"/>
      <c r="DJ719" s="1"/>
      <c r="DK719" s="1"/>
      <c r="DL719" s="1"/>
      <c r="DM719" s="1"/>
      <c r="DN719" s="1"/>
      <c r="DO719" s="1"/>
      <c r="DP719" s="1"/>
      <c r="DQ719" s="1"/>
      <c r="DR719" s="1"/>
      <c r="DS719" s="1"/>
      <c r="DT719" s="1"/>
      <c r="DU719" s="1"/>
      <c r="DV719" s="1"/>
      <c r="DW719" s="1"/>
      <c r="DX719" s="1"/>
      <c r="DY719" s="1"/>
      <c r="DZ719" s="1"/>
      <c r="EA719" s="1"/>
      <c r="EB719" s="1"/>
      <c r="EC719" s="1"/>
      <c r="ED719" s="1"/>
      <c r="EE719" s="1"/>
      <c r="EF719" s="1"/>
      <c r="EG719" s="1"/>
      <c r="EH719" s="1"/>
      <c r="EI719" s="1"/>
      <c r="EJ719" s="1"/>
      <c r="EK719" s="1"/>
      <c r="EL719" s="1"/>
      <c r="EM719" s="1"/>
      <c r="EN719" s="1"/>
      <c r="EO719" s="1"/>
      <c r="EP719" s="1"/>
      <c r="EQ719" s="1"/>
      <c r="ER719" s="1"/>
      <c r="ES719" s="1"/>
      <c r="ET719" s="1"/>
      <c r="EU719" s="1"/>
      <c r="EV719" s="1"/>
      <c r="EW719" s="1"/>
      <c r="EX719" s="1"/>
      <c r="EY719" s="1"/>
      <c r="EZ719" s="1"/>
      <c r="FA719" s="1"/>
      <c r="FB719" s="1"/>
      <c r="FC719" s="1"/>
      <c r="FD719" s="1"/>
      <c r="FE719" s="1"/>
      <c r="FF719" s="1"/>
      <c r="FG719" s="1"/>
      <c r="FH719" s="1"/>
      <c r="FI719" s="1"/>
      <c r="FJ719" s="1"/>
      <c r="FK719" s="1"/>
      <c r="FL719" s="1"/>
      <c r="FM719" s="1"/>
      <c r="FN719" s="1"/>
      <c r="FO719" s="1"/>
      <c r="FP719" s="1"/>
      <c r="FQ719" s="1"/>
      <c r="FR719" s="2"/>
      <c r="FS719" s="1"/>
    </row>
    <row r="720" spans="1:175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R720" s="1"/>
      <c r="S720" s="1"/>
      <c r="T720" s="1"/>
      <c r="U720" s="1"/>
      <c r="V720" s="1"/>
      <c r="Y720" s="1"/>
      <c r="Z720" s="2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U720" s="1"/>
      <c r="AW720" s="1"/>
      <c r="AX720" s="1"/>
      <c r="AY720" s="1"/>
      <c r="AZ720" s="1"/>
      <c r="BA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  <c r="DC720" s="1"/>
      <c r="DD720" s="1"/>
      <c r="DE720" s="1"/>
      <c r="DF720" s="1"/>
      <c r="DG720" s="1"/>
      <c r="DH720" s="1"/>
      <c r="DI720" s="1"/>
      <c r="DJ720" s="1"/>
      <c r="DK720" s="1"/>
      <c r="DL720" s="1"/>
      <c r="DM720" s="1"/>
      <c r="DN720" s="1"/>
      <c r="DO720" s="1"/>
      <c r="DP720" s="1"/>
      <c r="DQ720" s="1"/>
      <c r="DR720" s="1"/>
      <c r="DS720" s="1"/>
      <c r="DT720" s="1"/>
      <c r="DU720" s="1"/>
      <c r="DV720" s="1"/>
      <c r="DW720" s="1"/>
      <c r="DX720" s="1"/>
      <c r="DY720" s="1"/>
      <c r="DZ720" s="1"/>
      <c r="EA720" s="1"/>
      <c r="EB720" s="1"/>
      <c r="EC720" s="1"/>
      <c r="ED720" s="1"/>
      <c r="EE720" s="1"/>
      <c r="EF720" s="1"/>
      <c r="EG720" s="1"/>
      <c r="EH720" s="1"/>
      <c r="EI720" s="1"/>
      <c r="EJ720" s="1"/>
      <c r="EK720" s="1"/>
      <c r="EL720" s="1"/>
      <c r="EM720" s="1"/>
      <c r="EN720" s="1"/>
      <c r="EO720" s="1"/>
      <c r="EP720" s="1"/>
      <c r="EQ720" s="1"/>
      <c r="ER720" s="1"/>
      <c r="ES720" s="1"/>
      <c r="ET720" s="1"/>
      <c r="EU720" s="1"/>
      <c r="EV720" s="1"/>
      <c r="EW720" s="1"/>
      <c r="EX720" s="1"/>
      <c r="EY720" s="1"/>
      <c r="EZ720" s="1"/>
      <c r="FA720" s="1"/>
      <c r="FB720" s="1"/>
      <c r="FC720" s="1"/>
      <c r="FD720" s="1"/>
      <c r="FE720" s="1"/>
      <c r="FF720" s="1"/>
      <c r="FG720" s="1"/>
      <c r="FH720" s="1"/>
      <c r="FI720" s="1"/>
      <c r="FJ720" s="1"/>
      <c r="FK720" s="1"/>
      <c r="FL720" s="1"/>
      <c r="FM720" s="1"/>
      <c r="FN720" s="1"/>
      <c r="FO720" s="1"/>
      <c r="FP720" s="1"/>
      <c r="FQ720" s="1"/>
      <c r="FR720" s="2"/>
      <c r="FS720" s="1"/>
    </row>
    <row r="721" spans="1:175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R721" s="1"/>
      <c r="S721" s="1"/>
      <c r="T721" s="1"/>
      <c r="U721" s="1"/>
      <c r="V721" s="1"/>
      <c r="Y721" s="1"/>
      <c r="Z721" s="2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U721" s="1"/>
      <c r="AW721" s="1"/>
      <c r="AX721" s="1"/>
      <c r="AY721" s="1"/>
      <c r="AZ721" s="1"/>
      <c r="BA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  <c r="DC721" s="1"/>
      <c r="DD721" s="1"/>
      <c r="DE721" s="1"/>
      <c r="DF721" s="1"/>
      <c r="DG721" s="1"/>
      <c r="DH721" s="1"/>
      <c r="DI721" s="1"/>
      <c r="DJ721" s="1"/>
      <c r="DK721" s="1"/>
      <c r="DL721" s="1"/>
      <c r="DM721" s="1"/>
      <c r="DN721" s="1"/>
      <c r="DO721" s="1"/>
      <c r="DP721" s="1"/>
      <c r="DQ721" s="1"/>
      <c r="DR721" s="1"/>
      <c r="DS721" s="1"/>
      <c r="DT721" s="1"/>
      <c r="DU721" s="1"/>
      <c r="DV721" s="1"/>
      <c r="DW721" s="1"/>
      <c r="DX721" s="1"/>
      <c r="DY721" s="1"/>
      <c r="DZ721" s="1"/>
      <c r="EA721" s="1"/>
      <c r="EB721" s="1"/>
      <c r="EC721" s="1"/>
      <c r="ED721" s="1"/>
      <c r="EE721" s="1"/>
      <c r="EF721" s="1"/>
      <c r="EG721" s="1"/>
      <c r="EH721" s="1"/>
      <c r="EI721" s="1"/>
      <c r="EJ721" s="1"/>
      <c r="EK721" s="1"/>
      <c r="EL721" s="1"/>
      <c r="EM721" s="1"/>
      <c r="EN721" s="1"/>
      <c r="EO721" s="1"/>
      <c r="EP721" s="1"/>
      <c r="EQ721" s="1"/>
      <c r="ER721" s="1"/>
      <c r="ES721" s="1"/>
      <c r="ET721" s="1"/>
      <c r="EU721" s="1"/>
      <c r="EV721" s="1"/>
      <c r="EW721" s="1"/>
      <c r="EX721" s="1"/>
      <c r="EY721" s="1"/>
      <c r="EZ721" s="1"/>
      <c r="FA721" s="1"/>
      <c r="FB721" s="1"/>
      <c r="FC721" s="1"/>
      <c r="FD721" s="1"/>
      <c r="FE721" s="1"/>
      <c r="FF721" s="1"/>
      <c r="FG721" s="1"/>
      <c r="FH721" s="1"/>
      <c r="FI721" s="1"/>
      <c r="FJ721" s="1"/>
      <c r="FK721" s="1"/>
      <c r="FL721" s="1"/>
      <c r="FM721" s="1"/>
      <c r="FN721" s="1"/>
      <c r="FO721" s="1"/>
      <c r="FP721" s="1"/>
      <c r="FQ721" s="1"/>
      <c r="FR721" s="2"/>
      <c r="FS721" s="1"/>
    </row>
    <row r="722" spans="1:175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R722" s="1"/>
      <c r="S722" s="1"/>
      <c r="T722" s="1"/>
      <c r="U722" s="1"/>
      <c r="V722" s="1"/>
      <c r="Y722" s="1"/>
      <c r="Z722" s="2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U722" s="1"/>
      <c r="AW722" s="1"/>
      <c r="AX722" s="1"/>
      <c r="AY722" s="1"/>
      <c r="AZ722" s="1"/>
      <c r="BA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  <c r="DC722" s="1"/>
      <c r="DD722" s="1"/>
      <c r="DE722" s="1"/>
      <c r="DF722" s="1"/>
      <c r="DG722" s="1"/>
      <c r="DH722" s="1"/>
      <c r="DI722" s="1"/>
      <c r="DJ722" s="1"/>
      <c r="DK722" s="1"/>
      <c r="DL722" s="1"/>
      <c r="DM722" s="1"/>
      <c r="DN722" s="1"/>
      <c r="DO722" s="1"/>
      <c r="DP722" s="1"/>
      <c r="DQ722" s="1"/>
      <c r="DR722" s="1"/>
      <c r="DS722" s="1"/>
      <c r="DT722" s="1"/>
      <c r="DU722" s="1"/>
      <c r="DV722" s="1"/>
      <c r="DW722" s="1"/>
      <c r="DX722" s="1"/>
      <c r="DY722" s="1"/>
      <c r="DZ722" s="1"/>
      <c r="EA722" s="1"/>
      <c r="EB722" s="1"/>
      <c r="EC722" s="1"/>
      <c r="ED722" s="1"/>
      <c r="EE722" s="1"/>
      <c r="EF722" s="1"/>
      <c r="EG722" s="1"/>
      <c r="EH722" s="1"/>
      <c r="EI722" s="1"/>
      <c r="EJ722" s="1"/>
      <c r="EK722" s="1"/>
      <c r="EL722" s="1"/>
      <c r="EM722" s="1"/>
      <c r="EN722" s="1"/>
      <c r="EO722" s="1"/>
      <c r="EP722" s="1"/>
      <c r="EQ722" s="1"/>
      <c r="ER722" s="1"/>
      <c r="ES722" s="1"/>
      <c r="ET722" s="1"/>
      <c r="EU722" s="1"/>
      <c r="EV722" s="1"/>
      <c r="EW722" s="1"/>
      <c r="EX722" s="1"/>
      <c r="EY722" s="1"/>
      <c r="EZ722" s="1"/>
      <c r="FA722" s="1"/>
      <c r="FB722" s="1"/>
      <c r="FC722" s="1"/>
      <c r="FD722" s="1"/>
      <c r="FE722" s="1"/>
      <c r="FF722" s="1"/>
      <c r="FG722" s="1"/>
      <c r="FH722" s="1"/>
      <c r="FI722" s="1"/>
      <c r="FJ722" s="1"/>
      <c r="FK722" s="1"/>
      <c r="FL722" s="1"/>
      <c r="FM722" s="1"/>
      <c r="FN722" s="1"/>
      <c r="FO722" s="1"/>
      <c r="FP722" s="1"/>
      <c r="FQ722" s="1"/>
      <c r="FR722" s="2"/>
      <c r="FS722" s="1"/>
    </row>
    <row r="723" spans="1:175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R723" s="1"/>
      <c r="S723" s="1"/>
      <c r="T723" s="1"/>
      <c r="U723" s="1"/>
      <c r="V723" s="1"/>
      <c r="Y723" s="1"/>
      <c r="Z723" s="2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U723" s="1"/>
      <c r="AW723" s="1"/>
      <c r="AX723" s="1"/>
      <c r="AY723" s="1"/>
      <c r="AZ723" s="1"/>
      <c r="BA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  <c r="DC723" s="1"/>
      <c r="DD723" s="1"/>
      <c r="DE723" s="1"/>
      <c r="DF723" s="1"/>
      <c r="DG723" s="1"/>
      <c r="DH723" s="1"/>
      <c r="DI723" s="1"/>
      <c r="DJ723" s="1"/>
      <c r="DK723" s="1"/>
      <c r="DL723" s="1"/>
      <c r="DM723" s="1"/>
      <c r="DN723" s="1"/>
      <c r="DO723" s="1"/>
      <c r="DP723" s="1"/>
      <c r="DQ723" s="1"/>
      <c r="DR723" s="1"/>
      <c r="DS723" s="1"/>
      <c r="DT723" s="1"/>
      <c r="DU723" s="1"/>
      <c r="DV723" s="1"/>
      <c r="DW723" s="1"/>
      <c r="DX723" s="1"/>
      <c r="DY723" s="1"/>
      <c r="DZ723" s="1"/>
      <c r="EA723" s="1"/>
      <c r="EB723" s="1"/>
      <c r="EC723" s="1"/>
      <c r="ED723" s="1"/>
      <c r="EE723" s="1"/>
      <c r="EF723" s="1"/>
      <c r="EG723" s="1"/>
      <c r="EH723" s="1"/>
      <c r="EI723" s="1"/>
      <c r="EJ723" s="1"/>
      <c r="EK723" s="1"/>
      <c r="EL723" s="1"/>
      <c r="EM723" s="1"/>
      <c r="EN723" s="1"/>
      <c r="EO723" s="1"/>
      <c r="EP723" s="1"/>
      <c r="EQ723" s="1"/>
      <c r="ER723" s="1"/>
      <c r="ES723" s="1"/>
      <c r="ET723" s="1"/>
      <c r="EU723" s="1"/>
      <c r="EV723" s="1"/>
      <c r="EW723" s="1"/>
      <c r="EX723" s="1"/>
      <c r="EY723" s="1"/>
      <c r="EZ723" s="1"/>
      <c r="FA723" s="1"/>
      <c r="FB723" s="1"/>
      <c r="FC723" s="1"/>
      <c r="FD723" s="1"/>
      <c r="FE723" s="1"/>
      <c r="FF723" s="1"/>
      <c r="FG723" s="1"/>
      <c r="FH723" s="1"/>
      <c r="FI723" s="1"/>
      <c r="FJ723" s="1"/>
      <c r="FK723" s="1"/>
      <c r="FL723" s="1"/>
      <c r="FM723" s="1"/>
      <c r="FN723" s="1"/>
      <c r="FO723" s="1"/>
      <c r="FP723" s="1"/>
      <c r="FQ723" s="1"/>
      <c r="FR723" s="2"/>
      <c r="FS723" s="1"/>
    </row>
    <row r="724" spans="1:175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R724" s="1"/>
      <c r="S724" s="1"/>
      <c r="T724" s="1"/>
      <c r="U724" s="1"/>
      <c r="V724" s="1"/>
      <c r="Y724" s="1"/>
      <c r="Z724" s="2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U724" s="1"/>
      <c r="AW724" s="1"/>
      <c r="AX724" s="1"/>
      <c r="AY724" s="1"/>
      <c r="AZ724" s="1"/>
      <c r="BA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  <c r="DC724" s="1"/>
      <c r="DD724" s="1"/>
      <c r="DE724" s="1"/>
      <c r="DF724" s="1"/>
      <c r="DG724" s="1"/>
      <c r="DH724" s="1"/>
      <c r="DI724" s="1"/>
      <c r="DJ724" s="1"/>
      <c r="DK724" s="1"/>
      <c r="DL724" s="1"/>
      <c r="DM724" s="1"/>
      <c r="DN724" s="1"/>
      <c r="DO724" s="1"/>
      <c r="DP724" s="1"/>
      <c r="DQ724" s="1"/>
      <c r="DR724" s="1"/>
      <c r="DS724" s="1"/>
      <c r="DT724" s="1"/>
      <c r="DU724" s="1"/>
      <c r="DV724" s="1"/>
      <c r="DW724" s="1"/>
      <c r="DX724" s="1"/>
      <c r="DY724" s="1"/>
      <c r="DZ724" s="1"/>
      <c r="EA724" s="1"/>
      <c r="EB724" s="1"/>
      <c r="EC724" s="1"/>
      <c r="ED724" s="1"/>
      <c r="EE724" s="1"/>
      <c r="EF724" s="1"/>
      <c r="EG724" s="1"/>
      <c r="EH724" s="1"/>
      <c r="EI724" s="1"/>
      <c r="EJ724" s="1"/>
      <c r="EK724" s="1"/>
      <c r="EL724" s="1"/>
      <c r="EM724" s="1"/>
      <c r="EN724" s="1"/>
      <c r="EO724" s="1"/>
      <c r="EP724" s="1"/>
      <c r="EQ724" s="1"/>
      <c r="ER724" s="1"/>
      <c r="ES724" s="1"/>
      <c r="ET724" s="1"/>
      <c r="EU724" s="1"/>
      <c r="EV724" s="1"/>
      <c r="EW724" s="1"/>
      <c r="EX724" s="1"/>
      <c r="EY724" s="1"/>
      <c r="EZ724" s="1"/>
      <c r="FA724" s="1"/>
      <c r="FB724" s="1"/>
      <c r="FC724" s="1"/>
      <c r="FD724" s="1"/>
      <c r="FE724" s="1"/>
      <c r="FF724" s="1"/>
      <c r="FG724" s="1"/>
      <c r="FH724" s="1"/>
      <c r="FI724" s="1"/>
      <c r="FJ724" s="1"/>
      <c r="FK724" s="1"/>
      <c r="FL724" s="1"/>
      <c r="FM724" s="1"/>
      <c r="FN724" s="1"/>
      <c r="FO724" s="1"/>
      <c r="FP724" s="1"/>
      <c r="FQ724" s="1"/>
      <c r="FR724" s="2"/>
      <c r="FS724" s="1"/>
    </row>
    <row r="725" spans="1:175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R725" s="1"/>
      <c r="S725" s="1"/>
      <c r="T725" s="1"/>
      <c r="U725" s="1"/>
      <c r="V725" s="1"/>
      <c r="Y725" s="1"/>
      <c r="Z725" s="2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U725" s="1"/>
      <c r="AW725" s="1"/>
      <c r="AX725" s="1"/>
      <c r="AY725" s="1"/>
      <c r="AZ725" s="1"/>
      <c r="BA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  <c r="DC725" s="1"/>
      <c r="DD725" s="1"/>
      <c r="DE725" s="1"/>
      <c r="DF725" s="1"/>
      <c r="DG725" s="1"/>
      <c r="DH725" s="1"/>
      <c r="DI725" s="1"/>
      <c r="DJ725" s="1"/>
      <c r="DK725" s="1"/>
      <c r="DL725" s="1"/>
      <c r="DM725" s="1"/>
      <c r="DN725" s="1"/>
      <c r="DO725" s="1"/>
      <c r="DP725" s="1"/>
      <c r="DQ725" s="1"/>
      <c r="DR725" s="1"/>
      <c r="DS725" s="1"/>
      <c r="DT725" s="1"/>
      <c r="DU725" s="1"/>
      <c r="DV725" s="1"/>
      <c r="DW725" s="1"/>
      <c r="DX725" s="1"/>
      <c r="DY725" s="1"/>
      <c r="DZ725" s="1"/>
      <c r="EA725" s="1"/>
      <c r="EB725" s="1"/>
      <c r="EC725" s="1"/>
      <c r="ED725" s="1"/>
      <c r="EE725" s="1"/>
      <c r="EF725" s="1"/>
      <c r="EG725" s="1"/>
      <c r="EH725" s="1"/>
      <c r="EI725" s="1"/>
      <c r="EJ725" s="1"/>
      <c r="EK725" s="1"/>
      <c r="EL725" s="1"/>
      <c r="EM725" s="1"/>
      <c r="EN725" s="1"/>
      <c r="EO725" s="1"/>
      <c r="EP725" s="1"/>
      <c r="EQ725" s="1"/>
      <c r="ER725" s="1"/>
      <c r="ES725" s="1"/>
      <c r="ET725" s="1"/>
      <c r="EU725" s="1"/>
      <c r="EV725" s="1"/>
      <c r="EW725" s="1"/>
      <c r="EX725" s="1"/>
      <c r="EY725" s="1"/>
      <c r="EZ725" s="1"/>
      <c r="FA725" s="1"/>
      <c r="FB725" s="1"/>
      <c r="FC725" s="1"/>
      <c r="FD725" s="1"/>
      <c r="FE725" s="1"/>
      <c r="FF725" s="1"/>
      <c r="FG725" s="1"/>
      <c r="FH725" s="1"/>
      <c r="FI725" s="1"/>
      <c r="FJ725" s="1"/>
      <c r="FK725" s="1"/>
      <c r="FL725" s="1"/>
      <c r="FM725" s="1"/>
      <c r="FN725" s="1"/>
      <c r="FO725" s="1"/>
      <c r="FP725" s="1"/>
      <c r="FQ725" s="1"/>
      <c r="FR725" s="2"/>
      <c r="FS725" s="1"/>
    </row>
    <row r="726" spans="1:175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R726" s="1"/>
      <c r="S726" s="1"/>
      <c r="T726" s="1"/>
      <c r="U726" s="1"/>
      <c r="V726" s="1"/>
      <c r="Y726" s="1"/>
      <c r="Z726" s="2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U726" s="1"/>
      <c r="AW726" s="1"/>
      <c r="AX726" s="1"/>
      <c r="AY726" s="1"/>
      <c r="AZ726" s="1"/>
      <c r="BA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  <c r="DC726" s="1"/>
      <c r="DD726" s="1"/>
      <c r="DE726" s="1"/>
      <c r="DF726" s="1"/>
      <c r="DG726" s="1"/>
      <c r="DH726" s="1"/>
      <c r="DI726" s="1"/>
      <c r="DJ726" s="1"/>
      <c r="DK726" s="1"/>
      <c r="DL726" s="1"/>
      <c r="DM726" s="1"/>
      <c r="DN726" s="1"/>
      <c r="DO726" s="1"/>
      <c r="DP726" s="1"/>
      <c r="DQ726" s="1"/>
      <c r="DR726" s="1"/>
      <c r="DS726" s="1"/>
      <c r="DT726" s="1"/>
      <c r="DU726" s="1"/>
      <c r="DV726" s="1"/>
      <c r="DW726" s="1"/>
      <c r="DX726" s="1"/>
      <c r="DY726" s="1"/>
      <c r="DZ726" s="1"/>
      <c r="EA726" s="1"/>
      <c r="EB726" s="1"/>
      <c r="EC726" s="1"/>
      <c r="ED726" s="1"/>
      <c r="EE726" s="1"/>
      <c r="EF726" s="1"/>
      <c r="EG726" s="1"/>
      <c r="EH726" s="1"/>
      <c r="EI726" s="1"/>
      <c r="EJ726" s="1"/>
      <c r="EK726" s="1"/>
      <c r="EL726" s="1"/>
      <c r="EM726" s="1"/>
      <c r="EN726" s="1"/>
      <c r="EO726" s="1"/>
      <c r="EP726" s="1"/>
      <c r="EQ726" s="1"/>
      <c r="ER726" s="1"/>
      <c r="ES726" s="1"/>
      <c r="ET726" s="1"/>
      <c r="EU726" s="1"/>
      <c r="EV726" s="1"/>
      <c r="EW726" s="1"/>
      <c r="EX726" s="1"/>
      <c r="EY726" s="1"/>
      <c r="EZ726" s="1"/>
      <c r="FA726" s="1"/>
      <c r="FB726" s="1"/>
      <c r="FC726" s="1"/>
      <c r="FD726" s="1"/>
      <c r="FE726" s="1"/>
      <c r="FF726" s="1"/>
      <c r="FG726" s="1"/>
      <c r="FH726" s="1"/>
      <c r="FI726" s="1"/>
      <c r="FJ726" s="1"/>
      <c r="FK726" s="1"/>
      <c r="FL726" s="1"/>
      <c r="FM726" s="1"/>
      <c r="FN726" s="1"/>
      <c r="FO726" s="1"/>
      <c r="FP726" s="1"/>
      <c r="FQ726" s="1"/>
      <c r="FR726" s="2"/>
      <c r="FS726" s="1"/>
    </row>
    <row r="727" spans="1:175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R727" s="1"/>
      <c r="S727" s="1"/>
      <c r="T727" s="1"/>
      <c r="U727" s="1"/>
      <c r="V727" s="1"/>
      <c r="Y727" s="1"/>
      <c r="Z727" s="2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U727" s="1"/>
      <c r="AW727" s="1"/>
      <c r="AX727" s="1"/>
      <c r="AY727" s="1"/>
      <c r="AZ727" s="1"/>
      <c r="BA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  <c r="DC727" s="1"/>
      <c r="DD727" s="1"/>
      <c r="DE727" s="1"/>
      <c r="DF727" s="1"/>
      <c r="DG727" s="1"/>
      <c r="DH727" s="1"/>
      <c r="DI727" s="1"/>
      <c r="DJ727" s="1"/>
      <c r="DK727" s="1"/>
      <c r="DL727" s="1"/>
      <c r="DM727" s="1"/>
      <c r="DN727" s="1"/>
      <c r="DO727" s="1"/>
      <c r="DP727" s="1"/>
      <c r="DQ727" s="1"/>
      <c r="DR727" s="1"/>
      <c r="DS727" s="1"/>
      <c r="DT727" s="1"/>
      <c r="DU727" s="1"/>
      <c r="DV727" s="1"/>
      <c r="DW727" s="1"/>
      <c r="DX727" s="1"/>
      <c r="DY727" s="1"/>
      <c r="DZ727" s="1"/>
      <c r="EA727" s="1"/>
      <c r="EB727" s="1"/>
      <c r="EC727" s="1"/>
      <c r="ED727" s="1"/>
      <c r="EE727" s="1"/>
      <c r="EF727" s="1"/>
      <c r="EG727" s="1"/>
      <c r="EH727" s="1"/>
      <c r="EI727" s="1"/>
      <c r="EJ727" s="1"/>
      <c r="EK727" s="1"/>
      <c r="EL727" s="1"/>
      <c r="EM727" s="1"/>
      <c r="EN727" s="1"/>
      <c r="EO727" s="1"/>
      <c r="EP727" s="1"/>
      <c r="EQ727" s="1"/>
      <c r="ER727" s="1"/>
      <c r="ES727" s="1"/>
      <c r="ET727" s="1"/>
      <c r="EU727" s="1"/>
      <c r="EV727" s="1"/>
      <c r="EW727" s="1"/>
      <c r="EX727" s="1"/>
      <c r="EY727" s="1"/>
      <c r="EZ727" s="1"/>
      <c r="FA727" s="1"/>
      <c r="FB727" s="1"/>
      <c r="FC727" s="1"/>
      <c r="FD727" s="1"/>
      <c r="FE727" s="1"/>
      <c r="FF727" s="1"/>
      <c r="FG727" s="1"/>
      <c r="FH727" s="1"/>
      <c r="FI727" s="1"/>
      <c r="FJ727" s="1"/>
      <c r="FK727" s="1"/>
      <c r="FL727" s="1"/>
      <c r="FM727" s="1"/>
      <c r="FN727" s="1"/>
      <c r="FO727" s="1"/>
      <c r="FP727" s="1"/>
      <c r="FQ727" s="1"/>
      <c r="FR727" s="2"/>
      <c r="FS727" s="1"/>
    </row>
    <row r="728" spans="1:175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R728" s="1"/>
      <c r="S728" s="1"/>
      <c r="T728" s="1"/>
      <c r="U728" s="1"/>
      <c r="V728" s="1"/>
      <c r="Y728" s="1"/>
      <c r="Z728" s="2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U728" s="1"/>
      <c r="AW728" s="1"/>
      <c r="AX728" s="1"/>
      <c r="AY728" s="1"/>
      <c r="AZ728" s="1"/>
      <c r="BA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  <c r="DC728" s="1"/>
      <c r="DD728" s="1"/>
      <c r="DE728" s="1"/>
      <c r="DF728" s="1"/>
      <c r="DG728" s="1"/>
      <c r="DH728" s="1"/>
      <c r="DI728" s="1"/>
      <c r="DJ728" s="1"/>
      <c r="DK728" s="1"/>
      <c r="DL728" s="1"/>
      <c r="DM728" s="1"/>
      <c r="DN728" s="1"/>
      <c r="DO728" s="1"/>
      <c r="DP728" s="1"/>
      <c r="DQ728" s="1"/>
      <c r="DR728" s="1"/>
      <c r="DS728" s="1"/>
      <c r="DT728" s="1"/>
      <c r="DU728" s="1"/>
      <c r="DV728" s="1"/>
      <c r="DW728" s="1"/>
      <c r="DX728" s="1"/>
      <c r="DY728" s="1"/>
      <c r="DZ728" s="1"/>
      <c r="EA728" s="1"/>
      <c r="EB728" s="1"/>
      <c r="EC728" s="1"/>
      <c r="ED728" s="1"/>
      <c r="EE728" s="1"/>
      <c r="EF728" s="1"/>
      <c r="EG728" s="1"/>
      <c r="EH728" s="1"/>
      <c r="EI728" s="1"/>
      <c r="EJ728" s="1"/>
      <c r="EK728" s="1"/>
      <c r="EL728" s="1"/>
      <c r="EM728" s="1"/>
      <c r="EN728" s="1"/>
      <c r="EO728" s="1"/>
      <c r="EP728" s="1"/>
      <c r="EQ728" s="1"/>
      <c r="ER728" s="1"/>
      <c r="ES728" s="1"/>
      <c r="ET728" s="1"/>
      <c r="EU728" s="1"/>
      <c r="EV728" s="1"/>
      <c r="EW728" s="1"/>
      <c r="EX728" s="1"/>
      <c r="EY728" s="1"/>
      <c r="EZ728" s="1"/>
      <c r="FA728" s="1"/>
      <c r="FB728" s="1"/>
      <c r="FC728" s="1"/>
      <c r="FD728" s="1"/>
      <c r="FE728" s="1"/>
      <c r="FF728" s="1"/>
      <c r="FG728" s="1"/>
      <c r="FH728" s="1"/>
      <c r="FI728" s="1"/>
      <c r="FJ728" s="1"/>
      <c r="FK728" s="1"/>
      <c r="FL728" s="1"/>
      <c r="FM728" s="1"/>
      <c r="FN728" s="1"/>
      <c r="FO728" s="1"/>
      <c r="FP728" s="1"/>
      <c r="FQ728" s="1"/>
      <c r="FR728" s="2"/>
      <c r="FS728" s="1"/>
    </row>
    <row r="729" spans="1:175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R729" s="1"/>
      <c r="S729" s="1"/>
      <c r="T729" s="1"/>
      <c r="U729" s="1"/>
      <c r="V729" s="1"/>
      <c r="Y729" s="1"/>
      <c r="Z729" s="2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U729" s="1"/>
      <c r="AW729" s="1"/>
      <c r="AX729" s="1"/>
      <c r="AY729" s="1"/>
      <c r="AZ729" s="1"/>
      <c r="BA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  <c r="DC729" s="1"/>
      <c r="DD729" s="1"/>
      <c r="DE729" s="1"/>
      <c r="DF729" s="1"/>
      <c r="DG729" s="1"/>
      <c r="DH729" s="1"/>
      <c r="DI729" s="1"/>
      <c r="DJ729" s="1"/>
      <c r="DK729" s="1"/>
      <c r="DL729" s="1"/>
      <c r="DM729" s="1"/>
      <c r="DN729" s="1"/>
      <c r="DO729" s="1"/>
      <c r="DP729" s="1"/>
      <c r="DQ729" s="1"/>
      <c r="DR729" s="1"/>
      <c r="DS729" s="1"/>
      <c r="DT729" s="1"/>
      <c r="DU729" s="1"/>
      <c r="DV729" s="1"/>
      <c r="DW729" s="1"/>
      <c r="DX729" s="1"/>
      <c r="DY729" s="1"/>
      <c r="DZ729" s="1"/>
      <c r="EA729" s="1"/>
      <c r="EB729" s="1"/>
      <c r="EC729" s="1"/>
      <c r="ED729" s="1"/>
      <c r="EE729" s="1"/>
      <c r="EF729" s="1"/>
      <c r="EG729" s="1"/>
      <c r="EH729" s="1"/>
      <c r="EI729" s="1"/>
      <c r="EJ729" s="1"/>
      <c r="EK729" s="1"/>
      <c r="EL729" s="1"/>
      <c r="EM729" s="1"/>
      <c r="EN729" s="1"/>
      <c r="EO729" s="1"/>
      <c r="EP729" s="1"/>
      <c r="EQ729" s="1"/>
      <c r="ER729" s="1"/>
      <c r="ES729" s="1"/>
      <c r="ET729" s="1"/>
      <c r="EU729" s="1"/>
      <c r="EV729" s="1"/>
      <c r="EW729" s="1"/>
      <c r="EX729" s="1"/>
      <c r="EY729" s="1"/>
      <c r="EZ729" s="1"/>
      <c r="FA729" s="1"/>
      <c r="FB729" s="1"/>
      <c r="FC729" s="1"/>
      <c r="FD729" s="1"/>
      <c r="FE729" s="1"/>
      <c r="FF729" s="1"/>
      <c r="FG729" s="1"/>
      <c r="FH729" s="1"/>
      <c r="FI729" s="1"/>
      <c r="FJ729" s="1"/>
      <c r="FK729" s="1"/>
      <c r="FL729" s="1"/>
      <c r="FM729" s="1"/>
      <c r="FN729" s="1"/>
      <c r="FO729" s="1"/>
      <c r="FP729" s="1"/>
      <c r="FQ729" s="1"/>
      <c r="FR729" s="2"/>
      <c r="FS729" s="1"/>
    </row>
    <row r="730" spans="1:175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R730" s="1"/>
      <c r="S730" s="1"/>
      <c r="T730" s="1"/>
      <c r="U730" s="1"/>
      <c r="V730" s="1"/>
      <c r="Y730" s="1"/>
      <c r="Z730" s="2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U730" s="1"/>
      <c r="AW730" s="1"/>
      <c r="AX730" s="1"/>
      <c r="AY730" s="1"/>
      <c r="AZ730" s="1"/>
      <c r="BA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  <c r="DC730" s="1"/>
      <c r="DD730" s="1"/>
      <c r="DE730" s="1"/>
      <c r="DF730" s="1"/>
      <c r="DG730" s="1"/>
      <c r="DH730" s="1"/>
      <c r="DI730" s="1"/>
      <c r="DJ730" s="1"/>
      <c r="DK730" s="1"/>
      <c r="DL730" s="1"/>
      <c r="DM730" s="1"/>
      <c r="DN730" s="1"/>
      <c r="DO730" s="1"/>
      <c r="DP730" s="1"/>
      <c r="DQ730" s="1"/>
      <c r="DR730" s="1"/>
      <c r="DS730" s="1"/>
      <c r="DT730" s="1"/>
      <c r="DU730" s="1"/>
      <c r="DV730" s="1"/>
      <c r="DW730" s="1"/>
      <c r="DX730" s="1"/>
      <c r="DY730" s="1"/>
      <c r="DZ730" s="1"/>
      <c r="EA730" s="1"/>
      <c r="EB730" s="1"/>
      <c r="EC730" s="1"/>
      <c r="ED730" s="1"/>
      <c r="EE730" s="1"/>
      <c r="EF730" s="1"/>
      <c r="EG730" s="1"/>
      <c r="EH730" s="1"/>
      <c r="EI730" s="1"/>
      <c r="EJ730" s="1"/>
      <c r="EK730" s="1"/>
      <c r="EL730" s="1"/>
      <c r="EM730" s="1"/>
      <c r="EN730" s="1"/>
      <c r="EO730" s="1"/>
      <c r="EP730" s="1"/>
      <c r="EQ730" s="1"/>
      <c r="ER730" s="1"/>
      <c r="ES730" s="1"/>
      <c r="ET730" s="1"/>
      <c r="EU730" s="1"/>
      <c r="EV730" s="1"/>
      <c r="EW730" s="1"/>
      <c r="EX730" s="1"/>
      <c r="EY730" s="1"/>
      <c r="EZ730" s="1"/>
      <c r="FA730" s="1"/>
      <c r="FB730" s="1"/>
      <c r="FC730" s="1"/>
      <c r="FD730" s="1"/>
      <c r="FE730" s="1"/>
      <c r="FF730" s="1"/>
      <c r="FG730" s="1"/>
      <c r="FH730" s="1"/>
      <c r="FI730" s="1"/>
      <c r="FJ730" s="1"/>
      <c r="FK730" s="1"/>
      <c r="FL730" s="1"/>
      <c r="FM730" s="1"/>
      <c r="FN730" s="1"/>
      <c r="FO730" s="1"/>
      <c r="FP730" s="1"/>
      <c r="FQ730" s="1"/>
      <c r="FR730" s="2"/>
      <c r="FS730" s="1"/>
    </row>
    <row r="731" spans="1:175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R731" s="1"/>
      <c r="S731" s="1"/>
      <c r="T731" s="1"/>
      <c r="U731" s="1"/>
      <c r="V731" s="1"/>
      <c r="Y731" s="1"/>
      <c r="Z731" s="2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U731" s="1"/>
      <c r="AW731" s="1"/>
      <c r="AX731" s="1"/>
      <c r="AY731" s="1"/>
      <c r="AZ731" s="1"/>
      <c r="BA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  <c r="DC731" s="1"/>
      <c r="DD731" s="1"/>
      <c r="DE731" s="1"/>
      <c r="DF731" s="1"/>
      <c r="DG731" s="1"/>
      <c r="DH731" s="1"/>
      <c r="DI731" s="1"/>
      <c r="DJ731" s="1"/>
      <c r="DK731" s="1"/>
      <c r="DL731" s="1"/>
      <c r="DM731" s="1"/>
      <c r="DN731" s="1"/>
      <c r="DO731" s="1"/>
      <c r="DP731" s="1"/>
      <c r="DQ731" s="1"/>
      <c r="DR731" s="1"/>
      <c r="DS731" s="1"/>
      <c r="DT731" s="1"/>
      <c r="DU731" s="1"/>
      <c r="DV731" s="1"/>
      <c r="DW731" s="1"/>
      <c r="DX731" s="1"/>
      <c r="DY731" s="1"/>
      <c r="DZ731" s="1"/>
      <c r="EA731" s="1"/>
      <c r="EB731" s="1"/>
      <c r="EC731" s="1"/>
      <c r="ED731" s="1"/>
      <c r="EE731" s="1"/>
      <c r="EF731" s="1"/>
      <c r="EG731" s="1"/>
      <c r="EH731" s="1"/>
      <c r="EI731" s="1"/>
      <c r="EJ731" s="1"/>
      <c r="EK731" s="1"/>
      <c r="EL731" s="1"/>
      <c r="EM731" s="1"/>
      <c r="EN731" s="1"/>
      <c r="EO731" s="1"/>
      <c r="EP731" s="1"/>
      <c r="EQ731" s="1"/>
      <c r="ER731" s="1"/>
      <c r="ES731" s="1"/>
      <c r="ET731" s="1"/>
      <c r="EU731" s="1"/>
      <c r="EV731" s="1"/>
      <c r="EW731" s="1"/>
      <c r="EX731" s="1"/>
      <c r="EY731" s="1"/>
      <c r="EZ731" s="1"/>
      <c r="FA731" s="1"/>
      <c r="FB731" s="1"/>
      <c r="FC731" s="1"/>
      <c r="FD731" s="1"/>
      <c r="FE731" s="1"/>
      <c r="FF731" s="1"/>
      <c r="FG731" s="1"/>
      <c r="FH731" s="1"/>
      <c r="FI731" s="1"/>
      <c r="FJ731" s="1"/>
      <c r="FK731" s="1"/>
      <c r="FL731" s="1"/>
      <c r="FM731" s="1"/>
      <c r="FN731" s="1"/>
      <c r="FO731" s="1"/>
      <c r="FP731" s="1"/>
      <c r="FQ731" s="1"/>
      <c r="FR731" s="2"/>
      <c r="FS731" s="1"/>
    </row>
    <row r="732" spans="1:175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R732" s="1"/>
      <c r="S732" s="1"/>
      <c r="T732" s="1"/>
      <c r="U732" s="1"/>
      <c r="V732" s="1"/>
      <c r="Y732" s="1"/>
      <c r="Z732" s="2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U732" s="1"/>
      <c r="AW732" s="1"/>
      <c r="AX732" s="1"/>
      <c r="AY732" s="1"/>
      <c r="AZ732" s="1"/>
      <c r="BA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  <c r="DC732" s="1"/>
      <c r="DD732" s="1"/>
      <c r="DE732" s="1"/>
      <c r="DF732" s="1"/>
      <c r="DG732" s="1"/>
      <c r="DH732" s="1"/>
      <c r="DI732" s="1"/>
      <c r="DJ732" s="1"/>
      <c r="DK732" s="1"/>
      <c r="DL732" s="1"/>
      <c r="DM732" s="1"/>
      <c r="DN732" s="1"/>
      <c r="DO732" s="1"/>
      <c r="DP732" s="1"/>
      <c r="DQ732" s="1"/>
      <c r="DR732" s="1"/>
      <c r="DS732" s="1"/>
      <c r="DT732" s="1"/>
      <c r="DU732" s="1"/>
      <c r="DV732" s="1"/>
      <c r="DW732" s="1"/>
      <c r="DX732" s="1"/>
      <c r="DY732" s="1"/>
      <c r="DZ732" s="1"/>
      <c r="EA732" s="1"/>
      <c r="EB732" s="1"/>
      <c r="EC732" s="1"/>
      <c r="ED732" s="1"/>
      <c r="EE732" s="1"/>
      <c r="EF732" s="1"/>
      <c r="EG732" s="1"/>
      <c r="EH732" s="1"/>
      <c r="EI732" s="1"/>
      <c r="EJ732" s="1"/>
      <c r="EK732" s="1"/>
      <c r="EL732" s="1"/>
      <c r="EM732" s="1"/>
      <c r="EN732" s="1"/>
      <c r="EO732" s="1"/>
      <c r="EP732" s="1"/>
      <c r="EQ732" s="1"/>
      <c r="ER732" s="1"/>
      <c r="ES732" s="1"/>
      <c r="ET732" s="1"/>
      <c r="EU732" s="1"/>
      <c r="EV732" s="1"/>
      <c r="EW732" s="1"/>
      <c r="EX732" s="1"/>
      <c r="EY732" s="1"/>
      <c r="EZ732" s="1"/>
      <c r="FA732" s="1"/>
      <c r="FB732" s="1"/>
      <c r="FC732" s="1"/>
      <c r="FD732" s="1"/>
      <c r="FE732" s="1"/>
      <c r="FF732" s="1"/>
      <c r="FG732" s="1"/>
      <c r="FH732" s="1"/>
      <c r="FI732" s="1"/>
      <c r="FJ732" s="1"/>
      <c r="FK732" s="1"/>
      <c r="FL732" s="1"/>
      <c r="FM732" s="1"/>
      <c r="FN732" s="1"/>
      <c r="FO732" s="1"/>
      <c r="FP732" s="1"/>
      <c r="FQ732" s="1"/>
      <c r="FR732" s="2"/>
      <c r="FS732" s="1"/>
    </row>
    <row r="733" spans="1:175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R733" s="1"/>
      <c r="S733" s="1"/>
      <c r="T733" s="1"/>
      <c r="U733" s="1"/>
      <c r="V733" s="1"/>
      <c r="Y733" s="1"/>
      <c r="Z733" s="2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U733" s="1"/>
      <c r="AW733" s="1"/>
      <c r="AX733" s="1"/>
      <c r="AY733" s="1"/>
      <c r="AZ733" s="1"/>
      <c r="BA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  <c r="DC733" s="1"/>
      <c r="DD733" s="1"/>
      <c r="DE733" s="1"/>
      <c r="DF733" s="1"/>
      <c r="DG733" s="1"/>
      <c r="DH733" s="1"/>
      <c r="DI733" s="1"/>
      <c r="DJ733" s="1"/>
      <c r="DK733" s="1"/>
      <c r="DL733" s="1"/>
      <c r="DM733" s="1"/>
      <c r="DN733" s="1"/>
      <c r="DO733" s="1"/>
      <c r="DP733" s="1"/>
      <c r="DQ733" s="1"/>
      <c r="DR733" s="1"/>
      <c r="DS733" s="1"/>
      <c r="DT733" s="1"/>
      <c r="DU733" s="1"/>
      <c r="DV733" s="1"/>
      <c r="DW733" s="1"/>
      <c r="DX733" s="1"/>
      <c r="DY733" s="1"/>
      <c r="DZ733" s="1"/>
      <c r="EA733" s="1"/>
      <c r="EB733" s="1"/>
      <c r="EC733" s="1"/>
      <c r="ED733" s="1"/>
      <c r="EE733" s="1"/>
      <c r="EF733" s="1"/>
      <c r="EG733" s="1"/>
      <c r="EH733" s="1"/>
      <c r="EI733" s="1"/>
      <c r="EJ733" s="1"/>
      <c r="EK733" s="1"/>
      <c r="EL733" s="1"/>
      <c r="EM733" s="1"/>
      <c r="EN733" s="1"/>
      <c r="EO733" s="1"/>
      <c r="EP733" s="1"/>
      <c r="EQ733" s="1"/>
      <c r="ER733" s="1"/>
      <c r="ES733" s="1"/>
      <c r="ET733" s="1"/>
      <c r="EU733" s="1"/>
      <c r="EV733" s="1"/>
      <c r="EW733" s="1"/>
      <c r="EX733" s="1"/>
      <c r="EY733" s="1"/>
      <c r="EZ733" s="1"/>
      <c r="FA733" s="1"/>
      <c r="FB733" s="1"/>
      <c r="FC733" s="1"/>
      <c r="FD733" s="1"/>
      <c r="FE733" s="1"/>
      <c r="FF733" s="1"/>
      <c r="FG733" s="1"/>
      <c r="FH733" s="1"/>
      <c r="FI733" s="1"/>
      <c r="FJ733" s="1"/>
      <c r="FK733" s="1"/>
      <c r="FL733" s="1"/>
      <c r="FM733" s="1"/>
      <c r="FN733" s="1"/>
      <c r="FO733" s="1"/>
      <c r="FP733" s="1"/>
      <c r="FQ733" s="1"/>
      <c r="FR733" s="2"/>
      <c r="FS733" s="1"/>
    </row>
    <row r="734" spans="1:175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R734" s="1"/>
      <c r="S734" s="1"/>
      <c r="T734" s="1"/>
      <c r="U734" s="1"/>
      <c r="V734" s="1"/>
      <c r="Y734" s="1"/>
      <c r="Z734" s="2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U734" s="1"/>
      <c r="AW734" s="1"/>
      <c r="AX734" s="1"/>
      <c r="AY734" s="1"/>
      <c r="AZ734" s="1"/>
      <c r="BA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  <c r="DC734" s="1"/>
      <c r="DD734" s="1"/>
      <c r="DE734" s="1"/>
      <c r="DF734" s="1"/>
      <c r="DG734" s="1"/>
      <c r="DH734" s="1"/>
      <c r="DI734" s="1"/>
      <c r="DJ734" s="1"/>
      <c r="DK734" s="1"/>
      <c r="DL734" s="1"/>
      <c r="DM734" s="1"/>
      <c r="DN734" s="1"/>
      <c r="DO734" s="1"/>
      <c r="DP734" s="1"/>
      <c r="DQ734" s="1"/>
      <c r="DR734" s="1"/>
      <c r="DS734" s="1"/>
      <c r="DT734" s="1"/>
      <c r="DU734" s="1"/>
      <c r="DV734" s="1"/>
      <c r="DW734" s="1"/>
      <c r="DX734" s="1"/>
      <c r="DY734" s="1"/>
      <c r="DZ734" s="1"/>
      <c r="EA734" s="1"/>
      <c r="EB734" s="1"/>
      <c r="EC734" s="1"/>
      <c r="ED734" s="1"/>
      <c r="EE734" s="1"/>
      <c r="EF734" s="1"/>
      <c r="EG734" s="1"/>
      <c r="EH734" s="1"/>
      <c r="EI734" s="1"/>
      <c r="EJ734" s="1"/>
      <c r="EK734" s="1"/>
      <c r="EL734" s="1"/>
      <c r="EM734" s="1"/>
      <c r="EN734" s="1"/>
      <c r="EO734" s="1"/>
      <c r="EP734" s="1"/>
      <c r="EQ734" s="1"/>
      <c r="ER734" s="1"/>
      <c r="ES734" s="1"/>
      <c r="ET734" s="1"/>
      <c r="EU734" s="1"/>
      <c r="EV734" s="1"/>
      <c r="EW734" s="1"/>
      <c r="EX734" s="1"/>
      <c r="EY734" s="1"/>
      <c r="EZ734" s="1"/>
      <c r="FA734" s="1"/>
      <c r="FB734" s="1"/>
      <c r="FC734" s="1"/>
      <c r="FD734" s="1"/>
      <c r="FE734" s="1"/>
      <c r="FF734" s="1"/>
      <c r="FG734" s="1"/>
      <c r="FH734" s="1"/>
      <c r="FI734" s="1"/>
      <c r="FJ734" s="1"/>
      <c r="FK734" s="1"/>
      <c r="FL734" s="1"/>
      <c r="FM734" s="1"/>
      <c r="FN734" s="1"/>
      <c r="FO734" s="1"/>
      <c r="FP734" s="1"/>
      <c r="FQ734" s="1"/>
      <c r="FR734" s="2"/>
      <c r="FS734" s="1"/>
    </row>
    <row r="735" spans="1:175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R735" s="1"/>
      <c r="S735" s="1"/>
      <c r="T735" s="1"/>
      <c r="U735" s="1"/>
      <c r="V735" s="1"/>
      <c r="Y735" s="1"/>
      <c r="Z735" s="2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U735" s="1"/>
      <c r="AW735" s="1"/>
      <c r="AX735" s="1"/>
      <c r="AY735" s="1"/>
      <c r="AZ735" s="1"/>
      <c r="BA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  <c r="DC735" s="1"/>
      <c r="DD735" s="1"/>
      <c r="DE735" s="1"/>
      <c r="DF735" s="1"/>
      <c r="DG735" s="1"/>
      <c r="DH735" s="1"/>
      <c r="DI735" s="1"/>
      <c r="DJ735" s="1"/>
      <c r="DK735" s="1"/>
      <c r="DL735" s="1"/>
      <c r="DM735" s="1"/>
      <c r="DN735" s="1"/>
      <c r="DO735" s="1"/>
      <c r="DP735" s="1"/>
      <c r="DQ735" s="1"/>
      <c r="DR735" s="1"/>
      <c r="DS735" s="1"/>
      <c r="DT735" s="1"/>
      <c r="DU735" s="1"/>
      <c r="DV735" s="1"/>
      <c r="DW735" s="1"/>
      <c r="DX735" s="1"/>
      <c r="DY735" s="1"/>
      <c r="DZ735" s="1"/>
      <c r="EA735" s="1"/>
      <c r="EB735" s="1"/>
      <c r="EC735" s="1"/>
      <c r="ED735" s="1"/>
      <c r="EE735" s="1"/>
      <c r="EF735" s="1"/>
      <c r="EG735" s="1"/>
      <c r="EH735" s="1"/>
      <c r="EI735" s="1"/>
      <c r="EJ735" s="1"/>
      <c r="EK735" s="1"/>
      <c r="EL735" s="1"/>
      <c r="EM735" s="1"/>
      <c r="EN735" s="1"/>
      <c r="EO735" s="1"/>
      <c r="EP735" s="1"/>
      <c r="EQ735" s="1"/>
      <c r="ER735" s="1"/>
      <c r="ES735" s="1"/>
      <c r="ET735" s="1"/>
      <c r="EU735" s="1"/>
      <c r="EV735" s="1"/>
      <c r="EW735" s="1"/>
      <c r="EX735" s="1"/>
      <c r="EY735" s="1"/>
      <c r="EZ735" s="1"/>
      <c r="FA735" s="1"/>
      <c r="FB735" s="1"/>
      <c r="FC735" s="1"/>
      <c r="FD735" s="1"/>
      <c r="FE735" s="1"/>
      <c r="FF735" s="1"/>
      <c r="FG735" s="1"/>
      <c r="FH735" s="1"/>
      <c r="FI735" s="1"/>
      <c r="FJ735" s="1"/>
      <c r="FK735" s="1"/>
      <c r="FL735" s="1"/>
      <c r="FM735" s="1"/>
      <c r="FN735" s="1"/>
      <c r="FO735" s="1"/>
      <c r="FP735" s="1"/>
      <c r="FQ735" s="1"/>
      <c r="FR735" s="2"/>
      <c r="FS735" s="1"/>
    </row>
    <row r="736" spans="1:175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R736" s="1"/>
      <c r="S736" s="1"/>
      <c r="T736" s="1"/>
      <c r="U736" s="1"/>
      <c r="V736" s="1"/>
      <c r="Y736" s="1"/>
      <c r="Z736" s="2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U736" s="1"/>
      <c r="AW736" s="1"/>
      <c r="AX736" s="1"/>
      <c r="AY736" s="1"/>
      <c r="AZ736" s="1"/>
      <c r="BA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  <c r="DC736" s="1"/>
      <c r="DD736" s="1"/>
      <c r="DE736" s="1"/>
      <c r="DF736" s="1"/>
      <c r="DG736" s="1"/>
      <c r="DH736" s="1"/>
      <c r="DI736" s="1"/>
      <c r="DJ736" s="1"/>
      <c r="DK736" s="1"/>
      <c r="DL736" s="1"/>
      <c r="DM736" s="1"/>
      <c r="DN736" s="1"/>
      <c r="DO736" s="1"/>
      <c r="DP736" s="1"/>
      <c r="DQ736" s="1"/>
      <c r="DR736" s="1"/>
      <c r="DS736" s="1"/>
      <c r="DT736" s="1"/>
      <c r="DU736" s="1"/>
      <c r="DV736" s="1"/>
      <c r="DW736" s="1"/>
      <c r="DX736" s="1"/>
      <c r="DY736" s="1"/>
      <c r="DZ736" s="1"/>
      <c r="EA736" s="1"/>
      <c r="EB736" s="1"/>
      <c r="EC736" s="1"/>
      <c r="ED736" s="1"/>
      <c r="EE736" s="1"/>
      <c r="EF736" s="1"/>
      <c r="EG736" s="1"/>
      <c r="EH736" s="1"/>
      <c r="EI736" s="1"/>
      <c r="EJ736" s="1"/>
      <c r="EK736" s="1"/>
      <c r="EL736" s="1"/>
      <c r="EM736" s="1"/>
      <c r="EN736" s="1"/>
      <c r="EO736" s="1"/>
      <c r="EP736" s="1"/>
      <c r="EQ736" s="1"/>
      <c r="ER736" s="1"/>
      <c r="ES736" s="1"/>
      <c r="ET736" s="1"/>
      <c r="EU736" s="1"/>
      <c r="EV736" s="1"/>
      <c r="EW736" s="1"/>
      <c r="EX736" s="1"/>
      <c r="EY736" s="1"/>
      <c r="EZ736" s="1"/>
      <c r="FA736" s="1"/>
      <c r="FB736" s="1"/>
      <c r="FC736" s="1"/>
      <c r="FD736" s="1"/>
      <c r="FE736" s="1"/>
      <c r="FF736" s="1"/>
      <c r="FG736" s="1"/>
      <c r="FH736" s="1"/>
      <c r="FI736" s="1"/>
      <c r="FJ736" s="1"/>
      <c r="FK736" s="1"/>
      <c r="FL736" s="1"/>
      <c r="FM736" s="1"/>
      <c r="FN736" s="1"/>
      <c r="FO736" s="1"/>
      <c r="FP736" s="1"/>
      <c r="FQ736" s="1"/>
      <c r="FR736" s="2"/>
      <c r="FS736" s="1"/>
    </row>
    <row r="737" spans="1:175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R737" s="1"/>
      <c r="S737" s="1"/>
      <c r="T737" s="1"/>
      <c r="U737" s="1"/>
      <c r="V737" s="1"/>
      <c r="Y737" s="1"/>
      <c r="Z737" s="2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U737" s="1"/>
      <c r="AW737" s="1"/>
      <c r="AX737" s="1"/>
      <c r="AY737" s="1"/>
      <c r="AZ737" s="1"/>
      <c r="BA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  <c r="DC737" s="1"/>
      <c r="DD737" s="1"/>
      <c r="DE737" s="1"/>
      <c r="DF737" s="1"/>
      <c r="DG737" s="1"/>
      <c r="DH737" s="1"/>
      <c r="DI737" s="1"/>
      <c r="DJ737" s="1"/>
      <c r="DK737" s="1"/>
      <c r="DL737" s="1"/>
      <c r="DM737" s="1"/>
      <c r="DN737" s="1"/>
      <c r="DO737" s="1"/>
      <c r="DP737" s="1"/>
      <c r="DQ737" s="1"/>
      <c r="DR737" s="1"/>
      <c r="DS737" s="1"/>
      <c r="DT737" s="1"/>
      <c r="DU737" s="1"/>
      <c r="DV737" s="1"/>
      <c r="DW737" s="1"/>
      <c r="DX737" s="1"/>
      <c r="DY737" s="1"/>
      <c r="DZ737" s="1"/>
      <c r="EA737" s="1"/>
      <c r="EB737" s="1"/>
      <c r="EC737" s="1"/>
      <c r="ED737" s="1"/>
      <c r="EE737" s="1"/>
      <c r="EF737" s="1"/>
      <c r="EG737" s="1"/>
      <c r="EH737" s="1"/>
      <c r="EI737" s="1"/>
      <c r="EJ737" s="1"/>
      <c r="EK737" s="1"/>
      <c r="EL737" s="1"/>
      <c r="EM737" s="1"/>
      <c r="EN737" s="1"/>
      <c r="EO737" s="1"/>
      <c r="EP737" s="1"/>
      <c r="EQ737" s="1"/>
      <c r="ER737" s="1"/>
      <c r="ES737" s="1"/>
      <c r="ET737" s="1"/>
      <c r="EU737" s="1"/>
      <c r="EV737" s="1"/>
      <c r="EW737" s="1"/>
      <c r="EX737" s="1"/>
      <c r="EY737" s="1"/>
      <c r="EZ737" s="1"/>
      <c r="FA737" s="1"/>
      <c r="FB737" s="1"/>
      <c r="FC737" s="1"/>
      <c r="FD737" s="1"/>
      <c r="FE737" s="1"/>
      <c r="FF737" s="1"/>
      <c r="FG737" s="1"/>
      <c r="FH737" s="1"/>
      <c r="FI737" s="1"/>
      <c r="FJ737" s="1"/>
      <c r="FK737" s="1"/>
      <c r="FL737" s="1"/>
      <c r="FM737" s="1"/>
      <c r="FN737" s="1"/>
      <c r="FO737" s="1"/>
      <c r="FP737" s="1"/>
      <c r="FQ737" s="1"/>
      <c r="FR737" s="2"/>
      <c r="FS737" s="1"/>
    </row>
    <row r="738" spans="1:175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R738" s="1"/>
      <c r="S738" s="1"/>
      <c r="T738" s="1"/>
      <c r="U738" s="1"/>
      <c r="V738" s="1"/>
      <c r="Y738" s="1"/>
      <c r="Z738" s="2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U738" s="1"/>
      <c r="AW738" s="1"/>
      <c r="AX738" s="1"/>
      <c r="AY738" s="1"/>
      <c r="AZ738" s="1"/>
      <c r="BA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  <c r="DC738" s="1"/>
      <c r="DD738" s="1"/>
      <c r="DE738" s="1"/>
      <c r="DF738" s="1"/>
      <c r="DG738" s="1"/>
      <c r="DH738" s="1"/>
      <c r="DI738" s="1"/>
      <c r="DJ738" s="1"/>
      <c r="DK738" s="1"/>
      <c r="DL738" s="1"/>
      <c r="DM738" s="1"/>
      <c r="DN738" s="1"/>
      <c r="DO738" s="1"/>
      <c r="DP738" s="1"/>
      <c r="DQ738" s="1"/>
      <c r="DR738" s="1"/>
      <c r="DS738" s="1"/>
      <c r="DT738" s="1"/>
      <c r="DU738" s="1"/>
      <c r="DV738" s="1"/>
      <c r="DW738" s="1"/>
      <c r="DX738" s="1"/>
      <c r="DY738" s="1"/>
      <c r="DZ738" s="1"/>
      <c r="EA738" s="1"/>
      <c r="EB738" s="1"/>
      <c r="EC738" s="1"/>
      <c r="ED738" s="1"/>
      <c r="EE738" s="1"/>
      <c r="EF738" s="1"/>
      <c r="EG738" s="1"/>
      <c r="EH738" s="1"/>
      <c r="EI738" s="1"/>
      <c r="EJ738" s="1"/>
      <c r="EK738" s="1"/>
      <c r="EL738" s="1"/>
      <c r="EM738" s="1"/>
      <c r="EN738" s="1"/>
      <c r="EO738" s="1"/>
      <c r="EP738" s="1"/>
      <c r="EQ738" s="1"/>
      <c r="ER738" s="1"/>
      <c r="ES738" s="1"/>
      <c r="ET738" s="1"/>
      <c r="EU738" s="1"/>
      <c r="EV738" s="1"/>
      <c r="EW738" s="1"/>
      <c r="EX738" s="1"/>
      <c r="EY738" s="1"/>
      <c r="EZ738" s="1"/>
      <c r="FA738" s="1"/>
      <c r="FB738" s="1"/>
      <c r="FC738" s="1"/>
      <c r="FD738" s="1"/>
      <c r="FE738" s="1"/>
      <c r="FF738" s="1"/>
      <c r="FG738" s="1"/>
      <c r="FH738" s="1"/>
      <c r="FI738" s="1"/>
      <c r="FJ738" s="1"/>
      <c r="FK738" s="1"/>
      <c r="FL738" s="1"/>
      <c r="FM738" s="1"/>
      <c r="FN738" s="1"/>
      <c r="FO738" s="1"/>
      <c r="FP738" s="1"/>
      <c r="FQ738" s="1"/>
      <c r="FR738" s="2"/>
      <c r="FS738" s="1"/>
    </row>
    <row r="739" spans="1:175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R739" s="1"/>
      <c r="S739" s="1"/>
      <c r="T739" s="1"/>
      <c r="U739" s="1"/>
      <c r="V739" s="1"/>
      <c r="Y739" s="1"/>
      <c r="Z739" s="2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U739" s="1"/>
      <c r="AW739" s="1"/>
      <c r="AX739" s="1"/>
      <c r="AY739" s="1"/>
      <c r="AZ739" s="1"/>
      <c r="BA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  <c r="DC739" s="1"/>
      <c r="DD739" s="1"/>
      <c r="DE739" s="1"/>
      <c r="DF739" s="1"/>
      <c r="DG739" s="1"/>
      <c r="DH739" s="1"/>
      <c r="DI739" s="1"/>
      <c r="DJ739" s="1"/>
      <c r="DK739" s="1"/>
      <c r="DL739" s="1"/>
      <c r="DM739" s="1"/>
      <c r="DN739" s="1"/>
      <c r="DO739" s="1"/>
      <c r="DP739" s="1"/>
      <c r="DQ739" s="1"/>
      <c r="DR739" s="1"/>
      <c r="DS739" s="1"/>
      <c r="DT739" s="1"/>
      <c r="DU739" s="1"/>
      <c r="DV739" s="1"/>
      <c r="DW739" s="1"/>
      <c r="DX739" s="1"/>
      <c r="DY739" s="1"/>
      <c r="DZ739" s="1"/>
      <c r="EA739" s="1"/>
      <c r="EB739" s="1"/>
      <c r="EC739" s="1"/>
      <c r="ED739" s="1"/>
      <c r="EE739" s="1"/>
      <c r="EF739" s="1"/>
      <c r="EG739" s="1"/>
      <c r="EH739" s="1"/>
      <c r="EI739" s="1"/>
      <c r="EJ739" s="1"/>
      <c r="EK739" s="1"/>
      <c r="EL739" s="1"/>
      <c r="EM739" s="1"/>
      <c r="EN739" s="1"/>
      <c r="EO739" s="1"/>
      <c r="EP739" s="1"/>
      <c r="EQ739" s="1"/>
      <c r="ER739" s="1"/>
      <c r="ES739" s="1"/>
      <c r="ET739" s="1"/>
      <c r="EU739" s="1"/>
      <c r="EV739" s="1"/>
      <c r="EW739" s="1"/>
      <c r="EX739" s="1"/>
      <c r="EY739" s="1"/>
      <c r="EZ739" s="1"/>
      <c r="FA739" s="1"/>
      <c r="FB739" s="1"/>
      <c r="FC739" s="1"/>
      <c r="FD739" s="1"/>
      <c r="FE739" s="1"/>
      <c r="FF739" s="1"/>
      <c r="FG739" s="1"/>
      <c r="FH739" s="1"/>
      <c r="FI739" s="1"/>
      <c r="FJ739" s="1"/>
      <c r="FK739" s="1"/>
      <c r="FL739" s="1"/>
      <c r="FM739" s="1"/>
      <c r="FN739" s="1"/>
      <c r="FO739" s="1"/>
      <c r="FP739" s="1"/>
      <c r="FQ739" s="1"/>
      <c r="FR739" s="2"/>
      <c r="FS739" s="1"/>
    </row>
    <row r="740" spans="1:175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R740" s="1"/>
      <c r="S740" s="1"/>
      <c r="T740" s="1"/>
      <c r="U740" s="1"/>
      <c r="V740" s="1"/>
      <c r="Y740" s="1"/>
      <c r="Z740" s="2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U740" s="1"/>
      <c r="AW740" s="1"/>
      <c r="AX740" s="1"/>
      <c r="AY740" s="1"/>
      <c r="AZ740" s="1"/>
      <c r="BA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  <c r="DC740" s="1"/>
      <c r="DD740" s="1"/>
      <c r="DE740" s="1"/>
      <c r="DF740" s="1"/>
      <c r="DG740" s="1"/>
      <c r="DH740" s="1"/>
      <c r="DI740" s="1"/>
      <c r="DJ740" s="1"/>
      <c r="DK740" s="1"/>
      <c r="DL740" s="1"/>
      <c r="DM740" s="1"/>
      <c r="DN740" s="1"/>
      <c r="DO740" s="1"/>
      <c r="DP740" s="1"/>
      <c r="DQ740" s="1"/>
      <c r="DR740" s="1"/>
      <c r="DS740" s="1"/>
      <c r="DT740" s="1"/>
      <c r="DU740" s="1"/>
      <c r="DV740" s="1"/>
      <c r="DW740" s="1"/>
      <c r="DX740" s="1"/>
      <c r="DY740" s="1"/>
      <c r="DZ740" s="1"/>
      <c r="EA740" s="1"/>
      <c r="EB740" s="1"/>
      <c r="EC740" s="1"/>
      <c r="ED740" s="1"/>
      <c r="EE740" s="1"/>
      <c r="EF740" s="1"/>
      <c r="EG740" s="1"/>
      <c r="EH740" s="1"/>
      <c r="EI740" s="1"/>
      <c r="EJ740" s="1"/>
      <c r="EK740" s="1"/>
      <c r="EL740" s="1"/>
      <c r="EM740" s="1"/>
      <c r="EN740" s="1"/>
      <c r="EO740" s="1"/>
      <c r="EP740" s="1"/>
      <c r="EQ740" s="1"/>
      <c r="ER740" s="1"/>
      <c r="ES740" s="1"/>
      <c r="ET740" s="1"/>
      <c r="EU740" s="1"/>
      <c r="EV740" s="1"/>
      <c r="EW740" s="1"/>
      <c r="EX740" s="1"/>
      <c r="EY740" s="1"/>
      <c r="EZ740" s="1"/>
      <c r="FA740" s="1"/>
      <c r="FB740" s="1"/>
      <c r="FC740" s="1"/>
      <c r="FD740" s="1"/>
      <c r="FE740" s="1"/>
      <c r="FF740" s="1"/>
      <c r="FG740" s="1"/>
      <c r="FH740" s="1"/>
      <c r="FI740" s="1"/>
      <c r="FJ740" s="1"/>
      <c r="FK740" s="1"/>
      <c r="FL740" s="1"/>
      <c r="FM740" s="1"/>
      <c r="FN740" s="1"/>
      <c r="FO740" s="1"/>
      <c r="FP740" s="1"/>
      <c r="FQ740" s="1"/>
      <c r="FR740" s="2"/>
      <c r="FS740" s="1"/>
    </row>
    <row r="741" spans="1:175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R741" s="1"/>
      <c r="S741" s="1"/>
      <c r="T741" s="1"/>
      <c r="U741" s="1"/>
      <c r="V741" s="1"/>
      <c r="Y741" s="1"/>
      <c r="Z741" s="2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U741" s="1"/>
      <c r="AW741" s="1"/>
      <c r="AX741" s="1"/>
      <c r="AY741" s="1"/>
      <c r="AZ741" s="1"/>
      <c r="BA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  <c r="DC741" s="1"/>
      <c r="DD741" s="1"/>
      <c r="DE741" s="1"/>
      <c r="DF741" s="1"/>
      <c r="DG741" s="1"/>
      <c r="DH741" s="1"/>
      <c r="DI741" s="1"/>
      <c r="DJ741" s="1"/>
      <c r="DK741" s="1"/>
      <c r="DL741" s="1"/>
      <c r="DM741" s="1"/>
      <c r="DN741" s="1"/>
      <c r="DO741" s="1"/>
      <c r="DP741" s="1"/>
      <c r="DQ741" s="1"/>
      <c r="DR741" s="1"/>
      <c r="DS741" s="1"/>
      <c r="DT741" s="1"/>
      <c r="DU741" s="1"/>
      <c r="DV741" s="1"/>
      <c r="DW741" s="1"/>
      <c r="DX741" s="1"/>
      <c r="DY741" s="1"/>
      <c r="DZ741" s="1"/>
      <c r="EA741" s="1"/>
      <c r="EB741" s="1"/>
      <c r="EC741" s="1"/>
      <c r="ED741" s="1"/>
      <c r="EE741" s="1"/>
      <c r="EF741" s="1"/>
      <c r="EG741" s="1"/>
      <c r="EH741" s="1"/>
      <c r="EI741" s="1"/>
      <c r="EJ741" s="1"/>
      <c r="EK741" s="1"/>
      <c r="EL741" s="1"/>
      <c r="EM741" s="1"/>
      <c r="EN741" s="1"/>
      <c r="EO741" s="1"/>
      <c r="EP741" s="1"/>
      <c r="EQ741" s="1"/>
      <c r="ER741" s="1"/>
      <c r="ES741" s="1"/>
      <c r="ET741" s="1"/>
      <c r="EU741" s="1"/>
      <c r="EV741" s="1"/>
      <c r="EW741" s="1"/>
      <c r="EX741" s="1"/>
      <c r="EY741" s="1"/>
      <c r="EZ741" s="1"/>
      <c r="FA741" s="1"/>
      <c r="FB741" s="1"/>
      <c r="FC741" s="1"/>
      <c r="FD741" s="1"/>
      <c r="FE741" s="1"/>
      <c r="FF741" s="1"/>
      <c r="FG741" s="1"/>
      <c r="FH741" s="1"/>
      <c r="FI741" s="1"/>
      <c r="FJ741" s="1"/>
      <c r="FK741" s="1"/>
      <c r="FL741" s="1"/>
      <c r="FM741" s="1"/>
      <c r="FN741" s="1"/>
      <c r="FO741" s="1"/>
      <c r="FP741" s="1"/>
      <c r="FQ741" s="1"/>
      <c r="FR741" s="2"/>
      <c r="FS741" s="1"/>
    </row>
    <row r="742" spans="1:175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R742" s="1"/>
      <c r="S742" s="1"/>
      <c r="T742" s="1"/>
      <c r="U742" s="1"/>
      <c r="V742" s="1"/>
      <c r="Y742" s="1"/>
      <c r="Z742" s="2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U742" s="1"/>
      <c r="AW742" s="1"/>
      <c r="AX742" s="1"/>
      <c r="AY742" s="1"/>
      <c r="AZ742" s="1"/>
      <c r="BA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  <c r="DC742" s="1"/>
      <c r="DD742" s="1"/>
      <c r="DE742" s="1"/>
      <c r="DF742" s="1"/>
      <c r="DG742" s="1"/>
      <c r="DH742" s="1"/>
      <c r="DI742" s="1"/>
      <c r="DJ742" s="1"/>
      <c r="DK742" s="1"/>
      <c r="DL742" s="1"/>
      <c r="DM742" s="1"/>
      <c r="DN742" s="1"/>
      <c r="DO742" s="1"/>
      <c r="DP742" s="1"/>
      <c r="DQ742" s="1"/>
      <c r="DR742" s="1"/>
      <c r="DS742" s="1"/>
      <c r="DT742" s="1"/>
      <c r="DU742" s="1"/>
      <c r="DV742" s="1"/>
      <c r="DW742" s="1"/>
      <c r="DX742" s="1"/>
      <c r="DY742" s="1"/>
      <c r="DZ742" s="1"/>
      <c r="EA742" s="1"/>
      <c r="EB742" s="1"/>
      <c r="EC742" s="1"/>
      <c r="ED742" s="1"/>
      <c r="EE742" s="1"/>
      <c r="EF742" s="1"/>
      <c r="EG742" s="1"/>
      <c r="EH742" s="1"/>
      <c r="EI742" s="1"/>
      <c r="EJ742" s="1"/>
      <c r="EK742" s="1"/>
      <c r="EL742" s="1"/>
      <c r="EM742" s="1"/>
      <c r="EN742" s="1"/>
      <c r="EO742" s="1"/>
      <c r="EP742" s="1"/>
      <c r="EQ742" s="1"/>
      <c r="ER742" s="1"/>
      <c r="ES742" s="1"/>
      <c r="ET742" s="1"/>
      <c r="EU742" s="1"/>
      <c r="EV742" s="1"/>
      <c r="EW742" s="1"/>
      <c r="EX742" s="1"/>
      <c r="EY742" s="1"/>
      <c r="EZ742" s="1"/>
      <c r="FA742" s="1"/>
      <c r="FB742" s="1"/>
      <c r="FC742" s="1"/>
      <c r="FD742" s="1"/>
      <c r="FE742" s="1"/>
      <c r="FF742" s="1"/>
      <c r="FG742" s="1"/>
      <c r="FH742" s="1"/>
      <c r="FI742" s="1"/>
      <c r="FJ742" s="1"/>
      <c r="FK742" s="1"/>
      <c r="FL742" s="1"/>
      <c r="FM742" s="1"/>
      <c r="FN742" s="1"/>
      <c r="FO742" s="1"/>
      <c r="FP742" s="1"/>
      <c r="FQ742" s="1"/>
      <c r="FR742" s="2"/>
      <c r="FS742" s="1"/>
    </row>
    <row r="743" spans="1:175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R743" s="1"/>
      <c r="S743" s="1"/>
      <c r="T743" s="1"/>
      <c r="U743" s="1"/>
      <c r="V743" s="1"/>
      <c r="Y743" s="1"/>
      <c r="Z743" s="2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U743" s="1"/>
      <c r="AW743" s="1"/>
      <c r="AX743" s="1"/>
      <c r="AY743" s="1"/>
      <c r="AZ743" s="1"/>
      <c r="BA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  <c r="DC743" s="1"/>
      <c r="DD743" s="1"/>
      <c r="DE743" s="1"/>
      <c r="DF743" s="1"/>
      <c r="DG743" s="1"/>
      <c r="DH743" s="1"/>
      <c r="DI743" s="1"/>
      <c r="DJ743" s="1"/>
      <c r="DK743" s="1"/>
      <c r="DL743" s="1"/>
      <c r="DM743" s="1"/>
      <c r="DN743" s="1"/>
      <c r="DO743" s="1"/>
      <c r="DP743" s="1"/>
      <c r="DQ743" s="1"/>
      <c r="DR743" s="1"/>
      <c r="DS743" s="1"/>
      <c r="DT743" s="1"/>
      <c r="DU743" s="1"/>
      <c r="DV743" s="1"/>
      <c r="DW743" s="1"/>
      <c r="DX743" s="1"/>
      <c r="DY743" s="1"/>
      <c r="DZ743" s="1"/>
      <c r="EA743" s="1"/>
      <c r="EB743" s="1"/>
      <c r="EC743" s="1"/>
      <c r="ED743" s="1"/>
      <c r="EE743" s="1"/>
      <c r="EF743" s="1"/>
      <c r="EG743" s="1"/>
      <c r="EH743" s="1"/>
      <c r="EI743" s="1"/>
      <c r="EJ743" s="1"/>
      <c r="EK743" s="1"/>
      <c r="EL743" s="1"/>
      <c r="EM743" s="1"/>
      <c r="EN743" s="1"/>
      <c r="EO743" s="1"/>
      <c r="EP743" s="1"/>
      <c r="EQ743" s="1"/>
      <c r="ER743" s="1"/>
      <c r="ES743" s="1"/>
      <c r="ET743" s="1"/>
      <c r="EU743" s="1"/>
      <c r="EV743" s="1"/>
      <c r="EW743" s="1"/>
      <c r="EX743" s="1"/>
      <c r="EY743" s="1"/>
      <c r="EZ743" s="1"/>
      <c r="FA743" s="1"/>
      <c r="FB743" s="1"/>
      <c r="FC743" s="1"/>
      <c r="FD743" s="1"/>
      <c r="FE743" s="1"/>
      <c r="FF743" s="1"/>
      <c r="FG743" s="1"/>
      <c r="FH743" s="1"/>
      <c r="FI743" s="1"/>
      <c r="FJ743" s="1"/>
      <c r="FK743" s="1"/>
      <c r="FL743" s="1"/>
      <c r="FM743" s="1"/>
      <c r="FN743" s="1"/>
      <c r="FO743" s="1"/>
      <c r="FP743" s="1"/>
      <c r="FQ743" s="1"/>
      <c r="FR743" s="2"/>
      <c r="FS743" s="1"/>
    </row>
    <row r="744" spans="1:175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R744" s="1"/>
      <c r="S744" s="1"/>
      <c r="T744" s="1"/>
      <c r="U744" s="1"/>
      <c r="V744" s="1"/>
      <c r="Y744" s="1"/>
      <c r="Z744" s="2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U744" s="1"/>
      <c r="AW744" s="1"/>
      <c r="AX744" s="1"/>
      <c r="AY744" s="1"/>
      <c r="AZ744" s="1"/>
      <c r="BA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  <c r="DC744" s="1"/>
      <c r="DD744" s="1"/>
      <c r="DE744" s="1"/>
      <c r="DF744" s="1"/>
      <c r="DG744" s="1"/>
      <c r="DH744" s="1"/>
      <c r="DI744" s="1"/>
      <c r="DJ744" s="1"/>
      <c r="DK744" s="1"/>
      <c r="DL744" s="1"/>
      <c r="DM744" s="1"/>
      <c r="DN744" s="1"/>
      <c r="DO744" s="1"/>
      <c r="DP744" s="1"/>
      <c r="DQ744" s="1"/>
      <c r="DR744" s="1"/>
      <c r="DS744" s="1"/>
      <c r="DT744" s="1"/>
      <c r="DU744" s="1"/>
      <c r="DV744" s="1"/>
      <c r="DW744" s="1"/>
      <c r="DX744" s="1"/>
      <c r="DY744" s="1"/>
      <c r="DZ744" s="1"/>
      <c r="EA744" s="1"/>
      <c r="EB744" s="1"/>
      <c r="EC744" s="1"/>
      <c r="ED744" s="1"/>
      <c r="EE744" s="1"/>
      <c r="EF744" s="1"/>
      <c r="EG744" s="1"/>
      <c r="EH744" s="1"/>
      <c r="EI744" s="1"/>
      <c r="EJ744" s="1"/>
      <c r="EK744" s="1"/>
      <c r="EL744" s="1"/>
      <c r="EM744" s="1"/>
      <c r="EN744" s="1"/>
      <c r="EO744" s="1"/>
      <c r="EP744" s="1"/>
      <c r="EQ744" s="1"/>
      <c r="ER744" s="1"/>
      <c r="ES744" s="1"/>
      <c r="ET744" s="1"/>
      <c r="EU744" s="1"/>
      <c r="EV744" s="1"/>
      <c r="EW744" s="1"/>
      <c r="EX744" s="1"/>
      <c r="EY744" s="1"/>
      <c r="EZ744" s="1"/>
      <c r="FA744" s="1"/>
      <c r="FB744" s="1"/>
      <c r="FC744" s="1"/>
      <c r="FD744" s="1"/>
      <c r="FE744" s="1"/>
      <c r="FF744" s="1"/>
      <c r="FG744" s="1"/>
      <c r="FH744" s="1"/>
      <c r="FI744" s="1"/>
      <c r="FJ744" s="1"/>
      <c r="FK744" s="1"/>
      <c r="FL744" s="1"/>
      <c r="FM744" s="1"/>
      <c r="FN744" s="1"/>
      <c r="FO744" s="1"/>
      <c r="FP744" s="1"/>
      <c r="FQ744" s="1"/>
      <c r="FR744" s="2"/>
      <c r="FS744" s="1"/>
    </row>
    <row r="745" spans="1:175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R745" s="1"/>
      <c r="S745" s="1"/>
      <c r="T745" s="1"/>
      <c r="U745" s="1"/>
      <c r="V745" s="1"/>
      <c r="Y745" s="1"/>
      <c r="Z745" s="2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U745" s="1"/>
      <c r="AW745" s="1"/>
      <c r="AX745" s="1"/>
      <c r="AY745" s="1"/>
      <c r="AZ745" s="1"/>
      <c r="BA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  <c r="DC745" s="1"/>
      <c r="DD745" s="1"/>
      <c r="DE745" s="1"/>
      <c r="DF745" s="1"/>
      <c r="DG745" s="1"/>
      <c r="DH745" s="1"/>
      <c r="DI745" s="1"/>
      <c r="DJ745" s="1"/>
      <c r="DK745" s="1"/>
      <c r="DL745" s="1"/>
      <c r="DM745" s="1"/>
      <c r="DN745" s="1"/>
      <c r="DO745" s="1"/>
      <c r="DP745" s="1"/>
      <c r="DQ745" s="1"/>
      <c r="DR745" s="1"/>
      <c r="DS745" s="1"/>
      <c r="DT745" s="1"/>
      <c r="DU745" s="1"/>
      <c r="DV745" s="1"/>
      <c r="DW745" s="1"/>
      <c r="DX745" s="1"/>
      <c r="DY745" s="1"/>
      <c r="DZ745" s="1"/>
      <c r="EA745" s="1"/>
      <c r="EB745" s="1"/>
      <c r="EC745" s="1"/>
      <c r="ED745" s="1"/>
      <c r="EE745" s="1"/>
      <c r="EF745" s="1"/>
      <c r="EG745" s="1"/>
      <c r="EH745" s="1"/>
      <c r="EI745" s="1"/>
      <c r="EJ745" s="1"/>
      <c r="EK745" s="1"/>
      <c r="EL745" s="1"/>
      <c r="EM745" s="1"/>
      <c r="EN745" s="1"/>
      <c r="EO745" s="1"/>
      <c r="EP745" s="1"/>
      <c r="EQ745" s="1"/>
      <c r="ER745" s="1"/>
      <c r="ES745" s="1"/>
      <c r="ET745" s="1"/>
      <c r="EU745" s="1"/>
      <c r="EV745" s="1"/>
      <c r="EW745" s="1"/>
      <c r="EX745" s="1"/>
      <c r="EY745" s="1"/>
      <c r="EZ745" s="1"/>
      <c r="FA745" s="1"/>
      <c r="FB745" s="1"/>
      <c r="FC745" s="1"/>
      <c r="FD745" s="1"/>
      <c r="FE745" s="1"/>
      <c r="FF745" s="1"/>
      <c r="FG745" s="1"/>
      <c r="FH745" s="1"/>
      <c r="FI745" s="1"/>
      <c r="FJ745" s="1"/>
      <c r="FK745" s="1"/>
      <c r="FL745" s="1"/>
      <c r="FM745" s="1"/>
      <c r="FN745" s="1"/>
      <c r="FO745" s="1"/>
      <c r="FP745" s="1"/>
      <c r="FQ745" s="1"/>
      <c r="FR745" s="2"/>
      <c r="FS745" s="1"/>
    </row>
    <row r="746" spans="1:175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R746" s="1"/>
      <c r="S746" s="1"/>
      <c r="T746" s="1"/>
      <c r="U746" s="1"/>
      <c r="V746" s="1"/>
      <c r="Y746" s="1"/>
      <c r="Z746" s="2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U746" s="1"/>
      <c r="AW746" s="1"/>
      <c r="AX746" s="1"/>
      <c r="AY746" s="1"/>
      <c r="AZ746" s="1"/>
      <c r="BA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  <c r="DC746" s="1"/>
      <c r="DD746" s="1"/>
      <c r="DE746" s="1"/>
      <c r="DF746" s="1"/>
      <c r="DG746" s="1"/>
      <c r="DH746" s="1"/>
      <c r="DI746" s="1"/>
      <c r="DJ746" s="1"/>
      <c r="DK746" s="1"/>
      <c r="DL746" s="1"/>
      <c r="DM746" s="1"/>
      <c r="DN746" s="1"/>
      <c r="DO746" s="1"/>
      <c r="DP746" s="1"/>
      <c r="DQ746" s="1"/>
      <c r="DR746" s="1"/>
      <c r="DS746" s="1"/>
      <c r="DT746" s="1"/>
      <c r="DU746" s="1"/>
      <c r="DV746" s="1"/>
      <c r="DW746" s="1"/>
      <c r="DX746" s="1"/>
      <c r="DY746" s="1"/>
      <c r="DZ746" s="1"/>
      <c r="EA746" s="1"/>
      <c r="EB746" s="1"/>
      <c r="EC746" s="1"/>
      <c r="ED746" s="1"/>
      <c r="EE746" s="1"/>
      <c r="EF746" s="1"/>
      <c r="EG746" s="1"/>
      <c r="EH746" s="1"/>
      <c r="EI746" s="1"/>
      <c r="EJ746" s="1"/>
      <c r="EK746" s="1"/>
      <c r="EL746" s="1"/>
      <c r="EM746" s="1"/>
      <c r="EN746" s="1"/>
      <c r="EO746" s="1"/>
      <c r="EP746" s="1"/>
      <c r="EQ746" s="1"/>
      <c r="ER746" s="1"/>
      <c r="ES746" s="1"/>
      <c r="ET746" s="1"/>
      <c r="EU746" s="1"/>
      <c r="EV746" s="1"/>
      <c r="EW746" s="1"/>
      <c r="EX746" s="1"/>
      <c r="EY746" s="1"/>
      <c r="EZ746" s="1"/>
      <c r="FA746" s="1"/>
      <c r="FB746" s="1"/>
      <c r="FC746" s="1"/>
      <c r="FD746" s="1"/>
      <c r="FE746" s="1"/>
      <c r="FF746" s="1"/>
      <c r="FG746" s="1"/>
      <c r="FH746" s="1"/>
      <c r="FI746" s="1"/>
      <c r="FJ746" s="1"/>
      <c r="FK746" s="1"/>
      <c r="FL746" s="1"/>
      <c r="FM746" s="1"/>
      <c r="FN746" s="1"/>
      <c r="FO746" s="1"/>
      <c r="FP746" s="1"/>
      <c r="FQ746" s="1"/>
      <c r="FR746" s="2"/>
      <c r="FS746" s="1"/>
    </row>
    <row r="747" spans="1:175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R747" s="1"/>
      <c r="S747" s="1"/>
      <c r="T747" s="1"/>
      <c r="U747" s="1"/>
      <c r="V747" s="1"/>
      <c r="Y747" s="1"/>
      <c r="Z747" s="2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U747" s="1"/>
      <c r="AW747" s="1"/>
      <c r="AX747" s="1"/>
      <c r="AY747" s="1"/>
      <c r="AZ747" s="1"/>
      <c r="BA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  <c r="DC747" s="1"/>
      <c r="DD747" s="1"/>
      <c r="DE747" s="1"/>
      <c r="DF747" s="1"/>
      <c r="DG747" s="1"/>
      <c r="DH747" s="1"/>
      <c r="DI747" s="1"/>
      <c r="DJ747" s="1"/>
      <c r="DK747" s="1"/>
      <c r="DL747" s="1"/>
      <c r="DM747" s="1"/>
      <c r="DN747" s="1"/>
      <c r="DO747" s="1"/>
      <c r="DP747" s="1"/>
      <c r="DQ747" s="1"/>
      <c r="DR747" s="1"/>
      <c r="DS747" s="1"/>
      <c r="DT747" s="1"/>
      <c r="DU747" s="1"/>
      <c r="DV747" s="1"/>
      <c r="DW747" s="1"/>
      <c r="DX747" s="1"/>
      <c r="DY747" s="1"/>
      <c r="DZ747" s="1"/>
      <c r="EA747" s="1"/>
      <c r="EB747" s="1"/>
      <c r="EC747" s="1"/>
      <c r="ED747" s="1"/>
      <c r="EE747" s="1"/>
      <c r="EF747" s="1"/>
      <c r="EG747" s="1"/>
      <c r="EH747" s="1"/>
      <c r="EI747" s="1"/>
      <c r="EJ747" s="1"/>
      <c r="EK747" s="1"/>
      <c r="EL747" s="1"/>
      <c r="EM747" s="1"/>
      <c r="EN747" s="1"/>
      <c r="EO747" s="1"/>
      <c r="EP747" s="1"/>
      <c r="EQ747" s="1"/>
      <c r="ER747" s="1"/>
      <c r="ES747" s="1"/>
      <c r="ET747" s="1"/>
      <c r="EU747" s="1"/>
      <c r="EV747" s="1"/>
      <c r="EW747" s="1"/>
      <c r="EX747" s="1"/>
      <c r="EY747" s="1"/>
      <c r="EZ747" s="1"/>
      <c r="FA747" s="1"/>
      <c r="FB747" s="1"/>
      <c r="FC747" s="1"/>
      <c r="FD747" s="1"/>
      <c r="FE747" s="1"/>
      <c r="FF747" s="1"/>
      <c r="FG747" s="1"/>
      <c r="FH747" s="1"/>
      <c r="FI747" s="1"/>
      <c r="FJ747" s="1"/>
      <c r="FK747" s="1"/>
      <c r="FL747" s="1"/>
      <c r="FM747" s="1"/>
      <c r="FN747" s="1"/>
      <c r="FO747" s="1"/>
      <c r="FP747" s="1"/>
      <c r="FQ747" s="1"/>
      <c r="FR747" s="2"/>
      <c r="FS747" s="1"/>
    </row>
    <row r="748" spans="1:175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R748" s="1"/>
      <c r="S748" s="1"/>
      <c r="T748" s="1"/>
      <c r="U748" s="1"/>
      <c r="V748" s="1"/>
      <c r="Y748" s="1"/>
      <c r="Z748" s="2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U748" s="1"/>
      <c r="AW748" s="1"/>
      <c r="AX748" s="1"/>
      <c r="AY748" s="1"/>
      <c r="AZ748" s="1"/>
      <c r="BA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  <c r="DC748" s="1"/>
      <c r="DD748" s="1"/>
      <c r="DE748" s="1"/>
      <c r="DF748" s="1"/>
      <c r="DG748" s="1"/>
      <c r="DH748" s="1"/>
      <c r="DI748" s="1"/>
      <c r="DJ748" s="1"/>
      <c r="DK748" s="1"/>
      <c r="DL748" s="1"/>
      <c r="DM748" s="1"/>
      <c r="DN748" s="1"/>
      <c r="DO748" s="1"/>
      <c r="DP748" s="1"/>
      <c r="DQ748" s="1"/>
      <c r="DR748" s="1"/>
      <c r="DS748" s="1"/>
      <c r="DT748" s="1"/>
      <c r="DU748" s="1"/>
      <c r="DV748" s="1"/>
      <c r="DW748" s="1"/>
      <c r="DX748" s="1"/>
      <c r="DY748" s="1"/>
      <c r="DZ748" s="1"/>
      <c r="EA748" s="1"/>
      <c r="EB748" s="1"/>
      <c r="EC748" s="1"/>
      <c r="ED748" s="1"/>
      <c r="EE748" s="1"/>
      <c r="EF748" s="1"/>
      <c r="EG748" s="1"/>
      <c r="EH748" s="1"/>
      <c r="EI748" s="1"/>
      <c r="EJ748" s="1"/>
      <c r="EK748" s="1"/>
      <c r="EL748" s="1"/>
      <c r="EM748" s="1"/>
      <c r="EN748" s="1"/>
      <c r="EO748" s="1"/>
      <c r="EP748" s="1"/>
      <c r="EQ748" s="1"/>
      <c r="ER748" s="1"/>
      <c r="ES748" s="1"/>
      <c r="ET748" s="1"/>
      <c r="EU748" s="1"/>
      <c r="EV748" s="1"/>
      <c r="EW748" s="1"/>
      <c r="EX748" s="1"/>
      <c r="EY748" s="1"/>
      <c r="EZ748" s="1"/>
      <c r="FA748" s="1"/>
      <c r="FB748" s="1"/>
      <c r="FC748" s="1"/>
      <c r="FD748" s="1"/>
      <c r="FE748" s="1"/>
      <c r="FF748" s="1"/>
      <c r="FG748" s="1"/>
      <c r="FH748" s="1"/>
      <c r="FI748" s="1"/>
      <c r="FJ748" s="1"/>
      <c r="FK748" s="1"/>
      <c r="FL748" s="1"/>
      <c r="FM748" s="1"/>
      <c r="FN748" s="1"/>
      <c r="FO748" s="1"/>
      <c r="FP748" s="1"/>
      <c r="FQ748" s="1"/>
      <c r="FR748" s="2"/>
      <c r="FS748" s="1"/>
    </row>
    <row r="749" spans="1:175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R749" s="1"/>
      <c r="S749" s="1"/>
      <c r="T749" s="1"/>
      <c r="U749" s="1"/>
      <c r="V749" s="1"/>
      <c r="Y749" s="1"/>
      <c r="Z749" s="2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U749" s="1"/>
      <c r="AW749" s="1"/>
      <c r="AX749" s="1"/>
      <c r="AY749" s="1"/>
      <c r="AZ749" s="1"/>
      <c r="BA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  <c r="DC749" s="1"/>
      <c r="DD749" s="1"/>
      <c r="DE749" s="1"/>
      <c r="DF749" s="1"/>
      <c r="DG749" s="1"/>
      <c r="DH749" s="1"/>
      <c r="DI749" s="1"/>
      <c r="DJ749" s="1"/>
      <c r="DK749" s="1"/>
      <c r="DL749" s="1"/>
      <c r="DM749" s="1"/>
      <c r="DN749" s="1"/>
      <c r="DO749" s="1"/>
      <c r="DP749" s="1"/>
      <c r="DQ749" s="1"/>
      <c r="DR749" s="1"/>
      <c r="DS749" s="1"/>
      <c r="DT749" s="1"/>
      <c r="DU749" s="1"/>
      <c r="DV749" s="1"/>
      <c r="DW749" s="1"/>
      <c r="DX749" s="1"/>
      <c r="DY749" s="1"/>
      <c r="DZ749" s="1"/>
      <c r="EA749" s="1"/>
      <c r="EB749" s="1"/>
      <c r="EC749" s="1"/>
      <c r="ED749" s="1"/>
      <c r="EE749" s="1"/>
      <c r="EF749" s="1"/>
      <c r="EG749" s="1"/>
      <c r="EH749" s="1"/>
      <c r="EI749" s="1"/>
      <c r="EJ749" s="1"/>
      <c r="EK749" s="1"/>
      <c r="EL749" s="1"/>
      <c r="EM749" s="1"/>
      <c r="EN749" s="1"/>
      <c r="EO749" s="1"/>
      <c r="EP749" s="1"/>
      <c r="EQ749" s="1"/>
      <c r="ER749" s="1"/>
      <c r="ES749" s="1"/>
      <c r="ET749" s="1"/>
      <c r="EU749" s="1"/>
      <c r="EV749" s="1"/>
      <c r="EW749" s="1"/>
      <c r="EX749" s="1"/>
      <c r="EY749" s="1"/>
      <c r="EZ749" s="1"/>
      <c r="FA749" s="1"/>
      <c r="FB749" s="1"/>
      <c r="FC749" s="1"/>
      <c r="FD749" s="1"/>
      <c r="FE749" s="1"/>
      <c r="FF749" s="1"/>
      <c r="FG749" s="1"/>
      <c r="FH749" s="1"/>
      <c r="FI749" s="1"/>
      <c r="FJ749" s="1"/>
      <c r="FK749" s="1"/>
      <c r="FL749" s="1"/>
      <c r="FM749" s="1"/>
      <c r="FN749" s="1"/>
      <c r="FO749" s="1"/>
      <c r="FP749" s="1"/>
      <c r="FQ749" s="1"/>
      <c r="FR749" s="2"/>
      <c r="FS749" s="1"/>
    </row>
    <row r="750" spans="1:175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R750" s="1"/>
      <c r="S750" s="1"/>
      <c r="T750" s="1"/>
      <c r="U750" s="1"/>
      <c r="V750" s="1"/>
      <c r="Y750" s="1"/>
      <c r="Z750" s="2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U750" s="1"/>
      <c r="AW750" s="1"/>
      <c r="AX750" s="1"/>
      <c r="AY750" s="1"/>
      <c r="AZ750" s="1"/>
      <c r="BA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  <c r="DC750" s="1"/>
      <c r="DD750" s="1"/>
      <c r="DE750" s="1"/>
      <c r="DF750" s="1"/>
      <c r="DG750" s="1"/>
      <c r="DH750" s="1"/>
      <c r="DI750" s="1"/>
      <c r="DJ750" s="1"/>
      <c r="DK750" s="1"/>
      <c r="DL750" s="1"/>
      <c r="DM750" s="1"/>
      <c r="DN750" s="1"/>
      <c r="DO750" s="1"/>
      <c r="DP750" s="1"/>
      <c r="DQ750" s="1"/>
      <c r="DR750" s="1"/>
      <c r="DS750" s="1"/>
      <c r="DT750" s="1"/>
      <c r="DU750" s="1"/>
      <c r="DV750" s="1"/>
      <c r="DW750" s="1"/>
      <c r="DX750" s="1"/>
      <c r="DY750" s="1"/>
      <c r="DZ750" s="1"/>
      <c r="EA750" s="1"/>
      <c r="EB750" s="1"/>
      <c r="EC750" s="1"/>
      <c r="ED750" s="1"/>
      <c r="EE750" s="1"/>
      <c r="EF750" s="1"/>
      <c r="EG750" s="1"/>
      <c r="EH750" s="1"/>
      <c r="EI750" s="1"/>
      <c r="EJ750" s="1"/>
      <c r="EK750" s="1"/>
      <c r="EL750" s="1"/>
      <c r="EM750" s="1"/>
      <c r="EN750" s="1"/>
      <c r="EO750" s="1"/>
      <c r="EP750" s="1"/>
      <c r="EQ750" s="1"/>
      <c r="ER750" s="1"/>
      <c r="ES750" s="1"/>
      <c r="ET750" s="1"/>
      <c r="EU750" s="1"/>
      <c r="EV750" s="1"/>
      <c r="EW750" s="1"/>
      <c r="EX750" s="1"/>
      <c r="EY750" s="1"/>
      <c r="EZ750" s="1"/>
      <c r="FA750" s="1"/>
      <c r="FB750" s="1"/>
      <c r="FC750" s="1"/>
      <c r="FD750" s="1"/>
      <c r="FE750" s="1"/>
      <c r="FF750" s="1"/>
      <c r="FG750" s="1"/>
      <c r="FH750" s="1"/>
      <c r="FI750" s="1"/>
      <c r="FJ750" s="1"/>
      <c r="FK750" s="1"/>
      <c r="FL750" s="1"/>
      <c r="FM750" s="1"/>
      <c r="FN750" s="1"/>
      <c r="FO750" s="1"/>
      <c r="FP750" s="1"/>
      <c r="FQ750" s="1"/>
      <c r="FR750" s="2"/>
      <c r="FS750" s="1"/>
    </row>
    <row r="751" spans="1:175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R751" s="1"/>
      <c r="S751" s="1"/>
      <c r="T751" s="1"/>
      <c r="U751" s="1"/>
      <c r="V751" s="1"/>
      <c r="Y751" s="1"/>
      <c r="Z751" s="2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U751" s="1"/>
      <c r="AW751" s="1"/>
      <c r="AX751" s="1"/>
      <c r="AY751" s="1"/>
      <c r="AZ751" s="1"/>
      <c r="BA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  <c r="DC751" s="1"/>
      <c r="DD751" s="1"/>
      <c r="DE751" s="1"/>
      <c r="DF751" s="1"/>
      <c r="DG751" s="1"/>
      <c r="DH751" s="1"/>
      <c r="DI751" s="1"/>
      <c r="DJ751" s="1"/>
      <c r="DK751" s="1"/>
      <c r="DL751" s="1"/>
      <c r="DM751" s="1"/>
      <c r="DN751" s="1"/>
      <c r="DO751" s="1"/>
      <c r="DP751" s="1"/>
      <c r="DQ751" s="1"/>
      <c r="DR751" s="1"/>
      <c r="DS751" s="1"/>
      <c r="DT751" s="1"/>
      <c r="DU751" s="1"/>
      <c r="DV751" s="1"/>
      <c r="DW751" s="1"/>
      <c r="DX751" s="1"/>
      <c r="DY751" s="1"/>
      <c r="DZ751" s="1"/>
      <c r="EA751" s="1"/>
      <c r="EB751" s="1"/>
      <c r="EC751" s="1"/>
      <c r="ED751" s="1"/>
      <c r="EE751" s="1"/>
      <c r="EF751" s="1"/>
      <c r="EG751" s="1"/>
      <c r="EH751" s="1"/>
      <c r="EI751" s="1"/>
      <c r="EJ751" s="1"/>
      <c r="EK751" s="1"/>
      <c r="EL751" s="1"/>
      <c r="EM751" s="1"/>
      <c r="EN751" s="1"/>
      <c r="EO751" s="1"/>
      <c r="EP751" s="1"/>
      <c r="EQ751" s="1"/>
      <c r="ER751" s="1"/>
      <c r="ES751" s="1"/>
      <c r="ET751" s="1"/>
      <c r="EU751" s="1"/>
      <c r="EV751" s="1"/>
      <c r="EW751" s="1"/>
      <c r="EX751" s="1"/>
      <c r="EY751" s="1"/>
      <c r="EZ751" s="1"/>
      <c r="FA751" s="1"/>
      <c r="FB751" s="1"/>
      <c r="FC751" s="1"/>
      <c r="FD751" s="1"/>
      <c r="FE751" s="1"/>
      <c r="FF751" s="1"/>
      <c r="FG751" s="1"/>
      <c r="FH751" s="1"/>
      <c r="FI751" s="1"/>
      <c r="FJ751" s="1"/>
      <c r="FK751" s="1"/>
      <c r="FL751" s="1"/>
      <c r="FM751" s="1"/>
      <c r="FN751" s="1"/>
      <c r="FO751" s="1"/>
      <c r="FP751" s="1"/>
      <c r="FQ751" s="1"/>
      <c r="FR751" s="2"/>
      <c r="FS751" s="1"/>
    </row>
    <row r="752" spans="1:175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R752" s="1"/>
      <c r="S752" s="1"/>
      <c r="T752" s="1"/>
      <c r="U752" s="1"/>
      <c r="V752" s="1"/>
      <c r="Y752" s="1"/>
      <c r="Z752" s="2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U752" s="1"/>
      <c r="AW752" s="1"/>
      <c r="AX752" s="1"/>
      <c r="AY752" s="1"/>
      <c r="AZ752" s="1"/>
      <c r="BA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  <c r="DC752" s="1"/>
      <c r="DD752" s="1"/>
      <c r="DE752" s="1"/>
      <c r="DF752" s="1"/>
      <c r="DG752" s="1"/>
      <c r="DH752" s="1"/>
      <c r="DI752" s="1"/>
      <c r="DJ752" s="1"/>
      <c r="DK752" s="1"/>
      <c r="DL752" s="1"/>
      <c r="DM752" s="1"/>
      <c r="DN752" s="1"/>
      <c r="DO752" s="1"/>
      <c r="DP752" s="1"/>
      <c r="DQ752" s="1"/>
      <c r="DR752" s="1"/>
      <c r="DS752" s="1"/>
      <c r="DT752" s="1"/>
      <c r="DU752" s="1"/>
      <c r="DV752" s="1"/>
      <c r="DW752" s="1"/>
      <c r="DX752" s="1"/>
      <c r="DY752" s="1"/>
      <c r="DZ752" s="1"/>
      <c r="EA752" s="1"/>
      <c r="EB752" s="1"/>
      <c r="EC752" s="1"/>
      <c r="ED752" s="1"/>
      <c r="EE752" s="1"/>
      <c r="EF752" s="1"/>
      <c r="EG752" s="1"/>
      <c r="EH752" s="1"/>
      <c r="EI752" s="1"/>
      <c r="EJ752" s="1"/>
      <c r="EK752" s="1"/>
      <c r="EL752" s="1"/>
      <c r="EM752" s="1"/>
      <c r="EN752" s="1"/>
      <c r="EO752" s="1"/>
      <c r="EP752" s="1"/>
      <c r="EQ752" s="1"/>
      <c r="ER752" s="1"/>
      <c r="ES752" s="1"/>
      <c r="ET752" s="1"/>
      <c r="EU752" s="1"/>
      <c r="EV752" s="1"/>
      <c r="EW752" s="1"/>
      <c r="EX752" s="1"/>
      <c r="EY752" s="1"/>
      <c r="EZ752" s="1"/>
      <c r="FA752" s="1"/>
      <c r="FB752" s="1"/>
      <c r="FC752" s="1"/>
      <c r="FD752" s="1"/>
      <c r="FE752" s="1"/>
      <c r="FF752" s="1"/>
      <c r="FG752" s="1"/>
      <c r="FH752" s="1"/>
      <c r="FI752" s="1"/>
      <c r="FJ752" s="1"/>
      <c r="FK752" s="1"/>
      <c r="FL752" s="1"/>
      <c r="FM752" s="1"/>
      <c r="FN752" s="1"/>
      <c r="FO752" s="1"/>
      <c r="FP752" s="1"/>
      <c r="FQ752" s="1"/>
      <c r="FR752" s="2"/>
      <c r="FS752" s="1"/>
    </row>
    <row r="753" spans="1:175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R753" s="1"/>
      <c r="S753" s="1"/>
      <c r="T753" s="1"/>
      <c r="U753" s="1"/>
      <c r="V753" s="1"/>
      <c r="Y753" s="1"/>
      <c r="Z753" s="2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U753" s="1"/>
      <c r="AW753" s="1"/>
      <c r="AX753" s="1"/>
      <c r="AY753" s="1"/>
      <c r="AZ753" s="1"/>
      <c r="BA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  <c r="DC753" s="1"/>
      <c r="DD753" s="1"/>
      <c r="DE753" s="1"/>
      <c r="DF753" s="1"/>
      <c r="DG753" s="1"/>
      <c r="DH753" s="1"/>
      <c r="DI753" s="1"/>
      <c r="DJ753" s="1"/>
      <c r="DK753" s="1"/>
      <c r="DL753" s="1"/>
      <c r="DM753" s="1"/>
      <c r="DN753" s="1"/>
      <c r="DO753" s="1"/>
      <c r="DP753" s="1"/>
      <c r="DQ753" s="1"/>
      <c r="DR753" s="1"/>
      <c r="DS753" s="1"/>
      <c r="DT753" s="1"/>
      <c r="DU753" s="1"/>
      <c r="DV753" s="1"/>
      <c r="DW753" s="1"/>
      <c r="DX753" s="1"/>
      <c r="DY753" s="1"/>
      <c r="DZ753" s="1"/>
      <c r="EA753" s="1"/>
      <c r="EB753" s="1"/>
      <c r="EC753" s="1"/>
      <c r="ED753" s="1"/>
      <c r="EE753" s="1"/>
      <c r="EF753" s="1"/>
      <c r="EG753" s="1"/>
      <c r="EH753" s="1"/>
      <c r="EI753" s="1"/>
      <c r="EJ753" s="1"/>
      <c r="EK753" s="1"/>
      <c r="EL753" s="1"/>
      <c r="EM753" s="1"/>
      <c r="EN753" s="1"/>
      <c r="EO753" s="1"/>
      <c r="EP753" s="1"/>
      <c r="EQ753" s="1"/>
      <c r="ER753" s="1"/>
      <c r="ES753" s="1"/>
      <c r="ET753" s="1"/>
      <c r="EU753" s="1"/>
      <c r="EV753" s="1"/>
      <c r="EW753" s="1"/>
      <c r="EX753" s="1"/>
      <c r="EY753" s="1"/>
      <c r="EZ753" s="1"/>
      <c r="FA753" s="1"/>
      <c r="FB753" s="1"/>
      <c r="FC753" s="1"/>
      <c r="FD753" s="1"/>
      <c r="FE753" s="1"/>
      <c r="FF753" s="1"/>
      <c r="FG753" s="1"/>
      <c r="FH753" s="1"/>
      <c r="FI753" s="1"/>
      <c r="FJ753" s="1"/>
      <c r="FK753" s="1"/>
      <c r="FL753" s="1"/>
      <c r="FM753" s="1"/>
      <c r="FN753" s="1"/>
      <c r="FO753" s="1"/>
      <c r="FP753" s="1"/>
      <c r="FQ753" s="1"/>
      <c r="FR753" s="2"/>
      <c r="FS753" s="1"/>
    </row>
    <row r="754" spans="1:175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R754" s="1"/>
      <c r="S754" s="1"/>
      <c r="T754" s="1"/>
      <c r="U754" s="1"/>
      <c r="V754" s="1"/>
      <c r="Y754" s="1"/>
      <c r="Z754" s="2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U754" s="1"/>
      <c r="AW754" s="1"/>
      <c r="AX754" s="1"/>
      <c r="AY754" s="1"/>
      <c r="AZ754" s="1"/>
      <c r="BA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  <c r="DC754" s="1"/>
      <c r="DD754" s="1"/>
      <c r="DE754" s="1"/>
      <c r="DF754" s="1"/>
      <c r="DG754" s="1"/>
      <c r="DH754" s="1"/>
      <c r="DI754" s="1"/>
      <c r="DJ754" s="1"/>
      <c r="DK754" s="1"/>
      <c r="DL754" s="1"/>
      <c r="DM754" s="1"/>
      <c r="DN754" s="1"/>
      <c r="DO754" s="1"/>
      <c r="DP754" s="1"/>
      <c r="DQ754" s="1"/>
      <c r="DR754" s="1"/>
      <c r="DS754" s="1"/>
      <c r="DT754" s="1"/>
      <c r="DU754" s="1"/>
      <c r="DV754" s="1"/>
      <c r="DW754" s="1"/>
      <c r="DX754" s="1"/>
      <c r="DY754" s="1"/>
      <c r="DZ754" s="1"/>
      <c r="EA754" s="1"/>
      <c r="EB754" s="1"/>
      <c r="EC754" s="1"/>
      <c r="ED754" s="1"/>
      <c r="EE754" s="1"/>
      <c r="EF754" s="1"/>
      <c r="EG754" s="1"/>
      <c r="EH754" s="1"/>
      <c r="EI754" s="1"/>
      <c r="EJ754" s="1"/>
      <c r="EK754" s="1"/>
      <c r="EL754" s="1"/>
      <c r="EM754" s="1"/>
      <c r="EN754" s="1"/>
      <c r="EO754" s="1"/>
      <c r="EP754" s="1"/>
      <c r="EQ754" s="1"/>
      <c r="ER754" s="1"/>
      <c r="ES754" s="1"/>
      <c r="ET754" s="1"/>
      <c r="EU754" s="1"/>
      <c r="EV754" s="1"/>
      <c r="EW754" s="1"/>
      <c r="EX754" s="1"/>
      <c r="EY754" s="1"/>
      <c r="EZ754" s="1"/>
      <c r="FA754" s="1"/>
      <c r="FB754" s="1"/>
      <c r="FC754" s="1"/>
      <c r="FD754" s="1"/>
      <c r="FE754" s="1"/>
      <c r="FF754" s="1"/>
      <c r="FG754" s="1"/>
      <c r="FH754" s="1"/>
      <c r="FI754" s="1"/>
      <c r="FJ754" s="1"/>
      <c r="FK754" s="1"/>
      <c r="FL754" s="1"/>
      <c r="FM754" s="1"/>
      <c r="FN754" s="1"/>
      <c r="FO754" s="1"/>
      <c r="FP754" s="1"/>
      <c r="FQ754" s="1"/>
      <c r="FR754" s="2"/>
      <c r="FS754" s="1"/>
    </row>
    <row r="755" spans="1:175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R755" s="1"/>
      <c r="S755" s="1"/>
      <c r="T755" s="1"/>
      <c r="U755" s="1"/>
      <c r="V755" s="1"/>
      <c r="Y755" s="1"/>
      <c r="Z755" s="2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U755" s="1"/>
      <c r="AW755" s="1"/>
      <c r="AX755" s="1"/>
      <c r="AY755" s="1"/>
      <c r="AZ755" s="1"/>
      <c r="BA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  <c r="DC755" s="1"/>
      <c r="DD755" s="1"/>
      <c r="DE755" s="1"/>
      <c r="DF755" s="1"/>
      <c r="DG755" s="1"/>
      <c r="DH755" s="1"/>
      <c r="DI755" s="1"/>
      <c r="DJ755" s="1"/>
      <c r="DK755" s="1"/>
      <c r="DL755" s="1"/>
      <c r="DM755" s="1"/>
      <c r="DN755" s="1"/>
      <c r="DO755" s="1"/>
      <c r="DP755" s="1"/>
      <c r="DQ755" s="1"/>
      <c r="DR755" s="1"/>
      <c r="DS755" s="1"/>
      <c r="DT755" s="1"/>
      <c r="DU755" s="1"/>
      <c r="DV755" s="1"/>
      <c r="DW755" s="1"/>
      <c r="DX755" s="1"/>
      <c r="DY755" s="1"/>
      <c r="DZ755" s="1"/>
      <c r="EA755" s="1"/>
      <c r="EB755" s="1"/>
      <c r="EC755" s="1"/>
      <c r="ED755" s="1"/>
      <c r="EE755" s="1"/>
      <c r="EF755" s="1"/>
      <c r="EG755" s="1"/>
      <c r="EH755" s="1"/>
      <c r="EI755" s="1"/>
      <c r="EJ755" s="1"/>
      <c r="EK755" s="1"/>
      <c r="EL755" s="1"/>
      <c r="EM755" s="1"/>
      <c r="EN755" s="1"/>
      <c r="EO755" s="1"/>
      <c r="EP755" s="1"/>
      <c r="EQ755" s="1"/>
      <c r="ER755" s="1"/>
      <c r="ES755" s="1"/>
      <c r="ET755" s="1"/>
      <c r="EU755" s="1"/>
      <c r="EV755" s="1"/>
      <c r="EW755" s="1"/>
      <c r="EX755" s="1"/>
      <c r="EY755" s="1"/>
      <c r="EZ755" s="1"/>
      <c r="FA755" s="1"/>
      <c r="FB755" s="1"/>
      <c r="FC755" s="1"/>
      <c r="FD755" s="1"/>
      <c r="FE755" s="1"/>
      <c r="FF755" s="1"/>
      <c r="FG755" s="1"/>
      <c r="FH755" s="1"/>
      <c r="FI755" s="1"/>
      <c r="FJ755" s="1"/>
      <c r="FK755" s="1"/>
      <c r="FL755" s="1"/>
      <c r="FM755" s="1"/>
      <c r="FN755" s="1"/>
      <c r="FO755" s="1"/>
      <c r="FP755" s="1"/>
      <c r="FQ755" s="1"/>
      <c r="FR755" s="2"/>
      <c r="FS755" s="1"/>
    </row>
    <row r="756" spans="1:175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R756" s="1"/>
      <c r="S756" s="1"/>
      <c r="T756" s="1"/>
      <c r="U756" s="1"/>
      <c r="V756" s="1"/>
      <c r="Y756" s="1"/>
      <c r="Z756" s="2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U756" s="1"/>
      <c r="AW756" s="1"/>
      <c r="AX756" s="1"/>
      <c r="AY756" s="1"/>
      <c r="AZ756" s="1"/>
      <c r="BA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  <c r="DC756" s="1"/>
      <c r="DD756" s="1"/>
      <c r="DE756" s="1"/>
      <c r="DF756" s="1"/>
      <c r="DG756" s="1"/>
      <c r="DH756" s="1"/>
      <c r="DI756" s="1"/>
      <c r="DJ756" s="1"/>
      <c r="DK756" s="1"/>
      <c r="DL756" s="1"/>
      <c r="DM756" s="1"/>
      <c r="DN756" s="1"/>
      <c r="DO756" s="1"/>
      <c r="DP756" s="1"/>
      <c r="DQ756" s="1"/>
      <c r="DR756" s="1"/>
      <c r="DS756" s="1"/>
      <c r="DT756" s="1"/>
      <c r="DU756" s="1"/>
      <c r="DV756" s="1"/>
      <c r="DW756" s="1"/>
      <c r="DX756" s="1"/>
      <c r="DY756" s="1"/>
      <c r="DZ756" s="1"/>
      <c r="EA756" s="1"/>
      <c r="EB756" s="1"/>
      <c r="EC756" s="1"/>
      <c r="ED756" s="1"/>
      <c r="EE756" s="1"/>
      <c r="EF756" s="1"/>
      <c r="EG756" s="1"/>
      <c r="EH756" s="1"/>
      <c r="EI756" s="1"/>
      <c r="EJ756" s="1"/>
      <c r="EK756" s="1"/>
      <c r="EL756" s="1"/>
      <c r="EM756" s="1"/>
      <c r="EN756" s="1"/>
      <c r="EO756" s="1"/>
      <c r="EP756" s="1"/>
      <c r="EQ756" s="1"/>
      <c r="ER756" s="1"/>
      <c r="ES756" s="1"/>
      <c r="ET756" s="1"/>
      <c r="EU756" s="1"/>
      <c r="EV756" s="1"/>
      <c r="EW756" s="1"/>
      <c r="EX756" s="1"/>
      <c r="EY756" s="1"/>
      <c r="EZ756" s="1"/>
      <c r="FA756" s="1"/>
      <c r="FB756" s="1"/>
      <c r="FC756" s="1"/>
      <c r="FD756" s="1"/>
      <c r="FE756" s="1"/>
      <c r="FF756" s="1"/>
      <c r="FG756" s="1"/>
      <c r="FH756" s="1"/>
      <c r="FI756" s="1"/>
      <c r="FJ756" s="1"/>
      <c r="FK756" s="1"/>
      <c r="FL756" s="1"/>
      <c r="FM756" s="1"/>
      <c r="FN756" s="1"/>
      <c r="FO756" s="1"/>
      <c r="FP756" s="1"/>
      <c r="FQ756" s="1"/>
      <c r="FR756" s="2"/>
      <c r="FS756" s="1"/>
    </row>
    <row r="757" spans="1:175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R757" s="1"/>
      <c r="S757" s="1"/>
      <c r="T757" s="1"/>
      <c r="U757" s="1"/>
      <c r="V757" s="1"/>
      <c r="Y757" s="1"/>
      <c r="Z757" s="2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U757" s="1"/>
      <c r="AW757" s="1"/>
      <c r="AX757" s="1"/>
      <c r="AY757" s="1"/>
      <c r="AZ757" s="1"/>
      <c r="BA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  <c r="DC757" s="1"/>
      <c r="DD757" s="1"/>
      <c r="DE757" s="1"/>
      <c r="DF757" s="1"/>
      <c r="DG757" s="1"/>
      <c r="DH757" s="1"/>
      <c r="DI757" s="1"/>
      <c r="DJ757" s="1"/>
      <c r="DK757" s="1"/>
      <c r="DL757" s="1"/>
      <c r="DM757" s="1"/>
      <c r="DN757" s="1"/>
      <c r="DO757" s="1"/>
      <c r="DP757" s="1"/>
      <c r="DQ757" s="1"/>
      <c r="DR757" s="1"/>
      <c r="DS757" s="1"/>
      <c r="DT757" s="1"/>
      <c r="DU757" s="1"/>
      <c r="DV757" s="1"/>
      <c r="DW757" s="1"/>
      <c r="DX757" s="1"/>
      <c r="DY757" s="1"/>
      <c r="DZ757" s="1"/>
      <c r="EA757" s="1"/>
      <c r="EB757" s="1"/>
      <c r="EC757" s="1"/>
      <c r="ED757" s="1"/>
      <c r="EE757" s="1"/>
      <c r="EF757" s="1"/>
      <c r="EG757" s="1"/>
      <c r="EH757" s="1"/>
      <c r="EI757" s="1"/>
      <c r="EJ757" s="1"/>
      <c r="EK757" s="1"/>
      <c r="EL757" s="1"/>
      <c r="EM757" s="1"/>
      <c r="EN757" s="1"/>
      <c r="EO757" s="1"/>
      <c r="EP757" s="1"/>
      <c r="EQ757" s="1"/>
      <c r="ER757" s="1"/>
      <c r="ES757" s="1"/>
      <c r="ET757" s="1"/>
      <c r="EU757" s="1"/>
      <c r="EV757" s="1"/>
      <c r="EW757" s="1"/>
      <c r="EX757" s="1"/>
      <c r="EY757" s="1"/>
      <c r="EZ757" s="1"/>
      <c r="FA757" s="1"/>
      <c r="FB757" s="1"/>
      <c r="FC757" s="1"/>
      <c r="FD757" s="1"/>
      <c r="FE757" s="1"/>
      <c r="FF757" s="1"/>
      <c r="FG757" s="1"/>
      <c r="FH757" s="1"/>
      <c r="FI757" s="1"/>
      <c r="FJ757" s="1"/>
      <c r="FK757" s="1"/>
      <c r="FL757" s="1"/>
      <c r="FM757" s="1"/>
      <c r="FN757" s="1"/>
      <c r="FO757" s="1"/>
      <c r="FP757" s="1"/>
      <c r="FQ757" s="1"/>
      <c r="FR757" s="2"/>
      <c r="FS757" s="1"/>
    </row>
    <row r="758" spans="1:175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R758" s="1"/>
      <c r="S758" s="1"/>
      <c r="T758" s="1"/>
      <c r="U758" s="1"/>
      <c r="V758" s="1"/>
      <c r="Y758" s="1"/>
      <c r="Z758" s="2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U758" s="1"/>
      <c r="AW758" s="1"/>
      <c r="AX758" s="1"/>
      <c r="AY758" s="1"/>
      <c r="AZ758" s="1"/>
      <c r="BA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  <c r="DC758" s="1"/>
      <c r="DD758" s="1"/>
      <c r="DE758" s="1"/>
      <c r="DF758" s="1"/>
      <c r="DG758" s="1"/>
      <c r="DH758" s="1"/>
      <c r="DI758" s="1"/>
      <c r="DJ758" s="1"/>
      <c r="DK758" s="1"/>
      <c r="DL758" s="1"/>
      <c r="DM758" s="1"/>
      <c r="DN758" s="1"/>
      <c r="DO758" s="1"/>
      <c r="DP758" s="1"/>
      <c r="DQ758" s="1"/>
      <c r="DR758" s="1"/>
      <c r="DS758" s="1"/>
      <c r="DT758" s="1"/>
      <c r="DU758" s="1"/>
      <c r="DV758" s="1"/>
      <c r="DW758" s="1"/>
      <c r="DX758" s="1"/>
      <c r="DY758" s="1"/>
      <c r="DZ758" s="1"/>
      <c r="EA758" s="1"/>
      <c r="EB758" s="1"/>
      <c r="EC758" s="1"/>
      <c r="ED758" s="1"/>
      <c r="EE758" s="1"/>
      <c r="EF758" s="1"/>
      <c r="EG758" s="1"/>
      <c r="EH758" s="1"/>
      <c r="EI758" s="1"/>
      <c r="EJ758" s="1"/>
      <c r="EK758" s="1"/>
      <c r="EL758" s="1"/>
      <c r="EM758" s="1"/>
      <c r="EN758" s="1"/>
      <c r="EO758" s="1"/>
      <c r="EP758" s="1"/>
      <c r="EQ758" s="1"/>
      <c r="ER758" s="1"/>
      <c r="ES758" s="1"/>
      <c r="ET758" s="1"/>
      <c r="EU758" s="1"/>
      <c r="EV758" s="1"/>
      <c r="EW758" s="1"/>
      <c r="EX758" s="1"/>
      <c r="EY758" s="1"/>
      <c r="EZ758" s="1"/>
      <c r="FA758" s="1"/>
      <c r="FB758" s="1"/>
      <c r="FC758" s="1"/>
      <c r="FD758" s="1"/>
      <c r="FE758" s="1"/>
      <c r="FF758" s="1"/>
      <c r="FG758" s="1"/>
      <c r="FH758" s="1"/>
      <c r="FI758" s="1"/>
      <c r="FJ758" s="1"/>
      <c r="FK758" s="1"/>
      <c r="FL758" s="1"/>
      <c r="FM758" s="1"/>
      <c r="FN758" s="1"/>
      <c r="FO758" s="1"/>
      <c r="FP758" s="1"/>
      <c r="FQ758" s="1"/>
      <c r="FR758" s="2"/>
      <c r="FS758" s="1"/>
    </row>
    <row r="759" spans="1:175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R759" s="1"/>
      <c r="S759" s="1"/>
      <c r="T759" s="1"/>
      <c r="U759" s="1"/>
      <c r="V759" s="1"/>
      <c r="Y759" s="1"/>
      <c r="Z759" s="2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U759" s="1"/>
      <c r="AW759" s="1"/>
      <c r="AX759" s="1"/>
      <c r="AY759" s="1"/>
      <c r="AZ759" s="1"/>
      <c r="BA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  <c r="DC759" s="1"/>
      <c r="DD759" s="1"/>
      <c r="DE759" s="1"/>
      <c r="DF759" s="1"/>
      <c r="DG759" s="1"/>
      <c r="DH759" s="1"/>
      <c r="DI759" s="1"/>
      <c r="DJ759" s="1"/>
      <c r="DK759" s="1"/>
      <c r="DL759" s="1"/>
      <c r="DM759" s="1"/>
      <c r="DN759" s="1"/>
      <c r="DO759" s="1"/>
      <c r="DP759" s="1"/>
      <c r="DQ759" s="1"/>
      <c r="DR759" s="1"/>
      <c r="DS759" s="1"/>
      <c r="DT759" s="1"/>
      <c r="DU759" s="1"/>
      <c r="DV759" s="1"/>
      <c r="DW759" s="1"/>
      <c r="DX759" s="1"/>
      <c r="DY759" s="1"/>
      <c r="DZ759" s="1"/>
      <c r="EA759" s="1"/>
      <c r="EB759" s="1"/>
      <c r="EC759" s="1"/>
      <c r="ED759" s="1"/>
      <c r="EE759" s="1"/>
      <c r="EF759" s="1"/>
      <c r="EG759" s="1"/>
      <c r="EH759" s="1"/>
      <c r="EI759" s="1"/>
      <c r="EJ759" s="1"/>
      <c r="EK759" s="1"/>
      <c r="EL759" s="1"/>
      <c r="EM759" s="1"/>
      <c r="EN759" s="1"/>
      <c r="EO759" s="1"/>
      <c r="EP759" s="1"/>
      <c r="EQ759" s="1"/>
      <c r="ER759" s="1"/>
      <c r="ES759" s="1"/>
      <c r="ET759" s="1"/>
      <c r="EU759" s="1"/>
      <c r="EV759" s="1"/>
      <c r="EW759" s="1"/>
      <c r="EX759" s="1"/>
      <c r="EY759" s="1"/>
      <c r="EZ759" s="1"/>
      <c r="FA759" s="1"/>
      <c r="FB759" s="1"/>
      <c r="FC759" s="1"/>
      <c r="FD759" s="1"/>
      <c r="FE759" s="1"/>
      <c r="FF759" s="1"/>
      <c r="FG759" s="1"/>
      <c r="FH759" s="1"/>
      <c r="FI759" s="1"/>
      <c r="FJ759" s="1"/>
      <c r="FK759" s="1"/>
      <c r="FL759" s="1"/>
      <c r="FM759" s="1"/>
      <c r="FN759" s="1"/>
      <c r="FO759" s="1"/>
      <c r="FP759" s="1"/>
      <c r="FQ759" s="1"/>
      <c r="FR759" s="2"/>
      <c r="FS759" s="1"/>
    </row>
    <row r="760" spans="1:175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R760" s="1"/>
      <c r="S760" s="1"/>
      <c r="T760" s="1"/>
      <c r="U760" s="1"/>
      <c r="V760" s="1"/>
      <c r="Y760" s="1"/>
      <c r="Z760" s="2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U760" s="1"/>
      <c r="AW760" s="1"/>
      <c r="AX760" s="1"/>
      <c r="AY760" s="1"/>
      <c r="AZ760" s="1"/>
      <c r="BA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  <c r="DC760" s="1"/>
      <c r="DD760" s="1"/>
      <c r="DE760" s="1"/>
      <c r="DF760" s="1"/>
      <c r="DG760" s="1"/>
      <c r="DH760" s="1"/>
      <c r="DI760" s="1"/>
      <c r="DJ760" s="1"/>
      <c r="DK760" s="1"/>
      <c r="DL760" s="1"/>
      <c r="DM760" s="1"/>
      <c r="DN760" s="1"/>
      <c r="DO760" s="1"/>
      <c r="DP760" s="1"/>
      <c r="DQ760" s="1"/>
      <c r="DR760" s="1"/>
      <c r="DS760" s="1"/>
      <c r="DT760" s="1"/>
      <c r="DU760" s="1"/>
      <c r="DV760" s="1"/>
      <c r="DW760" s="1"/>
      <c r="DX760" s="1"/>
      <c r="DY760" s="1"/>
      <c r="DZ760" s="1"/>
      <c r="EA760" s="1"/>
      <c r="EB760" s="1"/>
      <c r="EC760" s="1"/>
      <c r="ED760" s="1"/>
      <c r="EE760" s="1"/>
      <c r="EF760" s="1"/>
      <c r="EG760" s="1"/>
      <c r="EH760" s="1"/>
      <c r="EI760" s="1"/>
      <c r="EJ760" s="1"/>
      <c r="EK760" s="1"/>
      <c r="EL760" s="1"/>
      <c r="EM760" s="1"/>
      <c r="EN760" s="1"/>
      <c r="EO760" s="1"/>
      <c r="EP760" s="1"/>
      <c r="EQ760" s="1"/>
      <c r="ER760" s="1"/>
      <c r="ES760" s="1"/>
      <c r="ET760" s="1"/>
      <c r="EU760" s="1"/>
      <c r="EV760" s="1"/>
      <c r="EW760" s="1"/>
      <c r="EX760" s="1"/>
      <c r="EY760" s="1"/>
      <c r="EZ760" s="1"/>
      <c r="FA760" s="1"/>
      <c r="FB760" s="1"/>
      <c r="FC760" s="1"/>
      <c r="FD760" s="1"/>
      <c r="FE760" s="1"/>
      <c r="FF760" s="1"/>
      <c r="FG760" s="1"/>
      <c r="FH760" s="1"/>
      <c r="FI760" s="1"/>
      <c r="FJ760" s="1"/>
      <c r="FK760" s="1"/>
      <c r="FL760" s="1"/>
      <c r="FM760" s="1"/>
      <c r="FN760" s="1"/>
      <c r="FO760" s="1"/>
      <c r="FP760" s="1"/>
      <c r="FQ760" s="1"/>
      <c r="FR760" s="2"/>
      <c r="FS760" s="1"/>
    </row>
    <row r="761" spans="1:175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R761" s="1"/>
      <c r="S761" s="1"/>
      <c r="T761" s="1"/>
      <c r="U761" s="1"/>
      <c r="V761" s="1"/>
      <c r="Y761" s="1"/>
      <c r="Z761" s="2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U761" s="1"/>
      <c r="AW761" s="1"/>
      <c r="AX761" s="1"/>
      <c r="AY761" s="1"/>
      <c r="AZ761" s="1"/>
      <c r="BA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  <c r="DC761" s="1"/>
      <c r="DD761" s="1"/>
      <c r="DE761" s="1"/>
      <c r="DF761" s="1"/>
      <c r="DG761" s="1"/>
      <c r="DH761" s="1"/>
      <c r="DI761" s="1"/>
      <c r="DJ761" s="1"/>
      <c r="DK761" s="1"/>
      <c r="DL761" s="1"/>
      <c r="DM761" s="1"/>
      <c r="DN761" s="1"/>
      <c r="DO761" s="1"/>
      <c r="DP761" s="1"/>
      <c r="DQ761" s="1"/>
      <c r="DR761" s="1"/>
      <c r="DS761" s="1"/>
      <c r="DT761" s="1"/>
      <c r="DU761" s="1"/>
      <c r="DV761" s="1"/>
      <c r="DW761" s="1"/>
      <c r="DX761" s="1"/>
      <c r="DY761" s="1"/>
      <c r="DZ761" s="1"/>
      <c r="EA761" s="1"/>
      <c r="EB761" s="1"/>
      <c r="EC761" s="1"/>
      <c r="ED761" s="1"/>
      <c r="EE761" s="1"/>
      <c r="EF761" s="1"/>
      <c r="EG761" s="1"/>
      <c r="EH761" s="1"/>
      <c r="EI761" s="1"/>
      <c r="EJ761" s="1"/>
      <c r="EK761" s="1"/>
      <c r="EL761" s="1"/>
      <c r="EM761" s="1"/>
      <c r="EN761" s="1"/>
      <c r="EO761" s="1"/>
      <c r="EP761" s="1"/>
      <c r="EQ761" s="1"/>
      <c r="ER761" s="1"/>
      <c r="ES761" s="1"/>
      <c r="ET761" s="1"/>
      <c r="EU761" s="1"/>
      <c r="EV761" s="1"/>
      <c r="EW761" s="1"/>
      <c r="EX761" s="1"/>
      <c r="EY761" s="1"/>
      <c r="EZ761" s="1"/>
      <c r="FA761" s="1"/>
      <c r="FB761" s="1"/>
      <c r="FC761" s="1"/>
      <c r="FD761" s="1"/>
      <c r="FE761" s="1"/>
      <c r="FF761" s="1"/>
      <c r="FG761" s="1"/>
      <c r="FH761" s="1"/>
      <c r="FI761" s="1"/>
      <c r="FJ761" s="1"/>
      <c r="FK761" s="1"/>
      <c r="FL761" s="1"/>
      <c r="FM761" s="1"/>
      <c r="FN761" s="1"/>
      <c r="FO761" s="1"/>
      <c r="FP761" s="1"/>
      <c r="FQ761" s="1"/>
      <c r="FR761" s="2"/>
      <c r="FS761" s="1"/>
    </row>
    <row r="762" spans="1:175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R762" s="1"/>
      <c r="S762" s="1"/>
      <c r="T762" s="1"/>
      <c r="U762" s="1"/>
      <c r="V762" s="1"/>
      <c r="Y762" s="1"/>
      <c r="Z762" s="2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U762" s="1"/>
      <c r="AW762" s="1"/>
      <c r="AX762" s="1"/>
      <c r="AY762" s="1"/>
      <c r="AZ762" s="1"/>
      <c r="BA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  <c r="DC762" s="1"/>
      <c r="DD762" s="1"/>
      <c r="DE762" s="1"/>
      <c r="DF762" s="1"/>
      <c r="DG762" s="1"/>
      <c r="DH762" s="1"/>
      <c r="DI762" s="1"/>
      <c r="DJ762" s="1"/>
      <c r="DK762" s="1"/>
      <c r="DL762" s="1"/>
      <c r="DM762" s="1"/>
      <c r="DN762" s="1"/>
      <c r="DO762" s="1"/>
      <c r="DP762" s="1"/>
      <c r="DQ762" s="1"/>
      <c r="DR762" s="1"/>
      <c r="DS762" s="1"/>
      <c r="DT762" s="1"/>
      <c r="DU762" s="1"/>
      <c r="DV762" s="1"/>
      <c r="DW762" s="1"/>
      <c r="DX762" s="1"/>
      <c r="DY762" s="1"/>
      <c r="DZ762" s="1"/>
      <c r="EA762" s="1"/>
      <c r="EB762" s="1"/>
      <c r="EC762" s="1"/>
      <c r="ED762" s="1"/>
      <c r="EE762" s="1"/>
      <c r="EF762" s="1"/>
      <c r="EG762" s="1"/>
      <c r="EH762" s="1"/>
      <c r="EI762" s="1"/>
      <c r="EJ762" s="1"/>
      <c r="EK762" s="1"/>
      <c r="EL762" s="1"/>
      <c r="EM762" s="1"/>
      <c r="EN762" s="1"/>
      <c r="EO762" s="1"/>
      <c r="EP762" s="1"/>
      <c r="EQ762" s="1"/>
      <c r="ER762" s="1"/>
      <c r="ES762" s="1"/>
      <c r="ET762" s="1"/>
      <c r="EU762" s="1"/>
      <c r="EV762" s="1"/>
      <c r="EW762" s="1"/>
      <c r="EX762" s="1"/>
      <c r="EY762" s="1"/>
      <c r="EZ762" s="1"/>
      <c r="FA762" s="1"/>
      <c r="FB762" s="1"/>
      <c r="FC762" s="1"/>
      <c r="FD762" s="1"/>
      <c r="FE762" s="1"/>
      <c r="FF762" s="1"/>
      <c r="FG762" s="1"/>
      <c r="FH762" s="1"/>
      <c r="FI762" s="1"/>
      <c r="FJ762" s="1"/>
      <c r="FK762" s="1"/>
      <c r="FL762" s="1"/>
      <c r="FM762" s="1"/>
      <c r="FN762" s="1"/>
      <c r="FO762" s="1"/>
      <c r="FP762" s="1"/>
      <c r="FQ762" s="1"/>
      <c r="FR762" s="2"/>
      <c r="FS762" s="1"/>
    </row>
    <row r="763" spans="1:175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R763" s="1"/>
      <c r="S763" s="1"/>
      <c r="T763" s="1"/>
      <c r="U763" s="1"/>
      <c r="V763" s="1"/>
      <c r="Y763" s="1"/>
      <c r="Z763" s="2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U763" s="1"/>
      <c r="AW763" s="1"/>
      <c r="AX763" s="1"/>
      <c r="AY763" s="1"/>
      <c r="AZ763" s="1"/>
      <c r="BA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  <c r="DC763" s="1"/>
      <c r="DD763" s="1"/>
      <c r="DE763" s="1"/>
      <c r="DF763" s="1"/>
      <c r="DG763" s="1"/>
      <c r="DH763" s="1"/>
      <c r="DI763" s="1"/>
      <c r="DJ763" s="1"/>
      <c r="DK763" s="1"/>
      <c r="DL763" s="1"/>
      <c r="DM763" s="1"/>
      <c r="DN763" s="1"/>
      <c r="DO763" s="1"/>
      <c r="DP763" s="1"/>
      <c r="DQ763" s="1"/>
      <c r="DR763" s="1"/>
      <c r="DS763" s="1"/>
      <c r="DT763" s="1"/>
      <c r="DU763" s="1"/>
      <c r="DV763" s="1"/>
      <c r="DW763" s="1"/>
      <c r="DX763" s="1"/>
      <c r="DY763" s="1"/>
      <c r="DZ763" s="1"/>
      <c r="EA763" s="1"/>
      <c r="EB763" s="1"/>
      <c r="EC763" s="1"/>
      <c r="ED763" s="1"/>
      <c r="EE763" s="1"/>
      <c r="EF763" s="1"/>
      <c r="EG763" s="1"/>
      <c r="EH763" s="1"/>
      <c r="EI763" s="1"/>
      <c r="EJ763" s="1"/>
      <c r="EK763" s="1"/>
      <c r="EL763" s="1"/>
      <c r="EM763" s="1"/>
      <c r="EN763" s="1"/>
      <c r="EO763" s="1"/>
      <c r="EP763" s="1"/>
      <c r="EQ763" s="1"/>
      <c r="ER763" s="1"/>
      <c r="ES763" s="1"/>
      <c r="ET763" s="1"/>
      <c r="EU763" s="1"/>
      <c r="EV763" s="1"/>
      <c r="EW763" s="1"/>
      <c r="EX763" s="1"/>
      <c r="EY763" s="1"/>
      <c r="EZ763" s="1"/>
      <c r="FA763" s="1"/>
      <c r="FB763" s="1"/>
      <c r="FC763" s="1"/>
      <c r="FD763" s="1"/>
      <c r="FE763" s="1"/>
      <c r="FF763" s="1"/>
      <c r="FG763" s="1"/>
      <c r="FH763" s="1"/>
      <c r="FI763" s="1"/>
      <c r="FJ763" s="1"/>
      <c r="FK763" s="1"/>
      <c r="FL763" s="1"/>
      <c r="FM763" s="1"/>
      <c r="FN763" s="1"/>
      <c r="FO763" s="1"/>
      <c r="FP763" s="1"/>
      <c r="FQ763" s="1"/>
      <c r="FR763" s="2"/>
      <c r="FS763" s="1"/>
    </row>
    <row r="764" spans="1:175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R764" s="1"/>
      <c r="S764" s="1"/>
      <c r="T764" s="1"/>
      <c r="U764" s="1"/>
      <c r="V764" s="1"/>
      <c r="Y764" s="1"/>
      <c r="Z764" s="2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U764" s="1"/>
      <c r="AW764" s="1"/>
      <c r="AX764" s="1"/>
      <c r="AY764" s="1"/>
      <c r="AZ764" s="1"/>
      <c r="BA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  <c r="DC764" s="1"/>
      <c r="DD764" s="1"/>
      <c r="DE764" s="1"/>
      <c r="DF764" s="1"/>
      <c r="DG764" s="1"/>
      <c r="DH764" s="1"/>
      <c r="DI764" s="1"/>
      <c r="DJ764" s="1"/>
      <c r="DK764" s="1"/>
      <c r="DL764" s="1"/>
      <c r="DM764" s="1"/>
      <c r="DN764" s="1"/>
      <c r="DO764" s="1"/>
      <c r="DP764" s="1"/>
      <c r="DQ764" s="1"/>
      <c r="DR764" s="1"/>
      <c r="DS764" s="1"/>
      <c r="DT764" s="1"/>
      <c r="DU764" s="1"/>
      <c r="DV764" s="1"/>
      <c r="DW764" s="1"/>
      <c r="DX764" s="1"/>
      <c r="DY764" s="1"/>
      <c r="DZ764" s="1"/>
      <c r="EA764" s="1"/>
      <c r="EB764" s="1"/>
      <c r="EC764" s="1"/>
      <c r="ED764" s="1"/>
      <c r="EE764" s="1"/>
      <c r="EF764" s="1"/>
      <c r="EG764" s="1"/>
      <c r="EH764" s="1"/>
      <c r="EI764" s="1"/>
      <c r="EJ764" s="1"/>
      <c r="EK764" s="1"/>
      <c r="EL764" s="1"/>
      <c r="EM764" s="1"/>
      <c r="EN764" s="1"/>
      <c r="EO764" s="1"/>
      <c r="EP764" s="1"/>
      <c r="EQ764" s="1"/>
      <c r="ER764" s="1"/>
      <c r="ES764" s="1"/>
      <c r="ET764" s="1"/>
      <c r="EU764" s="1"/>
      <c r="EV764" s="1"/>
      <c r="EW764" s="1"/>
      <c r="EX764" s="1"/>
      <c r="EY764" s="1"/>
      <c r="EZ764" s="1"/>
      <c r="FA764" s="1"/>
      <c r="FB764" s="1"/>
      <c r="FC764" s="1"/>
      <c r="FD764" s="1"/>
      <c r="FE764" s="1"/>
      <c r="FF764" s="1"/>
      <c r="FG764" s="1"/>
      <c r="FH764" s="1"/>
      <c r="FI764" s="1"/>
      <c r="FJ764" s="1"/>
      <c r="FK764" s="1"/>
      <c r="FL764" s="1"/>
      <c r="FM764" s="1"/>
      <c r="FN764" s="1"/>
      <c r="FO764" s="1"/>
      <c r="FP764" s="1"/>
      <c r="FQ764" s="1"/>
      <c r="FR764" s="2"/>
      <c r="FS764" s="1"/>
    </row>
    <row r="765" spans="1:175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R765" s="1"/>
      <c r="S765" s="1"/>
      <c r="T765" s="1"/>
      <c r="U765" s="1"/>
      <c r="V765" s="1"/>
      <c r="Y765" s="1"/>
      <c r="Z765" s="2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U765" s="1"/>
      <c r="AW765" s="1"/>
      <c r="AX765" s="1"/>
      <c r="AY765" s="1"/>
      <c r="AZ765" s="1"/>
      <c r="BA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  <c r="DC765" s="1"/>
      <c r="DD765" s="1"/>
      <c r="DE765" s="1"/>
      <c r="DF765" s="1"/>
      <c r="DG765" s="1"/>
      <c r="DH765" s="1"/>
      <c r="DI765" s="1"/>
      <c r="DJ765" s="1"/>
      <c r="DK765" s="1"/>
      <c r="DL765" s="1"/>
      <c r="DM765" s="1"/>
      <c r="DN765" s="1"/>
      <c r="DO765" s="1"/>
      <c r="DP765" s="1"/>
      <c r="DQ765" s="1"/>
      <c r="DR765" s="1"/>
      <c r="DS765" s="1"/>
      <c r="DT765" s="1"/>
      <c r="DU765" s="1"/>
      <c r="DV765" s="1"/>
      <c r="DW765" s="1"/>
      <c r="DX765" s="1"/>
      <c r="DY765" s="1"/>
      <c r="DZ765" s="1"/>
      <c r="EA765" s="1"/>
      <c r="EB765" s="1"/>
      <c r="EC765" s="1"/>
      <c r="ED765" s="1"/>
      <c r="EE765" s="1"/>
      <c r="EF765" s="1"/>
      <c r="EG765" s="1"/>
      <c r="EH765" s="1"/>
      <c r="EI765" s="1"/>
      <c r="EJ765" s="1"/>
      <c r="EK765" s="1"/>
      <c r="EL765" s="1"/>
      <c r="EM765" s="1"/>
      <c r="EN765" s="1"/>
      <c r="EO765" s="1"/>
      <c r="EP765" s="1"/>
      <c r="EQ765" s="1"/>
      <c r="ER765" s="1"/>
      <c r="ES765" s="1"/>
      <c r="ET765" s="1"/>
      <c r="EU765" s="1"/>
      <c r="EV765" s="1"/>
      <c r="EW765" s="1"/>
      <c r="EX765" s="1"/>
      <c r="EY765" s="1"/>
      <c r="EZ765" s="1"/>
      <c r="FA765" s="1"/>
      <c r="FB765" s="1"/>
      <c r="FC765" s="1"/>
      <c r="FD765" s="1"/>
      <c r="FE765" s="1"/>
      <c r="FF765" s="1"/>
      <c r="FG765" s="1"/>
      <c r="FH765" s="1"/>
      <c r="FI765" s="1"/>
      <c r="FJ765" s="1"/>
      <c r="FK765" s="1"/>
      <c r="FL765" s="1"/>
      <c r="FM765" s="1"/>
      <c r="FN765" s="1"/>
      <c r="FO765" s="1"/>
      <c r="FP765" s="1"/>
      <c r="FQ765" s="1"/>
      <c r="FR765" s="2"/>
      <c r="FS765" s="1"/>
    </row>
    <row r="766" spans="1:175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R766" s="1"/>
      <c r="S766" s="1"/>
      <c r="T766" s="1"/>
      <c r="U766" s="1"/>
      <c r="V766" s="1"/>
      <c r="Y766" s="1"/>
      <c r="Z766" s="2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U766" s="1"/>
      <c r="AW766" s="1"/>
      <c r="AX766" s="1"/>
      <c r="AY766" s="1"/>
      <c r="AZ766" s="1"/>
      <c r="BA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  <c r="DC766" s="1"/>
      <c r="DD766" s="1"/>
      <c r="DE766" s="1"/>
      <c r="DF766" s="1"/>
      <c r="DG766" s="1"/>
      <c r="DH766" s="1"/>
      <c r="DI766" s="1"/>
      <c r="DJ766" s="1"/>
      <c r="DK766" s="1"/>
      <c r="DL766" s="1"/>
      <c r="DM766" s="1"/>
      <c r="DN766" s="1"/>
      <c r="DO766" s="1"/>
      <c r="DP766" s="1"/>
      <c r="DQ766" s="1"/>
      <c r="DR766" s="1"/>
      <c r="DS766" s="1"/>
      <c r="DT766" s="1"/>
      <c r="DU766" s="1"/>
      <c r="DV766" s="1"/>
      <c r="DW766" s="1"/>
      <c r="DX766" s="1"/>
      <c r="DY766" s="1"/>
      <c r="DZ766" s="1"/>
      <c r="EA766" s="1"/>
      <c r="EB766" s="1"/>
      <c r="EC766" s="1"/>
      <c r="ED766" s="1"/>
      <c r="EE766" s="1"/>
      <c r="EF766" s="1"/>
      <c r="EG766" s="1"/>
      <c r="EH766" s="1"/>
      <c r="EI766" s="1"/>
      <c r="EJ766" s="1"/>
      <c r="EK766" s="1"/>
      <c r="EL766" s="1"/>
      <c r="EM766" s="1"/>
      <c r="EN766" s="1"/>
      <c r="EO766" s="1"/>
      <c r="EP766" s="1"/>
      <c r="EQ766" s="1"/>
      <c r="ER766" s="1"/>
      <c r="ES766" s="1"/>
      <c r="ET766" s="1"/>
      <c r="EU766" s="1"/>
      <c r="EV766" s="1"/>
      <c r="EW766" s="1"/>
      <c r="EX766" s="1"/>
      <c r="EY766" s="1"/>
      <c r="EZ766" s="1"/>
      <c r="FA766" s="1"/>
      <c r="FB766" s="1"/>
      <c r="FC766" s="1"/>
      <c r="FD766" s="1"/>
      <c r="FE766" s="1"/>
      <c r="FF766" s="1"/>
      <c r="FG766" s="1"/>
      <c r="FH766" s="1"/>
      <c r="FI766" s="1"/>
      <c r="FJ766" s="1"/>
      <c r="FK766" s="1"/>
      <c r="FL766" s="1"/>
      <c r="FM766" s="1"/>
      <c r="FN766" s="1"/>
      <c r="FO766" s="1"/>
      <c r="FP766" s="1"/>
      <c r="FQ766" s="1"/>
      <c r="FR766" s="2"/>
      <c r="FS766" s="1"/>
    </row>
    <row r="767" spans="1:175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R767" s="1"/>
      <c r="S767" s="1"/>
      <c r="T767" s="1"/>
      <c r="U767" s="1"/>
      <c r="V767" s="1"/>
      <c r="Y767" s="1"/>
      <c r="Z767" s="2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U767" s="1"/>
      <c r="AW767" s="1"/>
      <c r="AX767" s="1"/>
      <c r="AY767" s="1"/>
      <c r="AZ767" s="1"/>
      <c r="BA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  <c r="DC767" s="1"/>
      <c r="DD767" s="1"/>
      <c r="DE767" s="1"/>
      <c r="DF767" s="1"/>
      <c r="DG767" s="1"/>
      <c r="DH767" s="1"/>
      <c r="DI767" s="1"/>
      <c r="DJ767" s="1"/>
      <c r="DK767" s="1"/>
      <c r="DL767" s="1"/>
      <c r="DM767" s="1"/>
      <c r="DN767" s="1"/>
      <c r="DO767" s="1"/>
      <c r="DP767" s="1"/>
      <c r="DQ767" s="1"/>
      <c r="DR767" s="1"/>
      <c r="DS767" s="1"/>
      <c r="DT767" s="1"/>
      <c r="DU767" s="1"/>
      <c r="DV767" s="1"/>
      <c r="DW767" s="1"/>
      <c r="DX767" s="1"/>
      <c r="DY767" s="1"/>
      <c r="DZ767" s="1"/>
      <c r="EA767" s="1"/>
      <c r="EB767" s="1"/>
      <c r="EC767" s="1"/>
      <c r="ED767" s="1"/>
      <c r="EE767" s="1"/>
      <c r="EF767" s="1"/>
      <c r="EG767" s="1"/>
      <c r="EH767" s="1"/>
      <c r="EI767" s="1"/>
      <c r="EJ767" s="1"/>
      <c r="EK767" s="1"/>
      <c r="EL767" s="1"/>
      <c r="EM767" s="1"/>
      <c r="EN767" s="1"/>
      <c r="EO767" s="1"/>
      <c r="EP767" s="1"/>
      <c r="EQ767" s="1"/>
      <c r="ER767" s="1"/>
      <c r="ES767" s="1"/>
      <c r="ET767" s="1"/>
      <c r="EU767" s="1"/>
      <c r="EV767" s="1"/>
      <c r="EW767" s="1"/>
      <c r="EX767" s="1"/>
      <c r="EY767" s="1"/>
      <c r="EZ767" s="1"/>
      <c r="FA767" s="1"/>
      <c r="FB767" s="1"/>
      <c r="FC767" s="1"/>
      <c r="FD767" s="1"/>
      <c r="FE767" s="1"/>
      <c r="FF767" s="1"/>
      <c r="FG767" s="1"/>
      <c r="FH767" s="1"/>
      <c r="FI767" s="1"/>
      <c r="FJ767" s="1"/>
      <c r="FK767" s="1"/>
      <c r="FL767" s="1"/>
      <c r="FM767" s="1"/>
      <c r="FN767" s="1"/>
      <c r="FO767" s="1"/>
      <c r="FP767" s="1"/>
      <c r="FQ767" s="1"/>
      <c r="FR767" s="2"/>
      <c r="FS767" s="1"/>
    </row>
    <row r="768" spans="1:175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R768" s="1"/>
      <c r="S768" s="1"/>
      <c r="T768" s="1"/>
      <c r="U768" s="1"/>
      <c r="V768" s="1"/>
      <c r="Y768" s="1"/>
      <c r="Z768" s="2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U768" s="1"/>
      <c r="AW768" s="1"/>
      <c r="AX768" s="1"/>
      <c r="AY768" s="1"/>
      <c r="AZ768" s="1"/>
      <c r="BA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  <c r="DC768" s="1"/>
      <c r="DD768" s="1"/>
      <c r="DE768" s="1"/>
      <c r="DF768" s="1"/>
      <c r="DG768" s="1"/>
      <c r="DH768" s="1"/>
      <c r="DI768" s="1"/>
      <c r="DJ768" s="1"/>
      <c r="DK768" s="1"/>
      <c r="DL768" s="1"/>
      <c r="DM768" s="1"/>
      <c r="DN768" s="1"/>
      <c r="DO768" s="1"/>
      <c r="DP768" s="1"/>
      <c r="DQ768" s="1"/>
      <c r="DR768" s="1"/>
      <c r="DS768" s="1"/>
      <c r="DT768" s="1"/>
      <c r="DU768" s="1"/>
      <c r="DV768" s="1"/>
      <c r="DW768" s="1"/>
      <c r="DX768" s="1"/>
      <c r="DY768" s="1"/>
      <c r="DZ768" s="1"/>
      <c r="EA768" s="1"/>
      <c r="EB768" s="1"/>
      <c r="EC768" s="1"/>
      <c r="ED768" s="1"/>
      <c r="EE768" s="1"/>
      <c r="EF768" s="1"/>
      <c r="EG768" s="1"/>
      <c r="EH768" s="1"/>
      <c r="EI768" s="1"/>
      <c r="EJ768" s="1"/>
      <c r="EK768" s="1"/>
      <c r="EL768" s="1"/>
      <c r="EM768" s="1"/>
      <c r="EN768" s="1"/>
      <c r="EO768" s="1"/>
      <c r="EP768" s="1"/>
      <c r="EQ768" s="1"/>
      <c r="ER768" s="1"/>
      <c r="ES768" s="1"/>
      <c r="ET768" s="1"/>
      <c r="EU768" s="1"/>
      <c r="EV768" s="1"/>
      <c r="EW768" s="1"/>
      <c r="EX768" s="1"/>
      <c r="EY768" s="1"/>
      <c r="EZ768" s="1"/>
      <c r="FA768" s="1"/>
      <c r="FB768" s="1"/>
      <c r="FC768" s="1"/>
      <c r="FD768" s="1"/>
      <c r="FE768" s="1"/>
      <c r="FF768" s="1"/>
      <c r="FG768" s="1"/>
      <c r="FH768" s="1"/>
      <c r="FI768" s="1"/>
      <c r="FJ768" s="1"/>
      <c r="FK768" s="1"/>
      <c r="FL768" s="1"/>
      <c r="FM768" s="1"/>
      <c r="FN768" s="1"/>
      <c r="FO768" s="1"/>
      <c r="FP768" s="1"/>
      <c r="FQ768" s="1"/>
      <c r="FR768" s="2"/>
      <c r="FS768" s="1"/>
    </row>
    <row r="769" spans="1:175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R769" s="1"/>
      <c r="S769" s="1"/>
      <c r="T769" s="1"/>
      <c r="U769" s="1"/>
      <c r="V769" s="1"/>
      <c r="Y769" s="1"/>
      <c r="Z769" s="2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U769" s="1"/>
      <c r="AW769" s="1"/>
      <c r="AX769" s="1"/>
      <c r="AY769" s="1"/>
      <c r="AZ769" s="1"/>
      <c r="BA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  <c r="DC769" s="1"/>
      <c r="DD769" s="1"/>
      <c r="DE769" s="1"/>
      <c r="DF769" s="1"/>
      <c r="DG769" s="1"/>
      <c r="DH769" s="1"/>
      <c r="DI769" s="1"/>
      <c r="DJ769" s="1"/>
      <c r="DK769" s="1"/>
      <c r="DL769" s="1"/>
      <c r="DM769" s="1"/>
      <c r="DN769" s="1"/>
      <c r="DO769" s="1"/>
      <c r="DP769" s="1"/>
      <c r="DQ769" s="1"/>
      <c r="DR769" s="1"/>
      <c r="DS769" s="1"/>
      <c r="DT769" s="1"/>
      <c r="DU769" s="1"/>
      <c r="DV769" s="1"/>
      <c r="DW769" s="1"/>
      <c r="DX769" s="1"/>
      <c r="DY769" s="1"/>
      <c r="DZ769" s="1"/>
      <c r="EA769" s="1"/>
      <c r="EB769" s="1"/>
      <c r="EC769" s="1"/>
      <c r="ED769" s="1"/>
      <c r="EE769" s="1"/>
      <c r="EF769" s="1"/>
      <c r="EG769" s="1"/>
      <c r="EH769" s="1"/>
      <c r="EI769" s="1"/>
      <c r="EJ769" s="1"/>
      <c r="EK769" s="1"/>
      <c r="EL769" s="1"/>
      <c r="EM769" s="1"/>
      <c r="EN769" s="1"/>
      <c r="EO769" s="1"/>
      <c r="EP769" s="1"/>
      <c r="EQ769" s="1"/>
      <c r="ER769" s="1"/>
      <c r="ES769" s="1"/>
      <c r="ET769" s="1"/>
      <c r="EU769" s="1"/>
      <c r="EV769" s="1"/>
      <c r="EW769" s="1"/>
      <c r="EX769" s="1"/>
      <c r="EY769" s="1"/>
      <c r="EZ769" s="1"/>
      <c r="FA769" s="1"/>
      <c r="FB769" s="1"/>
      <c r="FC769" s="1"/>
      <c r="FD769" s="1"/>
      <c r="FE769" s="1"/>
      <c r="FF769" s="1"/>
      <c r="FG769" s="1"/>
      <c r="FH769" s="1"/>
      <c r="FI769" s="1"/>
      <c r="FJ769" s="1"/>
      <c r="FK769" s="1"/>
      <c r="FL769" s="1"/>
      <c r="FM769" s="1"/>
      <c r="FN769" s="1"/>
      <c r="FO769" s="1"/>
      <c r="FP769" s="1"/>
      <c r="FQ769" s="1"/>
      <c r="FR769" s="2"/>
      <c r="FS769" s="1"/>
    </row>
    <row r="770" spans="1:175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R770" s="1"/>
      <c r="S770" s="1"/>
      <c r="T770" s="1"/>
      <c r="U770" s="1"/>
      <c r="V770" s="1"/>
      <c r="Y770" s="1"/>
      <c r="Z770" s="2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U770" s="1"/>
      <c r="AW770" s="1"/>
      <c r="AX770" s="1"/>
      <c r="AY770" s="1"/>
      <c r="AZ770" s="1"/>
      <c r="BA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  <c r="DC770" s="1"/>
      <c r="DD770" s="1"/>
      <c r="DE770" s="1"/>
      <c r="DF770" s="1"/>
      <c r="DG770" s="1"/>
      <c r="DH770" s="1"/>
      <c r="DI770" s="1"/>
      <c r="DJ770" s="1"/>
      <c r="DK770" s="1"/>
      <c r="DL770" s="1"/>
      <c r="DM770" s="1"/>
      <c r="DN770" s="1"/>
      <c r="DO770" s="1"/>
      <c r="DP770" s="1"/>
      <c r="DQ770" s="1"/>
      <c r="DR770" s="1"/>
      <c r="DS770" s="1"/>
      <c r="DT770" s="1"/>
      <c r="DU770" s="1"/>
      <c r="DV770" s="1"/>
      <c r="DW770" s="1"/>
      <c r="DX770" s="1"/>
      <c r="DY770" s="1"/>
      <c r="DZ770" s="1"/>
      <c r="EA770" s="1"/>
      <c r="EB770" s="1"/>
      <c r="EC770" s="1"/>
      <c r="ED770" s="1"/>
      <c r="EE770" s="1"/>
      <c r="EF770" s="1"/>
      <c r="EG770" s="1"/>
      <c r="EH770" s="1"/>
      <c r="EI770" s="1"/>
      <c r="EJ770" s="1"/>
      <c r="EK770" s="1"/>
      <c r="EL770" s="1"/>
      <c r="EM770" s="1"/>
      <c r="EN770" s="1"/>
      <c r="EO770" s="1"/>
      <c r="EP770" s="1"/>
      <c r="EQ770" s="1"/>
      <c r="ER770" s="1"/>
      <c r="ES770" s="1"/>
      <c r="ET770" s="1"/>
      <c r="EU770" s="1"/>
      <c r="EV770" s="1"/>
      <c r="EW770" s="1"/>
      <c r="EX770" s="1"/>
      <c r="EY770" s="1"/>
      <c r="EZ770" s="1"/>
      <c r="FA770" s="1"/>
      <c r="FB770" s="1"/>
      <c r="FC770" s="1"/>
      <c r="FD770" s="1"/>
      <c r="FE770" s="1"/>
      <c r="FF770" s="1"/>
      <c r="FG770" s="1"/>
      <c r="FH770" s="1"/>
      <c r="FI770" s="1"/>
      <c r="FJ770" s="1"/>
      <c r="FK770" s="1"/>
      <c r="FL770" s="1"/>
      <c r="FM770" s="1"/>
      <c r="FN770" s="1"/>
      <c r="FO770" s="1"/>
      <c r="FP770" s="1"/>
      <c r="FQ770" s="1"/>
      <c r="FR770" s="2"/>
      <c r="FS770" s="1"/>
    </row>
    <row r="771" spans="1:175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R771" s="1"/>
      <c r="S771" s="1"/>
      <c r="T771" s="1"/>
      <c r="U771" s="1"/>
      <c r="V771" s="1"/>
      <c r="Y771" s="1"/>
      <c r="Z771" s="2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U771" s="1"/>
      <c r="AW771" s="1"/>
      <c r="AX771" s="1"/>
      <c r="AY771" s="1"/>
      <c r="AZ771" s="1"/>
      <c r="BA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  <c r="DC771" s="1"/>
      <c r="DD771" s="1"/>
      <c r="DE771" s="1"/>
      <c r="DF771" s="1"/>
      <c r="DG771" s="1"/>
      <c r="DH771" s="1"/>
      <c r="DI771" s="1"/>
      <c r="DJ771" s="1"/>
      <c r="DK771" s="1"/>
      <c r="DL771" s="1"/>
      <c r="DM771" s="1"/>
      <c r="DN771" s="1"/>
      <c r="DO771" s="1"/>
      <c r="DP771" s="1"/>
      <c r="DQ771" s="1"/>
      <c r="DR771" s="1"/>
      <c r="DS771" s="1"/>
      <c r="DT771" s="1"/>
      <c r="DU771" s="1"/>
      <c r="DV771" s="1"/>
      <c r="DW771" s="1"/>
      <c r="DX771" s="1"/>
      <c r="DY771" s="1"/>
      <c r="DZ771" s="1"/>
      <c r="EA771" s="1"/>
      <c r="EB771" s="1"/>
      <c r="EC771" s="1"/>
      <c r="ED771" s="1"/>
      <c r="EE771" s="1"/>
      <c r="EF771" s="1"/>
      <c r="EG771" s="1"/>
      <c r="EH771" s="1"/>
      <c r="EI771" s="1"/>
      <c r="EJ771" s="1"/>
      <c r="EK771" s="1"/>
      <c r="EL771" s="1"/>
      <c r="EM771" s="1"/>
      <c r="EN771" s="1"/>
      <c r="EO771" s="1"/>
      <c r="EP771" s="1"/>
      <c r="EQ771" s="1"/>
      <c r="ER771" s="1"/>
      <c r="ES771" s="1"/>
      <c r="ET771" s="1"/>
      <c r="EU771" s="1"/>
      <c r="EV771" s="1"/>
      <c r="EW771" s="1"/>
      <c r="EX771" s="1"/>
      <c r="EY771" s="1"/>
      <c r="EZ771" s="1"/>
      <c r="FA771" s="1"/>
      <c r="FB771" s="1"/>
      <c r="FC771" s="1"/>
      <c r="FD771" s="1"/>
      <c r="FE771" s="1"/>
      <c r="FF771" s="1"/>
      <c r="FG771" s="1"/>
      <c r="FH771" s="1"/>
      <c r="FI771" s="1"/>
      <c r="FJ771" s="1"/>
      <c r="FK771" s="1"/>
      <c r="FL771" s="1"/>
      <c r="FM771" s="1"/>
      <c r="FN771" s="1"/>
      <c r="FO771" s="1"/>
      <c r="FP771" s="1"/>
      <c r="FQ771" s="1"/>
      <c r="FR771" s="2"/>
      <c r="FS771" s="1"/>
    </row>
    <row r="772" spans="1:175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R772" s="1"/>
      <c r="S772" s="1"/>
      <c r="T772" s="1"/>
      <c r="U772" s="1"/>
      <c r="V772" s="1"/>
      <c r="Y772" s="1"/>
      <c r="Z772" s="2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U772" s="1"/>
      <c r="AW772" s="1"/>
      <c r="AX772" s="1"/>
      <c r="AY772" s="1"/>
      <c r="AZ772" s="1"/>
      <c r="BA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  <c r="DC772" s="1"/>
      <c r="DD772" s="1"/>
      <c r="DE772" s="1"/>
      <c r="DF772" s="1"/>
      <c r="DG772" s="1"/>
      <c r="DH772" s="1"/>
      <c r="DI772" s="1"/>
      <c r="DJ772" s="1"/>
      <c r="DK772" s="1"/>
      <c r="DL772" s="1"/>
      <c r="DM772" s="1"/>
      <c r="DN772" s="1"/>
      <c r="DO772" s="1"/>
      <c r="DP772" s="1"/>
      <c r="DQ772" s="1"/>
      <c r="DR772" s="1"/>
      <c r="DS772" s="1"/>
      <c r="DT772" s="1"/>
      <c r="DU772" s="1"/>
      <c r="DV772" s="1"/>
      <c r="DW772" s="1"/>
      <c r="DX772" s="1"/>
      <c r="DY772" s="1"/>
      <c r="DZ772" s="1"/>
      <c r="EA772" s="1"/>
      <c r="EB772" s="1"/>
      <c r="EC772" s="1"/>
      <c r="ED772" s="1"/>
      <c r="EE772" s="1"/>
      <c r="EF772" s="1"/>
      <c r="EG772" s="1"/>
      <c r="EH772" s="1"/>
      <c r="EI772" s="1"/>
      <c r="EJ772" s="1"/>
      <c r="EK772" s="1"/>
      <c r="EL772" s="1"/>
      <c r="EM772" s="1"/>
      <c r="EN772" s="1"/>
      <c r="EO772" s="1"/>
      <c r="EP772" s="1"/>
      <c r="EQ772" s="1"/>
      <c r="ER772" s="1"/>
      <c r="ES772" s="1"/>
      <c r="ET772" s="1"/>
      <c r="EU772" s="1"/>
      <c r="EV772" s="1"/>
      <c r="EW772" s="1"/>
      <c r="EX772" s="1"/>
      <c r="EY772" s="1"/>
      <c r="EZ772" s="1"/>
      <c r="FA772" s="1"/>
      <c r="FB772" s="1"/>
      <c r="FC772" s="1"/>
      <c r="FD772" s="1"/>
      <c r="FE772" s="1"/>
      <c r="FF772" s="1"/>
      <c r="FG772" s="1"/>
      <c r="FH772" s="1"/>
      <c r="FI772" s="1"/>
      <c r="FJ772" s="1"/>
      <c r="FK772" s="1"/>
      <c r="FL772" s="1"/>
      <c r="FM772" s="1"/>
      <c r="FN772" s="1"/>
      <c r="FO772" s="1"/>
      <c r="FP772" s="1"/>
      <c r="FQ772" s="1"/>
      <c r="FR772" s="2"/>
      <c r="FS772" s="1"/>
    </row>
    <row r="773" spans="1:175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R773" s="1"/>
      <c r="S773" s="1"/>
      <c r="T773" s="1"/>
      <c r="U773" s="1"/>
      <c r="V773" s="1"/>
      <c r="Y773" s="1"/>
      <c r="Z773" s="2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U773" s="1"/>
      <c r="AW773" s="1"/>
      <c r="AX773" s="1"/>
      <c r="AY773" s="1"/>
      <c r="AZ773" s="1"/>
      <c r="BA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  <c r="DC773" s="1"/>
      <c r="DD773" s="1"/>
      <c r="DE773" s="1"/>
      <c r="DF773" s="1"/>
      <c r="DG773" s="1"/>
      <c r="DH773" s="1"/>
      <c r="DI773" s="1"/>
      <c r="DJ773" s="1"/>
      <c r="DK773" s="1"/>
      <c r="DL773" s="1"/>
      <c r="DM773" s="1"/>
      <c r="DN773" s="1"/>
      <c r="DO773" s="1"/>
      <c r="DP773" s="1"/>
      <c r="DQ773" s="1"/>
      <c r="DR773" s="1"/>
      <c r="DS773" s="1"/>
      <c r="DT773" s="1"/>
      <c r="DU773" s="1"/>
      <c r="DV773" s="1"/>
      <c r="DW773" s="1"/>
      <c r="DX773" s="1"/>
      <c r="DY773" s="1"/>
      <c r="DZ773" s="1"/>
      <c r="EA773" s="1"/>
      <c r="EB773" s="1"/>
      <c r="EC773" s="1"/>
      <c r="ED773" s="1"/>
      <c r="EE773" s="1"/>
      <c r="EF773" s="1"/>
      <c r="EG773" s="1"/>
      <c r="EH773" s="1"/>
      <c r="EI773" s="1"/>
      <c r="EJ773" s="1"/>
      <c r="EK773" s="1"/>
      <c r="EL773" s="1"/>
      <c r="EM773" s="1"/>
      <c r="EN773" s="1"/>
      <c r="EO773" s="1"/>
      <c r="EP773" s="1"/>
      <c r="EQ773" s="1"/>
      <c r="ER773" s="1"/>
      <c r="ES773" s="1"/>
      <c r="ET773" s="1"/>
      <c r="EU773" s="1"/>
      <c r="EV773" s="1"/>
      <c r="EW773" s="1"/>
      <c r="EX773" s="1"/>
      <c r="EY773" s="1"/>
      <c r="EZ773" s="1"/>
      <c r="FA773" s="1"/>
      <c r="FB773" s="1"/>
      <c r="FC773" s="1"/>
      <c r="FD773" s="1"/>
      <c r="FE773" s="1"/>
      <c r="FF773" s="1"/>
      <c r="FG773" s="1"/>
      <c r="FH773" s="1"/>
      <c r="FI773" s="1"/>
      <c r="FJ773" s="1"/>
      <c r="FK773" s="1"/>
      <c r="FL773" s="1"/>
      <c r="FM773" s="1"/>
      <c r="FN773" s="1"/>
      <c r="FO773" s="1"/>
      <c r="FP773" s="1"/>
      <c r="FQ773" s="1"/>
      <c r="FR773" s="2"/>
      <c r="FS773" s="1"/>
    </row>
    <row r="774" spans="1:175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R774" s="1"/>
      <c r="S774" s="1"/>
      <c r="T774" s="1"/>
      <c r="U774" s="1"/>
      <c r="V774" s="1"/>
      <c r="Y774" s="1"/>
      <c r="Z774" s="2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U774" s="1"/>
      <c r="AW774" s="1"/>
      <c r="AX774" s="1"/>
      <c r="AY774" s="1"/>
      <c r="AZ774" s="1"/>
      <c r="BA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  <c r="DC774" s="1"/>
      <c r="DD774" s="1"/>
      <c r="DE774" s="1"/>
      <c r="DF774" s="1"/>
      <c r="DG774" s="1"/>
      <c r="DH774" s="1"/>
      <c r="DI774" s="1"/>
      <c r="DJ774" s="1"/>
      <c r="DK774" s="1"/>
      <c r="DL774" s="1"/>
      <c r="DM774" s="1"/>
      <c r="DN774" s="1"/>
      <c r="DO774" s="1"/>
      <c r="DP774" s="1"/>
      <c r="DQ774" s="1"/>
      <c r="DR774" s="1"/>
      <c r="DS774" s="1"/>
      <c r="DT774" s="1"/>
      <c r="DU774" s="1"/>
      <c r="DV774" s="1"/>
      <c r="DW774" s="1"/>
      <c r="DX774" s="1"/>
      <c r="DY774" s="1"/>
      <c r="DZ774" s="1"/>
      <c r="EA774" s="1"/>
      <c r="EB774" s="1"/>
      <c r="EC774" s="1"/>
      <c r="ED774" s="1"/>
      <c r="EE774" s="1"/>
      <c r="EF774" s="1"/>
      <c r="EG774" s="1"/>
      <c r="EH774" s="1"/>
      <c r="EI774" s="1"/>
      <c r="EJ774" s="1"/>
      <c r="EK774" s="1"/>
      <c r="EL774" s="1"/>
      <c r="EM774" s="1"/>
      <c r="EN774" s="1"/>
      <c r="EO774" s="1"/>
      <c r="EP774" s="1"/>
      <c r="EQ774" s="1"/>
      <c r="ER774" s="1"/>
      <c r="ES774" s="1"/>
      <c r="ET774" s="1"/>
      <c r="EU774" s="1"/>
      <c r="EV774" s="1"/>
      <c r="EW774" s="1"/>
      <c r="EX774" s="1"/>
      <c r="EY774" s="1"/>
      <c r="EZ774" s="1"/>
      <c r="FA774" s="1"/>
      <c r="FB774" s="1"/>
      <c r="FC774" s="1"/>
      <c r="FD774" s="1"/>
      <c r="FE774" s="1"/>
      <c r="FF774" s="1"/>
      <c r="FG774" s="1"/>
      <c r="FH774" s="1"/>
      <c r="FI774" s="1"/>
      <c r="FJ774" s="1"/>
      <c r="FK774" s="1"/>
      <c r="FL774" s="1"/>
      <c r="FM774" s="1"/>
      <c r="FN774" s="1"/>
      <c r="FO774" s="1"/>
      <c r="FP774" s="1"/>
      <c r="FQ774" s="1"/>
      <c r="FR774" s="2"/>
      <c r="FS774" s="1"/>
    </row>
    <row r="775" spans="1:175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R775" s="1"/>
      <c r="S775" s="1"/>
      <c r="T775" s="1"/>
      <c r="U775" s="1"/>
      <c r="V775" s="1"/>
      <c r="Y775" s="1"/>
      <c r="Z775" s="2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U775" s="1"/>
      <c r="AW775" s="1"/>
      <c r="AX775" s="1"/>
      <c r="AY775" s="1"/>
      <c r="AZ775" s="1"/>
      <c r="BA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  <c r="DC775" s="1"/>
      <c r="DD775" s="1"/>
      <c r="DE775" s="1"/>
      <c r="DF775" s="1"/>
      <c r="DG775" s="1"/>
      <c r="DH775" s="1"/>
      <c r="DI775" s="1"/>
      <c r="DJ775" s="1"/>
      <c r="DK775" s="1"/>
      <c r="DL775" s="1"/>
      <c r="DM775" s="1"/>
      <c r="DN775" s="1"/>
      <c r="DO775" s="1"/>
      <c r="DP775" s="1"/>
      <c r="DQ775" s="1"/>
      <c r="DR775" s="1"/>
      <c r="DS775" s="1"/>
      <c r="DT775" s="1"/>
      <c r="DU775" s="1"/>
      <c r="DV775" s="1"/>
      <c r="DW775" s="1"/>
      <c r="DX775" s="1"/>
      <c r="DY775" s="1"/>
      <c r="DZ775" s="1"/>
      <c r="EA775" s="1"/>
      <c r="EB775" s="1"/>
      <c r="EC775" s="1"/>
      <c r="ED775" s="1"/>
      <c r="EE775" s="1"/>
      <c r="EF775" s="1"/>
      <c r="EG775" s="1"/>
      <c r="EH775" s="1"/>
      <c r="EI775" s="1"/>
      <c r="EJ775" s="1"/>
      <c r="EK775" s="1"/>
      <c r="EL775" s="1"/>
      <c r="EM775" s="1"/>
      <c r="EN775" s="1"/>
      <c r="EO775" s="1"/>
      <c r="EP775" s="1"/>
      <c r="EQ775" s="1"/>
      <c r="ER775" s="1"/>
      <c r="ES775" s="1"/>
      <c r="ET775" s="1"/>
      <c r="EU775" s="1"/>
      <c r="EV775" s="1"/>
      <c r="EW775" s="1"/>
      <c r="EX775" s="1"/>
      <c r="EY775" s="1"/>
      <c r="EZ775" s="1"/>
      <c r="FA775" s="1"/>
      <c r="FB775" s="1"/>
      <c r="FC775" s="1"/>
      <c r="FD775" s="1"/>
      <c r="FE775" s="1"/>
      <c r="FF775" s="1"/>
      <c r="FG775" s="1"/>
      <c r="FH775" s="1"/>
      <c r="FI775" s="1"/>
      <c r="FJ775" s="1"/>
      <c r="FK775" s="1"/>
      <c r="FL775" s="1"/>
      <c r="FM775" s="1"/>
      <c r="FN775" s="1"/>
      <c r="FO775" s="1"/>
      <c r="FP775" s="1"/>
      <c r="FQ775" s="1"/>
      <c r="FR775" s="2"/>
      <c r="FS775" s="1"/>
    </row>
    <row r="776" spans="1:175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R776" s="1"/>
      <c r="S776" s="1"/>
      <c r="T776" s="1"/>
      <c r="U776" s="1"/>
      <c r="V776" s="1"/>
      <c r="Y776" s="1"/>
      <c r="Z776" s="2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U776" s="1"/>
      <c r="AW776" s="1"/>
      <c r="AX776" s="1"/>
      <c r="AY776" s="1"/>
      <c r="AZ776" s="1"/>
      <c r="BA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  <c r="DC776" s="1"/>
      <c r="DD776" s="1"/>
      <c r="DE776" s="1"/>
      <c r="DF776" s="1"/>
      <c r="DG776" s="1"/>
      <c r="DH776" s="1"/>
      <c r="DI776" s="1"/>
      <c r="DJ776" s="1"/>
      <c r="DK776" s="1"/>
      <c r="DL776" s="1"/>
      <c r="DM776" s="1"/>
      <c r="DN776" s="1"/>
      <c r="DO776" s="1"/>
      <c r="DP776" s="1"/>
      <c r="DQ776" s="1"/>
      <c r="DR776" s="1"/>
      <c r="DS776" s="1"/>
      <c r="DT776" s="1"/>
      <c r="DU776" s="1"/>
      <c r="DV776" s="1"/>
      <c r="DW776" s="1"/>
      <c r="DX776" s="1"/>
      <c r="DY776" s="1"/>
      <c r="DZ776" s="1"/>
      <c r="EA776" s="1"/>
      <c r="EB776" s="1"/>
      <c r="EC776" s="1"/>
      <c r="ED776" s="1"/>
      <c r="EE776" s="1"/>
      <c r="EF776" s="1"/>
      <c r="EG776" s="1"/>
      <c r="EH776" s="1"/>
      <c r="EI776" s="1"/>
      <c r="EJ776" s="1"/>
      <c r="EK776" s="1"/>
      <c r="EL776" s="1"/>
      <c r="EM776" s="1"/>
      <c r="EN776" s="1"/>
      <c r="EO776" s="1"/>
      <c r="EP776" s="1"/>
      <c r="EQ776" s="1"/>
      <c r="ER776" s="1"/>
      <c r="ES776" s="1"/>
      <c r="ET776" s="1"/>
      <c r="EU776" s="1"/>
      <c r="EV776" s="1"/>
      <c r="EW776" s="1"/>
      <c r="EX776" s="1"/>
      <c r="EY776" s="1"/>
      <c r="EZ776" s="1"/>
      <c r="FA776" s="1"/>
      <c r="FB776" s="1"/>
      <c r="FC776" s="1"/>
      <c r="FD776" s="1"/>
      <c r="FE776" s="1"/>
      <c r="FF776" s="1"/>
      <c r="FG776" s="1"/>
      <c r="FH776" s="1"/>
      <c r="FI776" s="1"/>
      <c r="FJ776" s="1"/>
      <c r="FK776" s="1"/>
      <c r="FL776" s="1"/>
      <c r="FM776" s="1"/>
      <c r="FN776" s="1"/>
      <c r="FO776" s="1"/>
      <c r="FP776" s="1"/>
      <c r="FQ776" s="1"/>
      <c r="FR776" s="2"/>
      <c r="FS776" s="1"/>
    </row>
    <row r="777" spans="1:175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R777" s="1"/>
      <c r="S777" s="1"/>
      <c r="T777" s="1"/>
      <c r="U777" s="1"/>
      <c r="V777" s="1"/>
      <c r="Y777" s="1"/>
      <c r="Z777" s="2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U777" s="1"/>
      <c r="AW777" s="1"/>
      <c r="AX777" s="1"/>
      <c r="AY777" s="1"/>
      <c r="AZ777" s="1"/>
      <c r="BA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  <c r="DC777" s="1"/>
      <c r="DD777" s="1"/>
      <c r="DE777" s="1"/>
      <c r="DF777" s="1"/>
      <c r="DG777" s="1"/>
      <c r="DH777" s="1"/>
      <c r="DI777" s="1"/>
      <c r="DJ777" s="1"/>
      <c r="DK777" s="1"/>
      <c r="DL777" s="1"/>
      <c r="DM777" s="1"/>
      <c r="DN777" s="1"/>
      <c r="DO777" s="1"/>
      <c r="DP777" s="1"/>
      <c r="DQ777" s="1"/>
      <c r="DR777" s="1"/>
      <c r="DS777" s="1"/>
      <c r="DT777" s="1"/>
      <c r="DU777" s="1"/>
      <c r="DV777" s="1"/>
      <c r="DW777" s="1"/>
      <c r="DX777" s="1"/>
      <c r="DY777" s="1"/>
      <c r="DZ777" s="1"/>
      <c r="EA777" s="1"/>
      <c r="EB777" s="1"/>
      <c r="EC777" s="1"/>
      <c r="ED777" s="1"/>
      <c r="EE777" s="1"/>
      <c r="EF777" s="1"/>
      <c r="EG777" s="1"/>
      <c r="EH777" s="1"/>
      <c r="EI777" s="1"/>
      <c r="EJ777" s="1"/>
      <c r="EK777" s="1"/>
      <c r="EL777" s="1"/>
      <c r="EM777" s="1"/>
      <c r="EN777" s="1"/>
      <c r="EO777" s="1"/>
      <c r="EP777" s="1"/>
      <c r="EQ777" s="1"/>
      <c r="ER777" s="1"/>
      <c r="ES777" s="1"/>
      <c r="ET777" s="1"/>
      <c r="EU777" s="1"/>
      <c r="EV777" s="1"/>
      <c r="EW777" s="1"/>
      <c r="EX777" s="1"/>
      <c r="EY777" s="1"/>
      <c r="EZ777" s="1"/>
      <c r="FA777" s="1"/>
      <c r="FB777" s="1"/>
      <c r="FC777" s="1"/>
      <c r="FD777" s="1"/>
      <c r="FE777" s="1"/>
      <c r="FF777" s="1"/>
      <c r="FG777" s="1"/>
      <c r="FH777" s="1"/>
      <c r="FI777" s="1"/>
      <c r="FJ777" s="1"/>
      <c r="FK777" s="1"/>
      <c r="FL777" s="1"/>
      <c r="FM777" s="1"/>
      <c r="FN777" s="1"/>
      <c r="FO777" s="1"/>
      <c r="FP777" s="1"/>
      <c r="FQ777" s="1"/>
      <c r="FR777" s="2"/>
      <c r="FS777" s="1"/>
    </row>
    <row r="778" spans="1:175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R778" s="1"/>
      <c r="S778" s="1"/>
      <c r="T778" s="1"/>
      <c r="U778" s="1"/>
      <c r="V778" s="1"/>
      <c r="Y778" s="1"/>
      <c r="Z778" s="2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U778" s="1"/>
      <c r="AW778" s="1"/>
      <c r="AX778" s="1"/>
      <c r="AY778" s="1"/>
      <c r="AZ778" s="1"/>
      <c r="BA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  <c r="DC778" s="1"/>
      <c r="DD778" s="1"/>
      <c r="DE778" s="1"/>
      <c r="DF778" s="1"/>
      <c r="DG778" s="1"/>
      <c r="DH778" s="1"/>
      <c r="DI778" s="1"/>
      <c r="DJ778" s="1"/>
      <c r="DK778" s="1"/>
      <c r="DL778" s="1"/>
      <c r="DM778" s="1"/>
      <c r="DN778" s="1"/>
      <c r="DO778" s="1"/>
      <c r="DP778" s="1"/>
      <c r="DQ778" s="1"/>
      <c r="DR778" s="1"/>
      <c r="DS778" s="1"/>
      <c r="DT778" s="1"/>
      <c r="DU778" s="1"/>
      <c r="DV778" s="1"/>
      <c r="DW778" s="1"/>
      <c r="DX778" s="1"/>
      <c r="DY778" s="1"/>
      <c r="DZ778" s="1"/>
      <c r="EA778" s="1"/>
      <c r="EB778" s="1"/>
      <c r="EC778" s="1"/>
      <c r="ED778" s="1"/>
      <c r="EE778" s="1"/>
      <c r="EF778" s="1"/>
      <c r="EG778" s="1"/>
      <c r="EH778" s="1"/>
      <c r="EI778" s="1"/>
      <c r="EJ778" s="1"/>
      <c r="EK778" s="1"/>
      <c r="EL778" s="1"/>
      <c r="EM778" s="1"/>
      <c r="EN778" s="1"/>
      <c r="EO778" s="1"/>
      <c r="EP778" s="1"/>
      <c r="EQ778" s="1"/>
      <c r="ER778" s="1"/>
      <c r="ES778" s="1"/>
      <c r="ET778" s="1"/>
      <c r="EU778" s="1"/>
      <c r="EV778" s="1"/>
      <c r="EW778" s="1"/>
      <c r="EX778" s="1"/>
      <c r="EY778" s="1"/>
      <c r="EZ778" s="1"/>
      <c r="FA778" s="1"/>
      <c r="FB778" s="1"/>
      <c r="FC778" s="1"/>
      <c r="FD778" s="1"/>
      <c r="FE778" s="1"/>
      <c r="FF778" s="1"/>
      <c r="FG778" s="1"/>
      <c r="FH778" s="1"/>
      <c r="FI778" s="1"/>
      <c r="FJ778" s="1"/>
      <c r="FK778" s="1"/>
      <c r="FL778" s="1"/>
      <c r="FM778" s="1"/>
      <c r="FN778" s="1"/>
      <c r="FO778" s="1"/>
      <c r="FP778" s="1"/>
      <c r="FQ778" s="1"/>
      <c r="FR778" s="2"/>
      <c r="FS778" s="1"/>
    </row>
    <row r="779" spans="1:175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R779" s="1"/>
      <c r="S779" s="1"/>
      <c r="T779" s="1"/>
      <c r="U779" s="1"/>
      <c r="V779" s="1"/>
      <c r="Y779" s="1"/>
      <c r="Z779" s="2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U779" s="1"/>
      <c r="AW779" s="1"/>
      <c r="AX779" s="1"/>
      <c r="AY779" s="1"/>
      <c r="AZ779" s="1"/>
      <c r="BA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  <c r="DC779" s="1"/>
      <c r="DD779" s="1"/>
      <c r="DE779" s="1"/>
      <c r="DF779" s="1"/>
      <c r="DG779" s="1"/>
      <c r="DH779" s="1"/>
      <c r="DI779" s="1"/>
      <c r="DJ779" s="1"/>
      <c r="DK779" s="1"/>
      <c r="DL779" s="1"/>
      <c r="DM779" s="1"/>
      <c r="DN779" s="1"/>
      <c r="DO779" s="1"/>
      <c r="DP779" s="1"/>
      <c r="DQ779" s="1"/>
      <c r="DR779" s="1"/>
      <c r="DS779" s="1"/>
      <c r="DT779" s="1"/>
      <c r="DU779" s="1"/>
      <c r="DV779" s="1"/>
      <c r="DW779" s="1"/>
      <c r="DX779" s="1"/>
      <c r="DY779" s="1"/>
      <c r="DZ779" s="1"/>
      <c r="EA779" s="1"/>
      <c r="EB779" s="1"/>
      <c r="EC779" s="1"/>
      <c r="ED779" s="1"/>
      <c r="EE779" s="1"/>
      <c r="EF779" s="1"/>
      <c r="EG779" s="1"/>
      <c r="EH779" s="1"/>
      <c r="EI779" s="1"/>
      <c r="EJ779" s="1"/>
      <c r="EK779" s="1"/>
      <c r="EL779" s="1"/>
      <c r="EM779" s="1"/>
      <c r="EN779" s="1"/>
      <c r="EO779" s="1"/>
      <c r="EP779" s="1"/>
      <c r="EQ779" s="1"/>
      <c r="ER779" s="1"/>
      <c r="ES779" s="1"/>
      <c r="ET779" s="1"/>
      <c r="EU779" s="1"/>
      <c r="EV779" s="1"/>
      <c r="EW779" s="1"/>
      <c r="EX779" s="1"/>
      <c r="EY779" s="1"/>
      <c r="EZ779" s="1"/>
      <c r="FA779" s="1"/>
      <c r="FB779" s="1"/>
      <c r="FC779" s="1"/>
      <c r="FD779" s="1"/>
      <c r="FE779" s="1"/>
      <c r="FF779" s="1"/>
      <c r="FG779" s="1"/>
      <c r="FH779" s="1"/>
      <c r="FI779" s="1"/>
      <c r="FJ779" s="1"/>
      <c r="FK779" s="1"/>
      <c r="FL779" s="1"/>
      <c r="FM779" s="1"/>
      <c r="FN779" s="1"/>
      <c r="FO779" s="1"/>
      <c r="FP779" s="1"/>
      <c r="FQ779" s="1"/>
      <c r="FR779" s="2"/>
      <c r="FS779" s="1"/>
    </row>
    <row r="780" spans="1:175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R780" s="1"/>
      <c r="S780" s="1"/>
      <c r="T780" s="1"/>
      <c r="U780" s="1"/>
      <c r="V780" s="1"/>
      <c r="Y780" s="1"/>
      <c r="Z780" s="2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U780" s="1"/>
      <c r="AW780" s="1"/>
      <c r="AX780" s="1"/>
      <c r="AY780" s="1"/>
      <c r="AZ780" s="1"/>
      <c r="BA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  <c r="DC780" s="1"/>
      <c r="DD780" s="1"/>
      <c r="DE780" s="1"/>
      <c r="DF780" s="1"/>
      <c r="DG780" s="1"/>
      <c r="DH780" s="1"/>
      <c r="DI780" s="1"/>
      <c r="DJ780" s="1"/>
      <c r="DK780" s="1"/>
      <c r="DL780" s="1"/>
      <c r="DM780" s="1"/>
      <c r="DN780" s="1"/>
      <c r="DO780" s="1"/>
      <c r="DP780" s="1"/>
      <c r="DQ780" s="1"/>
      <c r="DR780" s="1"/>
      <c r="DS780" s="1"/>
      <c r="DT780" s="1"/>
      <c r="DU780" s="1"/>
      <c r="DV780" s="1"/>
      <c r="DW780" s="1"/>
      <c r="DX780" s="1"/>
      <c r="DY780" s="1"/>
      <c r="DZ780" s="1"/>
      <c r="EA780" s="1"/>
      <c r="EB780" s="1"/>
      <c r="EC780" s="1"/>
      <c r="ED780" s="1"/>
      <c r="EE780" s="1"/>
      <c r="EF780" s="1"/>
      <c r="EG780" s="1"/>
      <c r="EH780" s="1"/>
      <c r="EI780" s="1"/>
      <c r="EJ780" s="1"/>
      <c r="EK780" s="1"/>
      <c r="EL780" s="1"/>
      <c r="EM780" s="1"/>
      <c r="EN780" s="1"/>
      <c r="EO780" s="1"/>
      <c r="EP780" s="1"/>
      <c r="EQ780" s="1"/>
      <c r="ER780" s="1"/>
      <c r="ES780" s="1"/>
      <c r="ET780" s="1"/>
      <c r="EU780" s="1"/>
      <c r="EV780" s="1"/>
      <c r="EW780" s="1"/>
      <c r="EX780" s="1"/>
      <c r="EY780" s="1"/>
      <c r="EZ780" s="1"/>
      <c r="FA780" s="1"/>
      <c r="FB780" s="1"/>
      <c r="FC780" s="1"/>
      <c r="FD780" s="1"/>
      <c r="FE780" s="1"/>
      <c r="FF780" s="1"/>
      <c r="FG780" s="1"/>
      <c r="FH780" s="1"/>
      <c r="FI780" s="1"/>
      <c r="FJ780" s="1"/>
      <c r="FK780" s="1"/>
      <c r="FL780" s="1"/>
      <c r="FM780" s="1"/>
      <c r="FN780" s="1"/>
      <c r="FO780" s="1"/>
      <c r="FP780" s="1"/>
      <c r="FQ780" s="1"/>
      <c r="FR780" s="2"/>
      <c r="FS780" s="1"/>
    </row>
    <row r="781" spans="1:175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R781" s="1"/>
      <c r="S781" s="1"/>
      <c r="T781" s="1"/>
      <c r="U781" s="1"/>
      <c r="V781" s="1"/>
      <c r="Y781" s="1"/>
      <c r="Z781" s="2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U781" s="1"/>
      <c r="AW781" s="1"/>
      <c r="AX781" s="1"/>
      <c r="AY781" s="1"/>
      <c r="AZ781" s="1"/>
      <c r="BA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  <c r="DC781" s="1"/>
      <c r="DD781" s="1"/>
      <c r="DE781" s="1"/>
      <c r="DF781" s="1"/>
      <c r="DG781" s="1"/>
      <c r="DH781" s="1"/>
      <c r="DI781" s="1"/>
      <c r="DJ781" s="1"/>
      <c r="DK781" s="1"/>
      <c r="DL781" s="1"/>
      <c r="DM781" s="1"/>
      <c r="DN781" s="1"/>
      <c r="DO781" s="1"/>
      <c r="DP781" s="1"/>
      <c r="DQ781" s="1"/>
      <c r="DR781" s="1"/>
      <c r="DS781" s="1"/>
      <c r="DT781" s="1"/>
      <c r="DU781" s="1"/>
      <c r="DV781" s="1"/>
      <c r="DW781" s="1"/>
      <c r="DX781" s="1"/>
      <c r="DY781" s="1"/>
      <c r="DZ781" s="1"/>
      <c r="EA781" s="1"/>
      <c r="EB781" s="1"/>
      <c r="EC781" s="1"/>
      <c r="ED781" s="1"/>
      <c r="EE781" s="1"/>
      <c r="EF781" s="1"/>
      <c r="EG781" s="1"/>
      <c r="EH781" s="1"/>
      <c r="EI781" s="1"/>
      <c r="EJ781" s="1"/>
      <c r="EK781" s="1"/>
      <c r="EL781" s="1"/>
      <c r="EM781" s="1"/>
      <c r="EN781" s="1"/>
      <c r="EO781" s="1"/>
      <c r="EP781" s="1"/>
      <c r="EQ781" s="1"/>
      <c r="ER781" s="1"/>
      <c r="ES781" s="1"/>
      <c r="ET781" s="1"/>
      <c r="EU781" s="1"/>
      <c r="EV781" s="1"/>
      <c r="EW781" s="1"/>
      <c r="EX781" s="1"/>
      <c r="EY781" s="1"/>
      <c r="EZ781" s="1"/>
      <c r="FA781" s="1"/>
      <c r="FB781" s="1"/>
      <c r="FC781" s="1"/>
      <c r="FD781" s="1"/>
      <c r="FE781" s="1"/>
      <c r="FF781" s="1"/>
      <c r="FG781" s="1"/>
      <c r="FH781" s="1"/>
      <c r="FI781" s="1"/>
      <c r="FJ781" s="1"/>
      <c r="FK781" s="1"/>
      <c r="FL781" s="1"/>
      <c r="FM781" s="1"/>
      <c r="FN781" s="1"/>
      <c r="FO781" s="1"/>
      <c r="FP781" s="1"/>
      <c r="FQ781" s="1"/>
      <c r="FR781" s="2"/>
      <c r="FS781" s="1"/>
    </row>
    <row r="782" spans="1:175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R782" s="1"/>
      <c r="S782" s="1"/>
      <c r="T782" s="1"/>
      <c r="U782" s="1"/>
      <c r="V782" s="1"/>
      <c r="Y782" s="1"/>
      <c r="Z782" s="2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U782" s="1"/>
      <c r="AW782" s="1"/>
      <c r="AX782" s="1"/>
      <c r="AY782" s="1"/>
      <c r="AZ782" s="1"/>
      <c r="BA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  <c r="DC782" s="1"/>
      <c r="DD782" s="1"/>
      <c r="DE782" s="1"/>
      <c r="DF782" s="1"/>
      <c r="DG782" s="1"/>
      <c r="DH782" s="1"/>
      <c r="DI782" s="1"/>
      <c r="DJ782" s="1"/>
      <c r="DK782" s="1"/>
      <c r="DL782" s="1"/>
      <c r="DM782" s="1"/>
      <c r="DN782" s="1"/>
      <c r="DO782" s="1"/>
      <c r="DP782" s="1"/>
      <c r="DQ782" s="1"/>
      <c r="DR782" s="1"/>
      <c r="DS782" s="1"/>
      <c r="DT782" s="1"/>
      <c r="DU782" s="1"/>
      <c r="DV782" s="1"/>
      <c r="DW782" s="1"/>
      <c r="DX782" s="1"/>
      <c r="DY782" s="1"/>
      <c r="DZ782" s="1"/>
      <c r="EA782" s="1"/>
      <c r="EB782" s="1"/>
      <c r="EC782" s="1"/>
      <c r="ED782" s="1"/>
      <c r="EE782" s="1"/>
      <c r="EF782" s="1"/>
      <c r="EG782" s="1"/>
      <c r="EH782" s="1"/>
      <c r="EI782" s="1"/>
      <c r="EJ782" s="1"/>
      <c r="EK782" s="1"/>
      <c r="EL782" s="1"/>
      <c r="EM782" s="1"/>
      <c r="EN782" s="1"/>
      <c r="EO782" s="1"/>
      <c r="EP782" s="1"/>
      <c r="EQ782" s="1"/>
      <c r="ER782" s="1"/>
      <c r="ES782" s="1"/>
      <c r="ET782" s="1"/>
      <c r="EU782" s="1"/>
      <c r="EV782" s="1"/>
      <c r="EW782" s="1"/>
      <c r="EX782" s="1"/>
      <c r="EY782" s="1"/>
      <c r="EZ782" s="1"/>
      <c r="FA782" s="1"/>
      <c r="FB782" s="1"/>
      <c r="FC782" s="1"/>
      <c r="FD782" s="1"/>
      <c r="FE782" s="1"/>
      <c r="FF782" s="1"/>
      <c r="FG782" s="1"/>
      <c r="FH782" s="1"/>
      <c r="FI782" s="1"/>
      <c r="FJ782" s="1"/>
      <c r="FK782" s="1"/>
      <c r="FL782" s="1"/>
      <c r="FM782" s="1"/>
      <c r="FN782" s="1"/>
      <c r="FO782" s="1"/>
      <c r="FP782" s="1"/>
      <c r="FQ782" s="1"/>
      <c r="FR782" s="2"/>
      <c r="FS782" s="1"/>
    </row>
    <row r="783" spans="1:175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R783" s="1"/>
      <c r="S783" s="1"/>
      <c r="T783" s="1"/>
      <c r="U783" s="1"/>
      <c r="V783" s="1"/>
      <c r="Y783" s="1"/>
      <c r="Z783" s="2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U783" s="1"/>
      <c r="AW783" s="1"/>
      <c r="AX783" s="1"/>
      <c r="AY783" s="1"/>
      <c r="AZ783" s="1"/>
      <c r="BA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  <c r="DC783" s="1"/>
      <c r="DD783" s="1"/>
      <c r="DE783" s="1"/>
      <c r="DF783" s="1"/>
      <c r="DG783" s="1"/>
      <c r="DH783" s="1"/>
      <c r="DI783" s="1"/>
      <c r="DJ783" s="1"/>
      <c r="DK783" s="1"/>
      <c r="DL783" s="1"/>
      <c r="DM783" s="1"/>
      <c r="DN783" s="1"/>
      <c r="DO783" s="1"/>
      <c r="DP783" s="1"/>
      <c r="DQ783" s="1"/>
      <c r="DR783" s="1"/>
      <c r="DS783" s="1"/>
      <c r="DT783" s="1"/>
      <c r="DU783" s="1"/>
      <c r="DV783" s="1"/>
      <c r="DW783" s="1"/>
      <c r="DX783" s="1"/>
      <c r="DY783" s="1"/>
      <c r="DZ783" s="1"/>
      <c r="EA783" s="1"/>
      <c r="EB783" s="1"/>
      <c r="EC783" s="1"/>
      <c r="ED783" s="1"/>
      <c r="EE783" s="1"/>
      <c r="EF783" s="1"/>
      <c r="EG783" s="1"/>
      <c r="EH783" s="1"/>
      <c r="EI783" s="1"/>
      <c r="EJ783" s="1"/>
      <c r="EK783" s="1"/>
      <c r="EL783" s="1"/>
      <c r="EM783" s="1"/>
      <c r="EN783" s="1"/>
      <c r="EO783" s="1"/>
      <c r="EP783" s="1"/>
      <c r="EQ783" s="1"/>
      <c r="ER783" s="1"/>
      <c r="ES783" s="1"/>
      <c r="ET783" s="1"/>
      <c r="EU783" s="1"/>
      <c r="EV783" s="1"/>
      <c r="EW783" s="1"/>
      <c r="EX783" s="1"/>
      <c r="EY783" s="1"/>
      <c r="EZ783" s="1"/>
      <c r="FA783" s="1"/>
      <c r="FB783" s="1"/>
      <c r="FC783" s="1"/>
      <c r="FD783" s="1"/>
      <c r="FE783" s="1"/>
      <c r="FF783" s="1"/>
      <c r="FG783" s="1"/>
      <c r="FH783" s="1"/>
      <c r="FI783" s="1"/>
      <c r="FJ783" s="1"/>
      <c r="FK783" s="1"/>
      <c r="FL783" s="1"/>
      <c r="FM783" s="1"/>
      <c r="FN783" s="1"/>
      <c r="FO783" s="1"/>
      <c r="FP783" s="1"/>
      <c r="FQ783" s="1"/>
      <c r="FR783" s="2"/>
      <c r="FS783" s="1"/>
    </row>
    <row r="784" spans="1:175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R784" s="1"/>
      <c r="S784" s="1"/>
      <c r="T784" s="1"/>
      <c r="U784" s="1"/>
      <c r="V784" s="1"/>
      <c r="Y784" s="1"/>
      <c r="Z784" s="2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U784" s="1"/>
      <c r="AW784" s="1"/>
      <c r="AX784" s="1"/>
      <c r="AY784" s="1"/>
      <c r="AZ784" s="1"/>
      <c r="BA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  <c r="DC784" s="1"/>
      <c r="DD784" s="1"/>
      <c r="DE784" s="1"/>
      <c r="DF784" s="1"/>
      <c r="DG784" s="1"/>
      <c r="DH784" s="1"/>
      <c r="DI784" s="1"/>
      <c r="DJ784" s="1"/>
      <c r="DK784" s="1"/>
      <c r="DL784" s="1"/>
      <c r="DM784" s="1"/>
      <c r="DN784" s="1"/>
      <c r="DO784" s="1"/>
      <c r="DP784" s="1"/>
      <c r="DQ784" s="1"/>
      <c r="DR784" s="1"/>
      <c r="DS784" s="1"/>
      <c r="DT784" s="1"/>
      <c r="DU784" s="1"/>
      <c r="DV784" s="1"/>
      <c r="DW784" s="1"/>
      <c r="DX784" s="1"/>
      <c r="DY784" s="1"/>
      <c r="DZ784" s="1"/>
      <c r="EA784" s="1"/>
      <c r="EB784" s="1"/>
      <c r="EC784" s="1"/>
      <c r="ED784" s="1"/>
      <c r="EE784" s="1"/>
      <c r="EF784" s="1"/>
      <c r="EG784" s="1"/>
      <c r="EH784" s="1"/>
      <c r="EI784" s="1"/>
      <c r="EJ784" s="1"/>
      <c r="EK784" s="1"/>
      <c r="EL784" s="1"/>
      <c r="EM784" s="1"/>
      <c r="EN784" s="1"/>
      <c r="EO784" s="1"/>
      <c r="EP784" s="1"/>
      <c r="EQ784" s="1"/>
      <c r="ER784" s="1"/>
      <c r="ES784" s="1"/>
      <c r="ET784" s="1"/>
      <c r="EU784" s="1"/>
      <c r="EV784" s="1"/>
      <c r="EW784" s="1"/>
      <c r="EX784" s="1"/>
      <c r="EY784" s="1"/>
      <c r="EZ784" s="1"/>
      <c r="FA784" s="1"/>
      <c r="FB784" s="1"/>
      <c r="FC784" s="1"/>
      <c r="FD784" s="1"/>
      <c r="FE784" s="1"/>
      <c r="FF784" s="1"/>
      <c r="FG784" s="1"/>
      <c r="FH784" s="1"/>
      <c r="FI784" s="1"/>
      <c r="FJ784" s="1"/>
      <c r="FK784" s="1"/>
      <c r="FL784" s="1"/>
      <c r="FM784" s="1"/>
      <c r="FN784" s="1"/>
      <c r="FO784" s="1"/>
      <c r="FP784" s="1"/>
      <c r="FQ784" s="1"/>
      <c r="FR784" s="2"/>
      <c r="FS784" s="1"/>
    </row>
    <row r="785" spans="1:175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R785" s="1"/>
      <c r="S785" s="1"/>
      <c r="T785" s="1"/>
      <c r="U785" s="1"/>
      <c r="V785" s="1"/>
      <c r="Y785" s="1"/>
      <c r="Z785" s="2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U785" s="1"/>
      <c r="AW785" s="1"/>
      <c r="AX785" s="1"/>
      <c r="AY785" s="1"/>
      <c r="AZ785" s="1"/>
      <c r="BA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  <c r="DC785" s="1"/>
      <c r="DD785" s="1"/>
      <c r="DE785" s="1"/>
      <c r="DF785" s="1"/>
      <c r="DG785" s="1"/>
      <c r="DH785" s="1"/>
      <c r="DI785" s="1"/>
      <c r="DJ785" s="1"/>
      <c r="DK785" s="1"/>
      <c r="DL785" s="1"/>
      <c r="DM785" s="1"/>
      <c r="DN785" s="1"/>
      <c r="DO785" s="1"/>
      <c r="DP785" s="1"/>
      <c r="DQ785" s="1"/>
      <c r="DR785" s="1"/>
      <c r="DS785" s="1"/>
      <c r="DT785" s="1"/>
      <c r="DU785" s="1"/>
      <c r="DV785" s="1"/>
      <c r="DW785" s="1"/>
      <c r="DX785" s="1"/>
      <c r="DY785" s="1"/>
      <c r="DZ785" s="1"/>
      <c r="EA785" s="1"/>
      <c r="EB785" s="1"/>
      <c r="EC785" s="1"/>
      <c r="ED785" s="1"/>
      <c r="EE785" s="1"/>
      <c r="EF785" s="1"/>
      <c r="EG785" s="1"/>
      <c r="EH785" s="1"/>
      <c r="EI785" s="1"/>
      <c r="EJ785" s="1"/>
      <c r="EK785" s="1"/>
      <c r="EL785" s="1"/>
      <c r="EM785" s="1"/>
      <c r="EN785" s="1"/>
      <c r="EO785" s="1"/>
      <c r="EP785" s="1"/>
      <c r="EQ785" s="1"/>
      <c r="ER785" s="1"/>
      <c r="ES785" s="1"/>
      <c r="ET785" s="1"/>
      <c r="EU785" s="1"/>
      <c r="EV785" s="1"/>
      <c r="EW785" s="1"/>
      <c r="EX785" s="1"/>
      <c r="EY785" s="1"/>
      <c r="EZ785" s="1"/>
      <c r="FA785" s="1"/>
      <c r="FB785" s="1"/>
      <c r="FC785" s="1"/>
      <c r="FD785" s="1"/>
      <c r="FE785" s="1"/>
      <c r="FF785" s="1"/>
      <c r="FG785" s="1"/>
      <c r="FH785" s="1"/>
      <c r="FI785" s="1"/>
      <c r="FJ785" s="1"/>
      <c r="FK785" s="1"/>
      <c r="FL785" s="1"/>
      <c r="FM785" s="1"/>
      <c r="FN785" s="1"/>
      <c r="FO785" s="1"/>
      <c r="FP785" s="1"/>
      <c r="FQ785" s="1"/>
      <c r="FR785" s="2"/>
      <c r="FS785" s="1"/>
    </row>
    <row r="786" spans="1:175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R786" s="1"/>
      <c r="S786" s="1"/>
      <c r="T786" s="1"/>
      <c r="U786" s="1"/>
      <c r="V786" s="1"/>
      <c r="Y786" s="1"/>
      <c r="Z786" s="2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U786" s="1"/>
      <c r="AW786" s="1"/>
      <c r="AX786" s="1"/>
      <c r="AY786" s="1"/>
      <c r="AZ786" s="1"/>
      <c r="BA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  <c r="DC786" s="1"/>
      <c r="DD786" s="1"/>
      <c r="DE786" s="1"/>
      <c r="DF786" s="1"/>
      <c r="DG786" s="1"/>
      <c r="DH786" s="1"/>
      <c r="DI786" s="1"/>
      <c r="DJ786" s="1"/>
      <c r="DK786" s="1"/>
      <c r="DL786" s="1"/>
      <c r="DM786" s="1"/>
      <c r="DN786" s="1"/>
      <c r="DO786" s="1"/>
      <c r="DP786" s="1"/>
      <c r="DQ786" s="1"/>
      <c r="DR786" s="1"/>
      <c r="DS786" s="1"/>
      <c r="DT786" s="1"/>
      <c r="DU786" s="1"/>
      <c r="DV786" s="1"/>
      <c r="DW786" s="1"/>
      <c r="DX786" s="1"/>
      <c r="DY786" s="1"/>
      <c r="DZ786" s="1"/>
      <c r="EA786" s="1"/>
      <c r="EB786" s="1"/>
      <c r="EC786" s="1"/>
      <c r="ED786" s="1"/>
      <c r="EE786" s="1"/>
      <c r="EF786" s="1"/>
      <c r="EG786" s="1"/>
      <c r="EH786" s="1"/>
      <c r="EI786" s="1"/>
      <c r="EJ786" s="1"/>
      <c r="EK786" s="1"/>
      <c r="EL786" s="1"/>
      <c r="EM786" s="1"/>
      <c r="EN786" s="1"/>
      <c r="EO786" s="1"/>
      <c r="EP786" s="1"/>
      <c r="EQ786" s="1"/>
      <c r="ER786" s="1"/>
      <c r="ES786" s="1"/>
      <c r="ET786" s="1"/>
      <c r="EU786" s="1"/>
      <c r="EV786" s="1"/>
      <c r="EW786" s="1"/>
      <c r="EX786" s="1"/>
      <c r="EY786" s="1"/>
      <c r="EZ786" s="1"/>
      <c r="FA786" s="1"/>
      <c r="FB786" s="1"/>
      <c r="FC786" s="1"/>
      <c r="FD786" s="1"/>
      <c r="FE786" s="1"/>
      <c r="FF786" s="1"/>
      <c r="FG786" s="1"/>
      <c r="FH786" s="1"/>
      <c r="FI786" s="1"/>
      <c r="FJ786" s="1"/>
      <c r="FK786" s="1"/>
      <c r="FL786" s="1"/>
      <c r="FM786" s="1"/>
      <c r="FN786" s="1"/>
      <c r="FO786" s="1"/>
      <c r="FP786" s="1"/>
      <c r="FQ786" s="1"/>
      <c r="FR786" s="2"/>
      <c r="FS786" s="1"/>
    </row>
    <row r="787" spans="1:175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R787" s="1"/>
      <c r="S787" s="1"/>
      <c r="T787" s="1"/>
      <c r="U787" s="1"/>
      <c r="V787" s="1"/>
      <c r="Y787" s="1"/>
      <c r="Z787" s="2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U787" s="1"/>
      <c r="AW787" s="1"/>
      <c r="AX787" s="1"/>
      <c r="AY787" s="1"/>
      <c r="AZ787" s="1"/>
      <c r="BA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  <c r="DC787" s="1"/>
      <c r="DD787" s="1"/>
      <c r="DE787" s="1"/>
      <c r="DF787" s="1"/>
      <c r="DG787" s="1"/>
      <c r="DH787" s="1"/>
      <c r="DI787" s="1"/>
      <c r="DJ787" s="1"/>
      <c r="DK787" s="1"/>
      <c r="DL787" s="1"/>
      <c r="DM787" s="1"/>
      <c r="DN787" s="1"/>
      <c r="DO787" s="1"/>
      <c r="DP787" s="1"/>
      <c r="DQ787" s="1"/>
      <c r="DR787" s="1"/>
      <c r="DS787" s="1"/>
      <c r="DT787" s="1"/>
      <c r="DU787" s="1"/>
      <c r="DV787" s="1"/>
      <c r="DW787" s="1"/>
      <c r="DX787" s="1"/>
      <c r="DY787" s="1"/>
      <c r="DZ787" s="1"/>
      <c r="EA787" s="1"/>
      <c r="EB787" s="1"/>
      <c r="EC787" s="1"/>
      <c r="ED787" s="1"/>
      <c r="EE787" s="1"/>
      <c r="EF787" s="1"/>
      <c r="EG787" s="1"/>
      <c r="EH787" s="1"/>
      <c r="EI787" s="1"/>
      <c r="EJ787" s="1"/>
      <c r="EK787" s="1"/>
      <c r="EL787" s="1"/>
      <c r="EM787" s="1"/>
      <c r="EN787" s="1"/>
      <c r="EO787" s="1"/>
      <c r="EP787" s="1"/>
      <c r="EQ787" s="1"/>
      <c r="ER787" s="1"/>
      <c r="ES787" s="1"/>
      <c r="ET787" s="1"/>
      <c r="EU787" s="1"/>
      <c r="EV787" s="1"/>
      <c r="EW787" s="1"/>
      <c r="EX787" s="1"/>
      <c r="EY787" s="1"/>
      <c r="EZ787" s="1"/>
      <c r="FA787" s="1"/>
      <c r="FB787" s="1"/>
      <c r="FC787" s="1"/>
      <c r="FD787" s="1"/>
      <c r="FE787" s="1"/>
      <c r="FF787" s="1"/>
      <c r="FG787" s="1"/>
      <c r="FH787" s="1"/>
      <c r="FI787" s="1"/>
      <c r="FJ787" s="1"/>
      <c r="FK787" s="1"/>
      <c r="FL787" s="1"/>
      <c r="FM787" s="1"/>
      <c r="FN787" s="1"/>
      <c r="FO787" s="1"/>
      <c r="FP787" s="1"/>
      <c r="FQ787" s="1"/>
      <c r="FR787" s="2"/>
      <c r="FS787" s="1"/>
    </row>
    <row r="788" spans="1:175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R788" s="1"/>
      <c r="S788" s="1"/>
      <c r="T788" s="1"/>
      <c r="U788" s="1"/>
      <c r="V788" s="1"/>
      <c r="Y788" s="1"/>
      <c r="Z788" s="2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U788" s="1"/>
      <c r="AW788" s="1"/>
      <c r="AX788" s="1"/>
      <c r="AY788" s="1"/>
      <c r="AZ788" s="1"/>
      <c r="BA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  <c r="DC788" s="1"/>
      <c r="DD788" s="1"/>
      <c r="DE788" s="1"/>
      <c r="DF788" s="1"/>
      <c r="DG788" s="1"/>
      <c r="DH788" s="1"/>
      <c r="DI788" s="1"/>
      <c r="DJ788" s="1"/>
      <c r="DK788" s="1"/>
      <c r="DL788" s="1"/>
      <c r="DM788" s="1"/>
      <c r="DN788" s="1"/>
      <c r="DO788" s="1"/>
      <c r="DP788" s="1"/>
      <c r="DQ788" s="1"/>
      <c r="DR788" s="1"/>
      <c r="DS788" s="1"/>
      <c r="DT788" s="1"/>
      <c r="DU788" s="1"/>
      <c r="DV788" s="1"/>
      <c r="DW788" s="1"/>
      <c r="DX788" s="1"/>
      <c r="DY788" s="1"/>
      <c r="DZ788" s="1"/>
      <c r="EA788" s="1"/>
      <c r="EB788" s="1"/>
      <c r="EC788" s="1"/>
      <c r="ED788" s="1"/>
      <c r="EE788" s="1"/>
      <c r="EF788" s="1"/>
      <c r="EG788" s="1"/>
      <c r="EH788" s="1"/>
      <c r="EI788" s="1"/>
      <c r="EJ788" s="1"/>
      <c r="EK788" s="1"/>
      <c r="EL788" s="1"/>
      <c r="EM788" s="1"/>
      <c r="EN788" s="1"/>
      <c r="EO788" s="1"/>
      <c r="EP788" s="1"/>
      <c r="EQ788" s="1"/>
      <c r="ER788" s="1"/>
      <c r="ES788" s="1"/>
      <c r="ET788" s="1"/>
      <c r="EU788" s="1"/>
      <c r="EV788" s="1"/>
      <c r="EW788" s="1"/>
      <c r="EX788" s="1"/>
      <c r="EY788" s="1"/>
      <c r="EZ788" s="1"/>
      <c r="FA788" s="1"/>
      <c r="FB788" s="1"/>
      <c r="FC788" s="1"/>
      <c r="FD788" s="1"/>
      <c r="FE788" s="1"/>
      <c r="FF788" s="1"/>
      <c r="FG788" s="1"/>
      <c r="FH788" s="1"/>
      <c r="FI788" s="1"/>
      <c r="FJ788" s="1"/>
      <c r="FK788" s="1"/>
      <c r="FL788" s="1"/>
      <c r="FM788" s="1"/>
      <c r="FN788" s="1"/>
      <c r="FO788" s="1"/>
      <c r="FP788" s="1"/>
      <c r="FQ788" s="1"/>
      <c r="FR788" s="2"/>
      <c r="FS788" s="1"/>
    </row>
    <row r="789" spans="1:175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R789" s="1"/>
      <c r="S789" s="1"/>
      <c r="T789" s="1"/>
      <c r="U789" s="1"/>
      <c r="V789" s="1"/>
      <c r="Y789" s="1"/>
      <c r="Z789" s="2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U789" s="1"/>
      <c r="AW789" s="1"/>
      <c r="AX789" s="1"/>
      <c r="AY789" s="1"/>
      <c r="AZ789" s="1"/>
      <c r="BA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  <c r="DC789" s="1"/>
      <c r="DD789" s="1"/>
      <c r="DE789" s="1"/>
      <c r="DF789" s="1"/>
      <c r="DG789" s="1"/>
      <c r="DH789" s="1"/>
      <c r="DI789" s="1"/>
      <c r="DJ789" s="1"/>
      <c r="DK789" s="1"/>
      <c r="DL789" s="1"/>
      <c r="DM789" s="1"/>
      <c r="DN789" s="1"/>
      <c r="DO789" s="1"/>
      <c r="DP789" s="1"/>
      <c r="DQ789" s="1"/>
      <c r="DR789" s="1"/>
      <c r="DS789" s="1"/>
      <c r="DT789" s="1"/>
      <c r="DU789" s="1"/>
      <c r="DV789" s="1"/>
      <c r="DW789" s="1"/>
      <c r="DX789" s="1"/>
      <c r="DY789" s="1"/>
      <c r="DZ789" s="1"/>
      <c r="EA789" s="1"/>
      <c r="EB789" s="1"/>
      <c r="EC789" s="1"/>
      <c r="ED789" s="1"/>
      <c r="EE789" s="1"/>
      <c r="EF789" s="1"/>
      <c r="EG789" s="1"/>
      <c r="EH789" s="1"/>
      <c r="EI789" s="1"/>
      <c r="EJ789" s="1"/>
      <c r="EK789" s="1"/>
      <c r="EL789" s="1"/>
      <c r="EM789" s="1"/>
      <c r="EN789" s="1"/>
      <c r="EO789" s="1"/>
      <c r="EP789" s="1"/>
      <c r="EQ789" s="1"/>
      <c r="ER789" s="1"/>
      <c r="ES789" s="1"/>
      <c r="ET789" s="1"/>
      <c r="EU789" s="1"/>
      <c r="EV789" s="1"/>
      <c r="EW789" s="1"/>
      <c r="EX789" s="1"/>
      <c r="EY789" s="1"/>
      <c r="EZ789" s="1"/>
      <c r="FA789" s="1"/>
      <c r="FB789" s="1"/>
      <c r="FC789" s="1"/>
      <c r="FD789" s="1"/>
      <c r="FE789" s="1"/>
      <c r="FF789" s="1"/>
      <c r="FG789" s="1"/>
      <c r="FH789" s="1"/>
      <c r="FI789" s="1"/>
      <c r="FJ789" s="1"/>
      <c r="FK789" s="1"/>
      <c r="FL789" s="1"/>
      <c r="FM789" s="1"/>
      <c r="FN789" s="1"/>
      <c r="FO789" s="1"/>
      <c r="FP789" s="1"/>
      <c r="FQ789" s="1"/>
      <c r="FR789" s="2"/>
      <c r="FS789" s="1"/>
    </row>
    <row r="790" spans="1:175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R790" s="1"/>
      <c r="S790" s="1"/>
      <c r="T790" s="1"/>
      <c r="U790" s="1"/>
      <c r="V790" s="1"/>
      <c r="Y790" s="1"/>
      <c r="Z790" s="2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U790" s="1"/>
      <c r="AW790" s="1"/>
      <c r="AX790" s="1"/>
      <c r="AY790" s="1"/>
      <c r="AZ790" s="1"/>
      <c r="BA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  <c r="DC790" s="1"/>
      <c r="DD790" s="1"/>
      <c r="DE790" s="1"/>
      <c r="DF790" s="1"/>
      <c r="DG790" s="1"/>
      <c r="DH790" s="1"/>
      <c r="DI790" s="1"/>
      <c r="DJ790" s="1"/>
      <c r="DK790" s="1"/>
      <c r="DL790" s="1"/>
      <c r="DM790" s="1"/>
      <c r="DN790" s="1"/>
      <c r="DO790" s="1"/>
      <c r="DP790" s="1"/>
      <c r="DQ790" s="1"/>
      <c r="DR790" s="1"/>
      <c r="DS790" s="1"/>
      <c r="DT790" s="1"/>
      <c r="DU790" s="1"/>
      <c r="DV790" s="1"/>
      <c r="DW790" s="1"/>
      <c r="DX790" s="1"/>
      <c r="DY790" s="1"/>
      <c r="DZ790" s="1"/>
      <c r="EA790" s="1"/>
      <c r="EB790" s="1"/>
      <c r="EC790" s="1"/>
      <c r="ED790" s="1"/>
      <c r="EE790" s="1"/>
      <c r="EF790" s="1"/>
      <c r="EG790" s="1"/>
      <c r="EH790" s="1"/>
      <c r="EI790" s="1"/>
      <c r="EJ790" s="1"/>
      <c r="EK790" s="1"/>
      <c r="EL790" s="1"/>
      <c r="EM790" s="1"/>
      <c r="EN790" s="1"/>
      <c r="EO790" s="1"/>
      <c r="EP790" s="1"/>
      <c r="EQ790" s="1"/>
      <c r="ER790" s="1"/>
      <c r="ES790" s="1"/>
      <c r="ET790" s="1"/>
      <c r="EU790" s="1"/>
      <c r="EV790" s="1"/>
      <c r="EW790" s="1"/>
      <c r="EX790" s="1"/>
      <c r="EY790" s="1"/>
      <c r="EZ790" s="1"/>
      <c r="FA790" s="1"/>
      <c r="FB790" s="1"/>
      <c r="FC790" s="1"/>
      <c r="FD790" s="1"/>
      <c r="FE790" s="1"/>
      <c r="FF790" s="1"/>
      <c r="FG790" s="1"/>
      <c r="FH790" s="1"/>
      <c r="FI790" s="1"/>
      <c r="FJ790" s="1"/>
      <c r="FK790" s="1"/>
      <c r="FL790" s="1"/>
      <c r="FM790" s="1"/>
      <c r="FN790" s="1"/>
      <c r="FO790" s="1"/>
      <c r="FP790" s="1"/>
      <c r="FQ790" s="1"/>
      <c r="FR790" s="2"/>
      <c r="FS790" s="1"/>
    </row>
    <row r="791" spans="1:175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R791" s="1"/>
      <c r="S791" s="1"/>
      <c r="T791" s="1"/>
      <c r="U791" s="1"/>
      <c r="V791" s="1"/>
      <c r="Y791" s="1"/>
      <c r="Z791" s="2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U791" s="1"/>
      <c r="AW791" s="1"/>
      <c r="AX791" s="1"/>
      <c r="AY791" s="1"/>
      <c r="AZ791" s="1"/>
      <c r="BA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  <c r="DC791" s="1"/>
      <c r="DD791" s="1"/>
      <c r="DE791" s="1"/>
      <c r="DF791" s="1"/>
      <c r="DG791" s="1"/>
      <c r="DH791" s="1"/>
      <c r="DI791" s="1"/>
      <c r="DJ791" s="1"/>
      <c r="DK791" s="1"/>
      <c r="DL791" s="1"/>
      <c r="DM791" s="1"/>
      <c r="DN791" s="1"/>
      <c r="DO791" s="1"/>
      <c r="DP791" s="1"/>
      <c r="DQ791" s="1"/>
      <c r="DR791" s="1"/>
      <c r="DS791" s="1"/>
      <c r="DT791" s="1"/>
      <c r="DU791" s="1"/>
      <c r="DV791" s="1"/>
      <c r="DW791" s="1"/>
      <c r="DX791" s="1"/>
      <c r="DY791" s="1"/>
      <c r="DZ791" s="1"/>
      <c r="EA791" s="1"/>
      <c r="EB791" s="1"/>
      <c r="EC791" s="1"/>
      <c r="ED791" s="1"/>
      <c r="EE791" s="1"/>
      <c r="EF791" s="1"/>
      <c r="EG791" s="1"/>
      <c r="EH791" s="1"/>
      <c r="EI791" s="1"/>
      <c r="EJ791" s="1"/>
      <c r="EK791" s="1"/>
      <c r="EL791" s="1"/>
      <c r="EM791" s="1"/>
      <c r="EN791" s="1"/>
      <c r="EO791" s="1"/>
      <c r="EP791" s="1"/>
      <c r="EQ791" s="1"/>
      <c r="ER791" s="1"/>
      <c r="ES791" s="1"/>
      <c r="ET791" s="1"/>
      <c r="EU791" s="1"/>
      <c r="EV791" s="1"/>
      <c r="EW791" s="1"/>
      <c r="EX791" s="1"/>
      <c r="EY791" s="1"/>
      <c r="EZ791" s="1"/>
      <c r="FA791" s="1"/>
      <c r="FB791" s="1"/>
      <c r="FC791" s="1"/>
      <c r="FD791" s="1"/>
      <c r="FE791" s="1"/>
      <c r="FF791" s="1"/>
      <c r="FG791" s="1"/>
      <c r="FH791" s="1"/>
      <c r="FI791" s="1"/>
      <c r="FJ791" s="1"/>
      <c r="FK791" s="1"/>
      <c r="FL791" s="1"/>
      <c r="FM791" s="1"/>
      <c r="FN791" s="1"/>
      <c r="FO791" s="1"/>
      <c r="FP791" s="1"/>
      <c r="FQ791" s="1"/>
      <c r="FR791" s="2"/>
      <c r="FS791" s="1"/>
    </row>
    <row r="792" spans="1:175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R792" s="1"/>
      <c r="S792" s="1"/>
      <c r="T792" s="1"/>
      <c r="U792" s="1"/>
      <c r="V792" s="1"/>
      <c r="Y792" s="1"/>
      <c r="Z792" s="2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U792" s="1"/>
      <c r="AW792" s="1"/>
      <c r="AX792" s="1"/>
      <c r="AY792" s="1"/>
      <c r="AZ792" s="1"/>
      <c r="BA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  <c r="DC792" s="1"/>
      <c r="DD792" s="1"/>
      <c r="DE792" s="1"/>
      <c r="DF792" s="1"/>
      <c r="DG792" s="1"/>
      <c r="DH792" s="1"/>
      <c r="DI792" s="1"/>
      <c r="DJ792" s="1"/>
      <c r="DK792" s="1"/>
      <c r="DL792" s="1"/>
      <c r="DM792" s="1"/>
      <c r="DN792" s="1"/>
      <c r="DO792" s="1"/>
      <c r="DP792" s="1"/>
      <c r="DQ792" s="1"/>
      <c r="DR792" s="1"/>
      <c r="DS792" s="1"/>
      <c r="DT792" s="1"/>
      <c r="DU792" s="1"/>
      <c r="DV792" s="1"/>
      <c r="DW792" s="1"/>
      <c r="DX792" s="1"/>
      <c r="DY792" s="1"/>
      <c r="DZ792" s="1"/>
      <c r="EA792" s="1"/>
      <c r="EB792" s="1"/>
      <c r="EC792" s="1"/>
      <c r="ED792" s="1"/>
      <c r="EE792" s="1"/>
      <c r="EF792" s="1"/>
      <c r="EG792" s="1"/>
      <c r="EH792" s="1"/>
      <c r="EI792" s="1"/>
      <c r="EJ792" s="1"/>
      <c r="EK792" s="1"/>
      <c r="EL792" s="1"/>
      <c r="EM792" s="1"/>
      <c r="EN792" s="1"/>
      <c r="EO792" s="1"/>
      <c r="EP792" s="1"/>
      <c r="EQ792" s="1"/>
      <c r="ER792" s="1"/>
      <c r="ES792" s="1"/>
      <c r="ET792" s="1"/>
      <c r="EU792" s="1"/>
      <c r="EV792" s="1"/>
      <c r="EW792" s="1"/>
      <c r="EX792" s="1"/>
      <c r="EY792" s="1"/>
      <c r="EZ792" s="1"/>
      <c r="FA792" s="1"/>
      <c r="FB792" s="1"/>
      <c r="FC792" s="1"/>
      <c r="FD792" s="1"/>
      <c r="FE792" s="1"/>
      <c r="FF792" s="1"/>
      <c r="FG792" s="1"/>
      <c r="FH792" s="1"/>
      <c r="FI792" s="1"/>
      <c r="FJ792" s="1"/>
      <c r="FK792" s="1"/>
      <c r="FL792" s="1"/>
      <c r="FM792" s="1"/>
      <c r="FN792" s="1"/>
      <c r="FO792" s="1"/>
      <c r="FP792" s="1"/>
      <c r="FQ792" s="1"/>
      <c r="FR792" s="2"/>
      <c r="FS792" s="1"/>
    </row>
    <row r="793" spans="1:175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R793" s="1"/>
      <c r="S793" s="1"/>
      <c r="T793" s="1"/>
      <c r="U793" s="1"/>
      <c r="V793" s="1"/>
      <c r="Y793" s="1"/>
      <c r="Z793" s="2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U793" s="1"/>
      <c r="AW793" s="1"/>
      <c r="AX793" s="1"/>
      <c r="AY793" s="1"/>
      <c r="AZ793" s="1"/>
      <c r="BA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  <c r="DC793" s="1"/>
      <c r="DD793" s="1"/>
      <c r="DE793" s="1"/>
      <c r="DF793" s="1"/>
      <c r="DG793" s="1"/>
      <c r="DH793" s="1"/>
      <c r="DI793" s="1"/>
      <c r="DJ793" s="1"/>
      <c r="DK793" s="1"/>
      <c r="DL793" s="1"/>
      <c r="DM793" s="1"/>
      <c r="DN793" s="1"/>
      <c r="DO793" s="1"/>
      <c r="DP793" s="1"/>
      <c r="DQ793" s="1"/>
      <c r="DR793" s="1"/>
      <c r="DS793" s="1"/>
      <c r="DT793" s="1"/>
      <c r="DU793" s="1"/>
      <c r="DV793" s="1"/>
      <c r="DW793" s="1"/>
      <c r="DX793" s="1"/>
      <c r="DY793" s="1"/>
      <c r="DZ793" s="1"/>
      <c r="EA793" s="1"/>
      <c r="EB793" s="1"/>
      <c r="EC793" s="1"/>
      <c r="ED793" s="1"/>
      <c r="EE793" s="1"/>
      <c r="EF793" s="1"/>
      <c r="EG793" s="1"/>
      <c r="EH793" s="1"/>
      <c r="EI793" s="1"/>
      <c r="EJ793" s="1"/>
      <c r="EK793" s="1"/>
      <c r="EL793" s="1"/>
      <c r="EM793" s="1"/>
      <c r="EN793" s="1"/>
      <c r="EO793" s="1"/>
      <c r="EP793" s="1"/>
      <c r="EQ793" s="1"/>
      <c r="ER793" s="1"/>
      <c r="ES793" s="1"/>
      <c r="ET793" s="1"/>
      <c r="EU793" s="1"/>
      <c r="EV793" s="1"/>
      <c r="EW793" s="1"/>
      <c r="EX793" s="1"/>
      <c r="EY793" s="1"/>
      <c r="EZ793" s="1"/>
      <c r="FA793" s="1"/>
      <c r="FB793" s="1"/>
      <c r="FC793" s="1"/>
      <c r="FD793" s="1"/>
      <c r="FE793" s="1"/>
      <c r="FF793" s="1"/>
      <c r="FG793" s="1"/>
      <c r="FH793" s="1"/>
      <c r="FI793" s="1"/>
      <c r="FJ793" s="1"/>
      <c r="FK793" s="1"/>
      <c r="FL793" s="1"/>
      <c r="FM793" s="1"/>
      <c r="FN793" s="1"/>
      <c r="FO793" s="1"/>
      <c r="FP793" s="1"/>
      <c r="FQ793" s="1"/>
      <c r="FR793" s="2"/>
      <c r="FS793" s="1"/>
    </row>
    <row r="794" spans="1:175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R794" s="1"/>
      <c r="S794" s="1"/>
      <c r="T794" s="1"/>
      <c r="U794" s="1"/>
      <c r="V794" s="1"/>
      <c r="Y794" s="1"/>
      <c r="Z794" s="2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U794" s="1"/>
      <c r="AW794" s="1"/>
      <c r="AX794" s="1"/>
      <c r="AY794" s="1"/>
      <c r="AZ794" s="1"/>
      <c r="BA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  <c r="DC794" s="1"/>
      <c r="DD794" s="1"/>
      <c r="DE794" s="1"/>
      <c r="DF794" s="1"/>
      <c r="DG794" s="1"/>
      <c r="DH794" s="1"/>
      <c r="DI794" s="1"/>
      <c r="DJ794" s="1"/>
      <c r="DK794" s="1"/>
      <c r="DL794" s="1"/>
      <c r="DM794" s="1"/>
      <c r="DN794" s="1"/>
      <c r="DO794" s="1"/>
      <c r="DP794" s="1"/>
      <c r="DQ794" s="1"/>
      <c r="DR794" s="1"/>
      <c r="DS794" s="1"/>
      <c r="DT794" s="1"/>
      <c r="DU794" s="1"/>
      <c r="DV794" s="1"/>
      <c r="DW794" s="1"/>
      <c r="DX794" s="1"/>
      <c r="DY794" s="1"/>
      <c r="DZ794" s="1"/>
      <c r="EA794" s="1"/>
      <c r="EB794" s="1"/>
      <c r="EC794" s="1"/>
      <c r="ED794" s="1"/>
      <c r="EE794" s="1"/>
      <c r="EF794" s="1"/>
      <c r="EG794" s="1"/>
      <c r="EH794" s="1"/>
      <c r="EI794" s="1"/>
      <c r="EJ794" s="1"/>
      <c r="EK794" s="1"/>
      <c r="EL794" s="1"/>
      <c r="EM794" s="1"/>
      <c r="EN794" s="1"/>
      <c r="EO794" s="1"/>
      <c r="EP794" s="1"/>
      <c r="EQ794" s="1"/>
      <c r="ER794" s="1"/>
      <c r="ES794" s="1"/>
      <c r="ET794" s="1"/>
      <c r="EU794" s="1"/>
      <c r="EV794" s="1"/>
      <c r="EW794" s="1"/>
      <c r="EX794" s="1"/>
      <c r="EY794" s="1"/>
      <c r="EZ794" s="1"/>
      <c r="FA794" s="1"/>
      <c r="FB794" s="1"/>
      <c r="FC794" s="1"/>
      <c r="FD794" s="1"/>
      <c r="FE794" s="1"/>
      <c r="FF794" s="1"/>
      <c r="FG794" s="1"/>
      <c r="FH794" s="1"/>
      <c r="FI794" s="1"/>
      <c r="FJ794" s="1"/>
      <c r="FK794" s="1"/>
      <c r="FL794" s="1"/>
      <c r="FM794" s="1"/>
      <c r="FN794" s="1"/>
      <c r="FO794" s="1"/>
      <c r="FP794" s="1"/>
      <c r="FQ794" s="1"/>
      <c r="FR794" s="2"/>
      <c r="FS794" s="1"/>
    </row>
    <row r="795" spans="1:175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R795" s="1"/>
      <c r="S795" s="1"/>
      <c r="T795" s="1"/>
      <c r="U795" s="1"/>
      <c r="V795" s="1"/>
      <c r="Y795" s="1"/>
      <c r="Z795" s="2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U795" s="1"/>
      <c r="AW795" s="1"/>
      <c r="AX795" s="1"/>
      <c r="AY795" s="1"/>
      <c r="AZ795" s="1"/>
      <c r="BA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  <c r="DC795" s="1"/>
      <c r="DD795" s="1"/>
      <c r="DE795" s="1"/>
      <c r="DF795" s="1"/>
      <c r="DG795" s="1"/>
      <c r="DH795" s="1"/>
      <c r="DI795" s="1"/>
      <c r="DJ795" s="1"/>
      <c r="DK795" s="1"/>
      <c r="DL795" s="1"/>
      <c r="DM795" s="1"/>
      <c r="DN795" s="1"/>
      <c r="DO795" s="1"/>
      <c r="DP795" s="1"/>
      <c r="DQ795" s="1"/>
      <c r="DR795" s="1"/>
      <c r="DS795" s="1"/>
      <c r="DT795" s="1"/>
      <c r="DU795" s="1"/>
      <c r="DV795" s="1"/>
      <c r="DW795" s="1"/>
      <c r="DX795" s="1"/>
      <c r="DY795" s="1"/>
      <c r="DZ795" s="1"/>
      <c r="EA795" s="1"/>
      <c r="EB795" s="1"/>
      <c r="EC795" s="1"/>
      <c r="ED795" s="1"/>
      <c r="EE795" s="1"/>
      <c r="EF795" s="1"/>
      <c r="EG795" s="1"/>
      <c r="EH795" s="1"/>
      <c r="EI795" s="1"/>
      <c r="EJ795" s="1"/>
      <c r="EK795" s="1"/>
      <c r="EL795" s="1"/>
      <c r="EM795" s="1"/>
      <c r="EN795" s="1"/>
      <c r="EO795" s="1"/>
      <c r="EP795" s="1"/>
      <c r="EQ795" s="1"/>
      <c r="ER795" s="1"/>
      <c r="ES795" s="1"/>
      <c r="ET795" s="1"/>
      <c r="EU795" s="1"/>
      <c r="EV795" s="1"/>
      <c r="EW795" s="1"/>
      <c r="EX795" s="1"/>
      <c r="EY795" s="1"/>
      <c r="EZ795" s="1"/>
      <c r="FA795" s="1"/>
      <c r="FB795" s="1"/>
      <c r="FC795" s="1"/>
      <c r="FD795" s="1"/>
      <c r="FE795" s="1"/>
      <c r="FF795" s="1"/>
      <c r="FG795" s="1"/>
      <c r="FH795" s="1"/>
      <c r="FI795" s="1"/>
      <c r="FJ795" s="1"/>
      <c r="FK795" s="1"/>
      <c r="FL795" s="1"/>
      <c r="FM795" s="1"/>
      <c r="FN795" s="1"/>
      <c r="FO795" s="1"/>
      <c r="FP795" s="1"/>
      <c r="FQ795" s="1"/>
      <c r="FR795" s="2"/>
      <c r="FS795" s="1"/>
    </row>
    <row r="796" spans="1:175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R796" s="1"/>
      <c r="S796" s="1"/>
      <c r="T796" s="1"/>
      <c r="U796" s="1"/>
      <c r="V796" s="1"/>
      <c r="Y796" s="1"/>
      <c r="Z796" s="2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U796" s="1"/>
      <c r="AW796" s="1"/>
      <c r="AX796" s="1"/>
      <c r="AY796" s="1"/>
      <c r="AZ796" s="1"/>
      <c r="BA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  <c r="DC796" s="1"/>
      <c r="DD796" s="1"/>
      <c r="DE796" s="1"/>
      <c r="DF796" s="1"/>
      <c r="DG796" s="1"/>
      <c r="DH796" s="1"/>
      <c r="DI796" s="1"/>
      <c r="DJ796" s="1"/>
      <c r="DK796" s="1"/>
      <c r="DL796" s="1"/>
      <c r="DM796" s="1"/>
      <c r="DN796" s="1"/>
      <c r="DO796" s="1"/>
      <c r="DP796" s="1"/>
      <c r="DQ796" s="1"/>
      <c r="DR796" s="1"/>
      <c r="DS796" s="1"/>
      <c r="DT796" s="1"/>
      <c r="DU796" s="1"/>
      <c r="DV796" s="1"/>
      <c r="DW796" s="1"/>
      <c r="DX796" s="1"/>
      <c r="DY796" s="1"/>
      <c r="DZ796" s="1"/>
      <c r="EA796" s="1"/>
      <c r="EB796" s="1"/>
      <c r="EC796" s="1"/>
      <c r="ED796" s="1"/>
      <c r="EE796" s="1"/>
      <c r="EF796" s="1"/>
      <c r="EG796" s="1"/>
      <c r="EH796" s="1"/>
      <c r="EI796" s="1"/>
      <c r="EJ796" s="1"/>
      <c r="EK796" s="1"/>
      <c r="EL796" s="1"/>
      <c r="EM796" s="1"/>
      <c r="EN796" s="1"/>
      <c r="EO796" s="1"/>
      <c r="EP796" s="1"/>
      <c r="EQ796" s="1"/>
      <c r="ER796" s="1"/>
      <c r="ES796" s="1"/>
      <c r="ET796" s="1"/>
      <c r="EU796" s="1"/>
      <c r="EV796" s="1"/>
      <c r="EW796" s="1"/>
      <c r="EX796" s="1"/>
      <c r="EY796" s="1"/>
      <c r="EZ796" s="1"/>
      <c r="FA796" s="1"/>
      <c r="FB796" s="1"/>
      <c r="FC796" s="1"/>
      <c r="FD796" s="1"/>
      <c r="FE796" s="1"/>
      <c r="FF796" s="1"/>
      <c r="FG796" s="1"/>
      <c r="FH796" s="1"/>
      <c r="FI796" s="1"/>
      <c r="FJ796" s="1"/>
      <c r="FK796" s="1"/>
      <c r="FL796" s="1"/>
      <c r="FM796" s="1"/>
      <c r="FN796" s="1"/>
      <c r="FO796" s="1"/>
      <c r="FP796" s="1"/>
      <c r="FQ796" s="1"/>
      <c r="FR796" s="2"/>
      <c r="FS796" s="1"/>
    </row>
    <row r="797" spans="1:175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R797" s="1"/>
      <c r="S797" s="1"/>
      <c r="T797" s="1"/>
      <c r="U797" s="1"/>
      <c r="V797" s="1"/>
      <c r="Y797" s="1"/>
      <c r="Z797" s="2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U797" s="1"/>
      <c r="AW797" s="1"/>
      <c r="AX797" s="1"/>
      <c r="AY797" s="1"/>
      <c r="AZ797" s="1"/>
      <c r="BA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  <c r="DC797" s="1"/>
      <c r="DD797" s="1"/>
      <c r="DE797" s="1"/>
      <c r="DF797" s="1"/>
      <c r="DG797" s="1"/>
      <c r="DH797" s="1"/>
      <c r="DI797" s="1"/>
      <c r="DJ797" s="1"/>
      <c r="DK797" s="1"/>
      <c r="DL797" s="1"/>
      <c r="DM797" s="1"/>
      <c r="DN797" s="1"/>
      <c r="DO797" s="1"/>
      <c r="DP797" s="1"/>
      <c r="DQ797" s="1"/>
      <c r="DR797" s="1"/>
      <c r="DS797" s="1"/>
      <c r="DT797" s="1"/>
      <c r="DU797" s="1"/>
      <c r="DV797" s="1"/>
      <c r="DW797" s="1"/>
      <c r="DX797" s="1"/>
      <c r="DY797" s="1"/>
      <c r="DZ797" s="1"/>
      <c r="EA797" s="1"/>
      <c r="EB797" s="1"/>
      <c r="EC797" s="1"/>
      <c r="ED797" s="1"/>
      <c r="EE797" s="1"/>
      <c r="EF797" s="1"/>
      <c r="EG797" s="1"/>
      <c r="EH797" s="1"/>
      <c r="EI797" s="1"/>
      <c r="EJ797" s="1"/>
      <c r="EK797" s="1"/>
      <c r="EL797" s="1"/>
      <c r="EM797" s="1"/>
      <c r="EN797" s="1"/>
      <c r="EO797" s="1"/>
      <c r="EP797" s="1"/>
      <c r="EQ797" s="1"/>
      <c r="ER797" s="1"/>
      <c r="ES797" s="1"/>
      <c r="ET797" s="1"/>
      <c r="EU797" s="1"/>
      <c r="EV797" s="1"/>
      <c r="EW797" s="1"/>
      <c r="EX797" s="1"/>
      <c r="EY797" s="1"/>
      <c r="EZ797" s="1"/>
      <c r="FA797" s="1"/>
      <c r="FB797" s="1"/>
      <c r="FC797" s="1"/>
      <c r="FD797" s="1"/>
      <c r="FE797" s="1"/>
      <c r="FF797" s="1"/>
      <c r="FG797" s="1"/>
      <c r="FH797" s="1"/>
      <c r="FI797" s="1"/>
      <c r="FJ797" s="1"/>
      <c r="FK797" s="1"/>
      <c r="FL797" s="1"/>
      <c r="FM797" s="1"/>
      <c r="FN797" s="1"/>
      <c r="FO797" s="1"/>
      <c r="FP797" s="1"/>
      <c r="FQ797" s="1"/>
      <c r="FR797" s="2"/>
      <c r="FS797" s="1"/>
    </row>
    <row r="798" spans="1:175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R798" s="1"/>
      <c r="S798" s="1"/>
      <c r="T798" s="1"/>
      <c r="U798" s="1"/>
      <c r="V798" s="1"/>
      <c r="Y798" s="1"/>
      <c r="Z798" s="2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U798" s="1"/>
      <c r="AW798" s="1"/>
      <c r="AX798" s="1"/>
      <c r="AY798" s="1"/>
      <c r="AZ798" s="1"/>
      <c r="BA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  <c r="DC798" s="1"/>
      <c r="DD798" s="1"/>
      <c r="DE798" s="1"/>
      <c r="DF798" s="1"/>
      <c r="DG798" s="1"/>
      <c r="DH798" s="1"/>
      <c r="DI798" s="1"/>
      <c r="DJ798" s="1"/>
      <c r="DK798" s="1"/>
      <c r="DL798" s="1"/>
      <c r="DM798" s="1"/>
      <c r="DN798" s="1"/>
      <c r="DO798" s="1"/>
      <c r="DP798" s="1"/>
      <c r="DQ798" s="1"/>
      <c r="DR798" s="1"/>
      <c r="DS798" s="1"/>
      <c r="DT798" s="1"/>
      <c r="DU798" s="1"/>
      <c r="DV798" s="1"/>
      <c r="DW798" s="1"/>
      <c r="DX798" s="1"/>
      <c r="DY798" s="1"/>
      <c r="DZ798" s="1"/>
      <c r="EA798" s="1"/>
      <c r="EB798" s="1"/>
      <c r="EC798" s="1"/>
      <c r="ED798" s="1"/>
      <c r="EE798" s="1"/>
      <c r="EF798" s="1"/>
      <c r="EG798" s="1"/>
      <c r="EH798" s="1"/>
      <c r="EI798" s="1"/>
      <c r="EJ798" s="1"/>
      <c r="EK798" s="1"/>
      <c r="EL798" s="1"/>
      <c r="EM798" s="1"/>
      <c r="EN798" s="1"/>
      <c r="EO798" s="1"/>
      <c r="EP798" s="1"/>
      <c r="EQ798" s="1"/>
      <c r="ER798" s="1"/>
      <c r="ES798" s="1"/>
      <c r="ET798" s="1"/>
      <c r="EU798" s="1"/>
      <c r="EV798" s="1"/>
      <c r="EW798" s="1"/>
      <c r="EX798" s="1"/>
      <c r="EY798" s="1"/>
      <c r="EZ798" s="1"/>
      <c r="FA798" s="1"/>
      <c r="FB798" s="1"/>
      <c r="FC798" s="1"/>
      <c r="FD798" s="1"/>
      <c r="FE798" s="1"/>
      <c r="FF798" s="1"/>
      <c r="FG798" s="1"/>
      <c r="FH798" s="1"/>
      <c r="FI798" s="1"/>
      <c r="FJ798" s="1"/>
      <c r="FK798" s="1"/>
      <c r="FL798" s="1"/>
      <c r="FM798" s="1"/>
      <c r="FN798" s="1"/>
      <c r="FO798" s="1"/>
      <c r="FP798" s="1"/>
      <c r="FQ798" s="1"/>
      <c r="FR798" s="2"/>
      <c r="FS798" s="1"/>
    </row>
    <row r="799" spans="1:175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R799" s="1"/>
      <c r="S799" s="1"/>
      <c r="T799" s="1"/>
      <c r="U799" s="1"/>
      <c r="V799" s="1"/>
      <c r="Y799" s="1"/>
      <c r="Z799" s="2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U799" s="1"/>
      <c r="AW799" s="1"/>
      <c r="AX799" s="1"/>
      <c r="AY799" s="1"/>
      <c r="AZ799" s="1"/>
      <c r="BA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  <c r="DC799" s="1"/>
      <c r="DD799" s="1"/>
      <c r="DE799" s="1"/>
      <c r="DF799" s="1"/>
      <c r="DG799" s="1"/>
      <c r="DH799" s="1"/>
      <c r="DI799" s="1"/>
      <c r="DJ799" s="1"/>
      <c r="DK799" s="1"/>
      <c r="DL799" s="1"/>
      <c r="DM799" s="1"/>
      <c r="DN799" s="1"/>
      <c r="DO799" s="1"/>
      <c r="DP799" s="1"/>
      <c r="DQ799" s="1"/>
      <c r="DR799" s="1"/>
      <c r="DS799" s="1"/>
      <c r="DT799" s="1"/>
      <c r="DU799" s="1"/>
      <c r="DV799" s="1"/>
      <c r="DW799" s="1"/>
      <c r="DX799" s="1"/>
      <c r="DY799" s="1"/>
      <c r="DZ799" s="1"/>
      <c r="EA799" s="1"/>
      <c r="EB799" s="1"/>
      <c r="EC799" s="1"/>
      <c r="ED799" s="1"/>
      <c r="EE799" s="1"/>
      <c r="EF799" s="1"/>
      <c r="EG799" s="1"/>
      <c r="EH799" s="1"/>
      <c r="EI799" s="1"/>
      <c r="EJ799" s="1"/>
      <c r="EK799" s="1"/>
      <c r="EL799" s="1"/>
      <c r="EM799" s="1"/>
      <c r="EN799" s="1"/>
      <c r="EO799" s="1"/>
      <c r="EP799" s="1"/>
      <c r="EQ799" s="1"/>
      <c r="ER799" s="1"/>
      <c r="ES799" s="1"/>
      <c r="ET799" s="1"/>
      <c r="EU799" s="1"/>
      <c r="EV799" s="1"/>
      <c r="EW799" s="1"/>
      <c r="EX799" s="1"/>
      <c r="EY799" s="1"/>
      <c r="EZ799" s="1"/>
      <c r="FA799" s="1"/>
      <c r="FB799" s="1"/>
      <c r="FC799" s="1"/>
      <c r="FD799" s="1"/>
      <c r="FE799" s="1"/>
      <c r="FF799" s="1"/>
      <c r="FG799" s="1"/>
      <c r="FH799" s="1"/>
      <c r="FI799" s="1"/>
      <c r="FJ799" s="1"/>
      <c r="FK799" s="1"/>
      <c r="FL799" s="1"/>
      <c r="FM799" s="1"/>
      <c r="FN799" s="1"/>
      <c r="FO799" s="1"/>
      <c r="FP799" s="1"/>
      <c r="FQ799" s="1"/>
      <c r="FR799" s="2"/>
      <c r="FS799" s="1"/>
    </row>
    <row r="800" spans="1:175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R800" s="1"/>
      <c r="S800" s="1"/>
      <c r="T800" s="1"/>
      <c r="U800" s="1"/>
      <c r="V800" s="1"/>
      <c r="Y800" s="1"/>
      <c r="Z800" s="2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U800" s="1"/>
      <c r="AW800" s="1"/>
      <c r="AX800" s="1"/>
      <c r="AY800" s="1"/>
      <c r="AZ800" s="1"/>
      <c r="BA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  <c r="DC800" s="1"/>
      <c r="DD800" s="1"/>
      <c r="DE800" s="1"/>
      <c r="DF800" s="1"/>
      <c r="DG800" s="1"/>
      <c r="DH800" s="1"/>
      <c r="DI800" s="1"/>
      <c r="DJ800" s="1"/>
      <c r="DK800" s="1"/>
      <c r="DL800" s="1"/>
      <c r="DM800" s="1"/>
      <c r="DN800" s="1"/>
      <c r="DO800" s="1"/>
      <c r="DP800" s="1"/>
      <c r="DQ800" s="1"/>
      <c r="DR800" s="1"/>
      <c r="DS800" s="1"/>
      <c r="DT800" s="1"/>
      <c r="DU800" s="1"/>
      <c r="DV800" s="1"/>
      <c r="DW800" s="1"/>
      <c r="DX800" s="1"/>
      <c r="DY800" s="1"/>
      <c r="DZ800" s="1"/>
      <c r="EA800" s="1"/>
      <c r="EB800" s="1"/>
      <c r="EC800" s="1"/>
      <c r="ED800" s="1"/>
      <c r="EE800" s="1"/>
      <c r="EF800" s="1"/>
      <c r="EG800" s="1"/>
      <c r="EH800" s="1"/>
      <c r="EI800" s="1"/>
      <c r="EJ800" s="1"/>
      <c r="EK800" s="1"/>
      <c r="EL800" s="1"/>
      <c r="EM800" s="1"/>
      <c r="EN800" s="1"/>
      <c r="EO800" s="1"/>
      <c r="EP800" s="1"/>
      <c r="EQ800" s="1"/>
      <c r="ER800" s="1"/>
      <c r="ES800" s="1"/>
      <c r="ET800" s="1"/>
      <c r="EU800" s="1"/>
      <c r="EV800" s="1"/>
      <c r="EW800" s="1"/>
      <c r="EX800" s="1"/>
      <c r="EY800" s="1"/>
      <c r="EZ800" s="1"/>
      <c r="FA800" s="1"/>
      <c r="FB800" s="1"/>
      <c r="FC800" s="1"/>
      <c r="FD800" s="1"/>
      <c r="FE800" s="1"/>
      <c r="FF800" s="1"/>
      <c r="FG800" s="1"/>
      <c r="FH800" s="1"/>
      <c r="FI800" s="1"/>
      <c r="FJ800" s="1"/>
      <c r="FK800" s="1"/>
      <c r="FL800" s="1"/>
      <c r="FM800" s="1"/>
      <c r="FN800" s="1"/>
      <c r="FO800" s="1"/>
      <c r="FP800" s="1"/>
      <c r="FQ800" s="1"/>
      <c r="FR800" s="2"/>
      <c r="FS800" s="1"/>
    </row>
    <row r="801" spans="1:175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R801" s="1"/>
      <c r="S801" s="1"/>
      <c r="T801" s="1"/>
      <c r="U801" s="1"/>
      <c r="V801" s="1"/>
      <c r="Y801" s="1"/>
      <c r="Z801" s="2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U801" s="1"/>
      <c r="AW801" s="1"/>
      <c r="AX801" s="1"/>
      <c r="AY801" s="1"/>
      <c r="AZ801" s="1"/>
      <c r="BA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  <c r="DC801" s="1"/>
      <c r="DD801" s="1"/>
      <c r="DE801" s="1"/>
      <c r="DF801" s="1"/>
      <c r="DG801" s="1"/>
      <c r="DH801" s="1"/>
      <c r="DI801" s="1"/>
      <c r="DJ801" s="1"/>
      <c r="DK801" s="1"/>
      <c r="DL801" s="1"/>
      <c r="DM801" s="1"/>
      <c r="DN801" s="1"/>
      <c r="DO801" s="1"/>
      <c r="DP801" s="1"/>
      <c r="DQ801" s="1"/>
      <c r="DR801" s="1"/>
      <c r="DS801" s="1"/>
      <c r="DT801" s="1"/>
      <c r="DU801" s="1"/>
      <c r="DV801" s="1"/>
      <c r="DW801" s="1"/>
      <c r="DX801" s="1"/>
      <c r="DY801" s="1"/>
      <c r="DZ801" s="1"/>
      <c r="EA801" s="1"/>
      <c r="EB801" s="1"/>
      <c r="EC801" s="1"/>
      <c r="ED801" s="1"/>
      <c r="EE801" s="1"/>
      <c r="EF801" s="1"/>
      <c r="EG801" s="1"/>
      <c r="EH801" s="1"/>
      <c r="EI801" s="1"/>
      <c r="EJ801" s="1"/>
      <c r="EK801" s="1"/>
      <c r="EL801" s="1"/>
      <c r="EM801" s="1"/>
      <c r="EN801" s="1"/>
      <c r="EO801" s="1"/>
      <c r="EP801" s="1"/>
      <c r="EQ801" s="1"/>
      <c r="ER801" s="1"/>
      <c r="ES801" s="1"/>
      <c r="ET801" s="1"/>
      <c r="EU801" s="1"/>
      <c r="EV801" s="1"/>
      <c r="EW801" s="1"/>
      <c r="EX801" s="1"/>
      <c r="EY801" s="1"/>
      <c r="EZ801" s="1"/>
      <c r="FA801" s="1"/>
      <c r="FB801" s="1"/>
      <c r="FC801" s="1"/>
      <c r="FD801" s="1"/>
      <c r="FE801" s="1"/>
      <c r="FF801" s="1"/>
      <c r="FG801" s="1"/>
      <c r="FH801" s="1"/>
      <c r="FI801" s="1"/>
      <c r="FJ801" s="1"/>
      <c r="FK801" s="1"/>
      <c r="FL801" s="1"/>
      <c r="FM801" s="1"/>
      <c r="FN801" s="1"/>
      <c r="FO801" s="1"/>
      <c r="FP801" s="1"/>
      <c r="FQ801" s="1"/>
      <c r="FR801" s="2"/>
      <c r="FS801" s="1"/>
    </row>
    <row r="802" spans="1:175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R802" s="1"/>
      <c r="S802" s="1"/>
      <c r="T802" s="1"/>
      <c r="U802" s="1"/>
      <c r="V802" s="1"/>
      <c r="Y802" s="1"/>
      <c r="Z802" s="2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U802" s="1"/>
      <c r="AW802" s="1"/>
      <c r="AX802" s="1"/>
      <c r="AY802" s="1"/>
      <c r="AZ802" s="1"/>
      <c r="BA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  <c r="DC802" s="1"/>
      <c r="DD802" s="1"/>
      <c r="DE802" s="1"/>
      <c r="DF802" s="1"/>
      <c r="DG802" s="1"/>
      <c r="DH802" s="1"/>
      <c r="DI802" s="1"/>
      <c r="DJ802" s="1"/>
      <c r="DK802" s="1"/>
      <c r="DL802" s="1"/>
      <c r="DM802" s="1"/>
      <c r="DN802" s="1"/>
      <c r="DO802" s="1"/>
      <c r="DP802" s="1"/>
      <c r="DQ802" s="1"/>
      <c r="DR802" s="1"/>
      <c r="DS802" s="1"/>
      <c r="DT802" s="1"/>
      <c r="DU802" s="1"/>
      <c r="DV802" s="1"/>
      <c r="DW802" s="1"/>
      <c r="DX802" s="1"/>
      <c r="DY802" s="1"/>
      <c r="DZ802" s="1"/>
      <c r="EA802" s="1"/>
      <c r="EB802" s="1"/>
      <c r="EC802" s="1"/>
      <c r="ED802" s="1"/>
      <c r="EE802" s="1"/>
      <c r="EF802" s="1"/>
      <c r="EG802" s="1"/>
      <c r="EH802" s="1"/>
      <c r="EI802" s="1"/>
      <c r="EJ802" s="1"/>
      <c r="EK802" s="1"/>
      <c r="EL802" s="1"/>
      <c r="EM802" s="1"/>
      <c r="EN802" s="1"/>
      <c r="EO802" s="1"/>
      <c r="EP802" s="1"/>
      <c r="EQ802" s="1"/>
      <c r="ER802" s="1"/>
      <c r="ES802" s="1"/>
      <c r="ET802" s="1"/>
      <c r="EU802" s="1"/>
      <c r="EV802" s="1"/>
      <c r="EW802" s="1"/>
      <c r="EX802" s="1"/>
      <c r="EY802" s="1"/>
      <c r="EZ802" s="1"/>
      <c r="FA802" s="1"/>
      <c r="FB802" s="1"/>
      <c r="FC802" s="1"/>
      <c r="FD802" s="1"/>
      <c r="FE802" s="1"/>
      <c r="FF802" s="1"/>
      <c r="FG802" s="1"/>
      <c r="FH802" s="1"/>
      <c r="FI802" s="1"/>
      <c r="FJ802" s="1"/>
      <c r="FK802" s="1"/>
      <c r="FL802" s="1"/>
      <c r="FM802" s="1"/>
      <c r="FN802" s="1"/>
      <c r="FO802" s="1"/>
      <c r="FP802" s="1"/>
      <c r="FQ802" s="1"/>
      <c r="FR802" s="2"/>
      <c r="FS802" s="1"/>
    </row>
    <row r="803" spans="1:175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R803" s="1"/>
      <c r="S803" s="1"/>
      <c r="T803" s="1"/>
      <c r="U803" s="1"/>
      <c r="V803" s="1"/>
      <c r="Y803" s="1"/>
      <c r="Z803" s="2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U803" s="1"/>
      <c r="AW803" s="1"/>
      <c r="AX803" s="1"/>
      <c r="AY803" s="1"/>
      <c r="AZ803" s="1"/>
      <c r="BA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  <c r="DC803" s="1"/>
      <c r="DD803" s="1"/>
      <c r="DE803" s="1"/>
      <c r="DF803" s="1"/>
      <c r="DG803" s="1"/>
      <c r="DH803" s="1"/>
      <c r="DI803" s="1"/>
      <c r="DJ803" s="1"/>
      <c r="DK803" s="1"/>
      <c r="DL803" s="1"/>
      <c r="DM803" s="1"/>
      <c r="DN803" s="1"/>
      <c r="DO803" s="1"/>
      <c r="DP803" s="1"/>
      <c r="DQ803" s="1"/>
      <c r="DR803" s="1"/>
      <c r="DS803" s="1"/>
      <c r="DT803" s="1"/>
      <c r="DU803" s="1"/>
      <c r="DV803" s="1"/>
      <c r="DW803" s="1"/>
      <c r="DX803" s="1"/>
      <c r="DY803" s="1"/>
      <c r="DZ803" s="1"/>
      <c r="EA803" s="1"/>
      <c r="EB803" s="1"/>
      <c r="EC803" s="1"/>
      <c r="ED803" s="1"/>
      <c r="EE803" s="1"/>
      <c r="EF803" s="1"/>
      <c r="EG803" s="1"/>
      <c r="EH803" s="1"/>
      <c r="EI803" s="1"/>
      <c r="EJ803" s="1"/>
      <c r="EK803" s="1"/>
      <c r="EL803" s="1"/>
      <c r="EM803" s="1"/>
      <c r="EN803" s="1"/>
      <c r="EO803" s="1"/>
      <c r="EP803" s="1"/>
      <c r="EQ803" s="1"/>
      <c r="ER803" s="1"/>
      <c r="ES803" s="1"/>
      <c r="ET803" s="1"/>
      <c r="EU803" s="1"/>
      <c r="EV803" s="1"/>
      <c r="EW803" s="1"/>
      <c r="EX803" s="1"/>
      <c r="EY803" s="1"/>
      <c r="EZ803" s="1"/>
      <c r="FA803" s="1"/>
      <c r="FB803" s="1"/>
      <c r="FC803" s="1"/>
      <c r="FD803" s="1"/>
      <c r="FE803" s="1"/>
      <c r="FF803" s="1"/>
      <c r="FG803" s="1"/>
      <c r="FH803" s="1"/>
      <c r="FI803" s="1"/>
      <c r="FJ803" s="1"/>
      <c r="FK803" s="1"/>
      <c r="FL803" s="1"/>
      <c r="FM803" s="1"/>
      <c r="FN803" s="1"/>
      <c r="FO803" s="1"/>
      <c r="FP803" s="1"/>
      <c r="FQ803" s="1"/>
      <c r="FR803" s="2"/>
      <c r="FS803" s="1"/>
    </row>
    <row r="804" spans="1:175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R804" s="1"/>
      <c r="S804" s="1"/>
      <c r="T804" s="1"/>
      <c r="U804" s="1"/>
      <c r="V804" s="1"/>
      <c r="Y804" s="1"/>
      <c r="Z804" s="2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U804" s="1"/>
      <c r="AW804" s="1"/>
      <c r="AX804" s="1"/>
      <c r="AY804" s="1"/>
      <c r="AZ804" s="1"/>
      <c r="BA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  <c r="DC804" s="1"/>
      <c r="DD804" s="1"/>
      <c r="DE804" s="1"/>
      <c r="DF804" s="1"/>
      <c r="DG804" s="1"/>
      <c r="DH804" s="1"/>
      <c r="DI804" s="1"/>
      <c r="DJ804" s="1"/>
      <c r="DK804" s="1"/>
      <c r="DL804" s="1"/>
      <c r="DM804" s="1"/>
      <c r="DN804" s="1"/>
      <c r="DO804" s="1"/>
      <c r="DP804" s="1"/>
      <c r="DQ804" s="1"/>
      <c r="DR804" s="1"/>
      <c r="DS804" s="1"/>
      <c r="DT804" s="1"/>
      <c r="DU804" s="1"/>
      <c r="DV804" s="1"/>
      <c r="DW804" s="1"/>
      <c r="DX804" s="1"/>
      <c r="DY804" s="1"/>
      <c r="DZ804" s="1"/>
      <c r="EA804" s="1"/>
      <c r="EB804" s="1"/>
      <c r="EC804" s="1"/>
      <c r="ED804" s="1"/>
      <c r="EE804" s="1"/>
      <c r="EF804" s="1"/>
      <c r="EG804" s="1"/>
      <c r="EH804" s="1"/>
      <c r="EI804" s="1"/>
      <c r="EJ804" s="1"/>
      <c r="EK804" s="1"/>
      <c r="EL804" s="1"/>
      <c r="EM804" s="1"/>
      <c r="EN804" s="1"/>
      <c r="EO804" s="1"/>
      <c r="EP804" s="1"/>
      <c r="EQ804" s="1"/>
      <c r="ER804" s="1"/>
      <c r="ES804" s="1"/>
      <c r="ET804" s="1"/>
      <c r="EU804" s="1"/>
      <c r="EV804" s="1"/>
      <c r="EW804" s="1"/>
      <c r="EX804" s="1"/>
      <c r="EY804" s="1"/>
      <c r="EZ804" s="1"/>
      <c r="FA804" s="1"/>
      <c r="FB804" s="1"/>
      <c r="FC804" s="1"/>
      <c r="FD804" s="1"/>
      <c r="FE804" s="1"/>
      <c r="FF804" s="1"/>
      <c r="FG804" s="1"/>
      <c r="FH804" s="1"/>
      <c r="FI804" s="1"/>
      <c r="FJ804" s="1"/>
      <c r="FK804" s="1"/>
      <c r="FL804" s="1"/>
      <c r="FM804" s="1"/>
      <c r="FN804" s="1"/>
      <c r="FO804" s="1"/>
      <c r="FP804" s="1"/>
      <c r="FQ804" s="1"/>
      <c r="FR804" s="2"/>
      <c r="FS804" s="1"/>
    </row>
    <row r="805" spans="1:175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R805" s="1"/>
      <c r="S805" s="1"/>
      <c r="T805" s="1"/>
      <c r="U805" s="1"/>
      <c r="V805" s="1"/>
      <c r="Y805" s="1"/>
      <c r="Z805" s="2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U805" s="1"/>
      <c r="AW805" s="1"/>
      <c r="AX805" s="1"/>
      <c r="AY805" s="1"/>
      <c r="AZ805" s="1"/>
      <c r="BA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  <c r="DC805" s="1"/>
      <c r="DD805" s="1"/>
      <c r="DE805" s="1"/>
      <c r="DF805" s="1"/>
      <c r="DG805" s="1"/>
      <c r="DH805" s="1"/>
      <c r="DI805" s="1"/>
      <c r="DJ805" s="1"/>
      <c r="DK805" s="1"/>
      <c r="DL805" s="1"/>
      <c r="DM805" s="1"/>
      <c r="DN805" s="1"/>
      <c r="DO805" s="1"/>
      <c r="DP805" s="1"/>
      <c r="DQ805" s="1"/>
      <c r="DR805" s="1"/>
      <c r="DS805" s="1"/>
      <c r="DT805" s="1"/>
      <c r="DU805" s="1"/>
      <c r="DV805" s="1"/>
      <c r="DW805" s="1"/>
      <c r="DX805" s="1"/>
      <c r="DY805" s="1"/>
      <c r="DZ805" s="1"/>
      <c r="EA805" s="1"/>
      <c r="EB805" s="1"/>
      <c r="EC805" s="1"/>
      <c r="ED805" s="1"/>
      <c r="EE805" s="1"/>
      <c r="EF805" s="1"/>
      <c r="EG805" s="1"/>
      <c r="EH805" s="1"/>
      <c r="EI805" s="1"/>
      <c r="EJ805" s="1"/>
      <c r="EK805" s="1"/>
      <c r="EL805" s="1"/>
      <c r="EM805" s="1"/>
      <c r="EN805" s="1"/>
      <c r="EO805" s="1"/>
      <c r="EP805" s="1"/>
      <c r="EQ805" s="1"/>
      <c r="ER805" s="1"/>
      <c r="ES805" s="1"/>
      <c r="ET805" s="1"/>
      <c r="EU805" s="1"/>
      <c r="EV805" s="1"/>
      <c r="EW805" s="1"/>
      <c r="EX805" s="1"/>
      <c r="EY805" s="1"/>
      <c r="EZ805" s="1"/>
      <c r="FA805" s="1"/>
      <c r="FB805" s="1"/>
      <c r="FC805" s="1"/>
      <c r="FD805" s="1"/>
      <c r="FE805" s="1"/>
      <c r="FF805" s="1"/>
      <c r="FG805" s="1"/>
      <c r="FH805" s="1"/>
      <c r="FI805" s="1"/>
      <c r="FJ805" s="1"/>
      <c r="FK805" s="1"/>
      <c r="FL805" s="1"/>
      <c r="FM805" s="1"/>
      <c r="FN805" s="1"/>
      <c r="FO805" s="1"/>
      <c r="FP805" s="1"/>
      <c r="FQ805" s="1"/>
      <c r="FR805" s="2"/>
      <c r="FS805" s="1"/>
    </row>
    <row r="806" spans="1:175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R806" s="1"/>
      <c r="S806" s="1"/>
      <c r="T806" s="1"/>
      <c r="U806" s="1"/>
      <c r="V806" s="1"/>
      <c r="Y806" s="1"/>
      <c r="Z806" s="2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U806" s="1"/>
      <c r="AW806" s="1"/>
      <c r="AX806" s="1"/>
      <c r="AY806" s="1"/>
      <c r="AZ806" s="1"/>
      <c r="BA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  <c r="DC806" s="1"/>
      <c r="DD806" s="1"/>
      <c r="DE806" s="1"/>
      <c r="DF806" s="1"/>
      <c r="DG806" s="1"/>
      <c r="DH806" s="1"/>
      <c r="DI806" s="1"/>
      <c r="DJ806" s="1"/>
      <c r="DK806" s="1"/>
      <c r="DL806" s="1"/>
      <c r="DM806" s="1"/>
      <c r="DN806" s="1"/>
      <c r="DO806" s="1"/>
      <c r="DP806" s="1"/>
      <c r="DQ806" s="1"/>
      <c r="DR806" s="1"/>
      <c r="DS806" s="1"/>
      <c r="DT806" s="1"/>
      <c r="DU806" s="1"/>
      <c r="DV806" s="1"/>
      <c r="DW806" s="1"/>
      <c r="DX806" s="1"/>
      <c r="DY806" s="1"/>
      <c r="DZ806" s="1"/>
      <c r="EA806" s="1"/>
      <c r="EB806" s="1"/>
      <c r="EC806" s="1"/>
      <c r="ED806" s="1"/>
      <c r="EE806" s="1"/>
      <c r="EF806" s="1"/>
      <c r="EG806" s="1"/>
      <c r="EH806" s="1"/>
      <c r="EI806" s="1"/>
      <c r="EJ806" s="1"/>
      <c r="EK806" s="1"/>
      <c r="EL806" s="1"/>
      <c r="EM806" s="1"/>
      <c r="EN806" s="1"/>
      <c r="EO806" s="1"/>
      <c r="EP806" s="1"/>
      <c r="EQ806" s="1"/>
      <c r="ER806" s="1"/>
      <c r="ES806" s="1"/>
      <c r="ET806" s="1"/>
      <c r="EU806" s="1"/>
      <c r="EV806" s="1"/>
      <c r="EW806" s="1"/>
      <c r="EX806" s="1"/>
      <c r="EY806" s="1"/>
      <c r="EZ806" s="1"/>
      <c r="FA806" s="1"/>
      <c r="FB806" s="1"/>
      <c r="FC806" s="1"/>
      <c r="FD806" s="1"/>
      <c r="FE806" s="1"/>
      <c r="FF806" s="1"/>
      <c r="FG806" s="1"/>
      <c r="FH806" s="1"/>
      <c r="FI806" s="1"/>
      <c r="FJ806" s="1"/>
      <c r="FK806" s="1"/>
      <c r="FL806" s="1"/>
      <c r="FM806" s="1"/>
      <c r="FN806" s="1"/>
      <c r="FO806" s="1"/>
      <c r="FP806" s="1"/>
      <c r="FQ806" s="1"/>
      <c r="FR806" s="2"/>
      <c r="FS806" s="1"/>
    </row>
    <row r="807" spans="1:175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R807" s="1"/>
      <c r="S807" s="1"/>
      <c r="T807" s="1"/>
      <c r="U807" s="1"/>
      <c r="V807" s="1"/>
      <c r="Y807" s="1"/>
      <c r="Z807" s="2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U807" s="1"/>
      <c r="AW807" s="1"/>
      <c r="AX807" s="1"/>
      <c r="AY807" s="1"/>
      <c r="AZ807" s="1"/>
      <c r="BA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  <c r="DC807" s="1"/>
      <c r="DD807" s="1"/>
      <c r="DE807" s="1"/>
      <c r="DF807" s="1"/>
      <c r="DG807" s="1"/>
      <c r="DH807" s="1"/>
      <c r="DI807" s="1"/>
      <c r="DJ807" s="1"/>
      <c r="DK807" s="1"/>
      <c r="DL807" s="1"/>
      <c r="DM807" s="1"/>
      <c r="DN807" s="1"/>
      <c r="DO807" s="1"/>
      <c r="DP807" s="1"/>
      <c r="DQ807" s="1"/>
      <c r="DR807" s="1"/>
      <c r="DS807" s="1"/>
      <c r="DT807" s="1"/>
      <c r="DU807" s="1"/>
      <c r="DV807" s="1"/>
      <c r="DW807" s="1"/>
      <c r="DX807" s="1"/>
      <c r="DY807" s="1"/>
      <c r="DZ807" s="1"/>
      <c r="EA807" s="1"/>
      <c r="EB807" s="1"/>
      <c r="EC807" s="1"/>
      <c r="ED807" s="1"/>
      <c r="EE807" s="1"/>
      <c r="EF807" s="1"/>
      <c r="EG807" s="1"/>
      <c r="EH807" s="1"/>
      <c r="EI807" s="1"/>
      <c r="EJ807" s="1"/>
      <c r="EK807" s="1"/>
      <c r="EL807" s="1"/>
      <c r="EM807" s="1"/>
      <c r="EN807" s="1"/>
      <c r="EO807" s="1"/>
      <c r="EP807" s="1"/>
      <c r="EQ807" s="1"/>
      <c r="ER807" s="1"/>
      <c r="ES807" s="1"/>
      <c r="ET807" s="1"/>
      <c r="EU807" s="1"/>
      <c r="EV807" s="1"/>
      <c r="EW807" s="1"/>
      <c r="EX807" s="1"/>
      <c r="EY807" s="1"/>
      <c r="EZ807" s="1"/>
      <c r="FA807" s="1"/>
      <c r="FB807" s="1"/>
      <c r="FC807" s="1"/>
      <c r="FD807" s="1"/>
      <c r="FE807" s="1"/>
      <c r="FF807" s="1"/>
      <c r="FG807" s="1"/>
      <c r="FH807" s="1"/>
      <c r="FI807" s="1"/>
      <c r="FJ807" s="1"/>
      <c r="FK807" s="1"/>
      <c r="FL807" s="1"/>
      <c r="FM807" s="1"/>
      <c r="FN807" s="1"/>
      <c r="FO807" s="1"/>
      <c r="FP807" s="1"/>
      <c r="FQ807" s="1"/>
      <c r="FR807" s="2"/>
      <c r="FS807" s="1"/>
    </row>
    <row r="808" spans="1:175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R808" s="1"/>
      <c r="S808" s="1"/>
      <c r="T808" s="1"/>
      <c r="U808" s="1"/>
      <c r="V808" s="1"/>
      <c r="Y808" s="1"/>
      <c r="Z808" s="2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U808" s="1"/>
      <c r="AW808" s="1"/>
      <c r="AX808" s="1"/>
      <c r="AY808" s="1"/>
      <c r="AZ808" s="1"/>
      <c r="BA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  <c r="DC808" s="1"/>
      <c r="DD808" s="1"/>
      <c r="DE808" s="1"/>
      <c r="DF808" s="1"/>
      <c r="DG808" s="1"/>
      <c r="DH808" s="1"/>
      <c r="DI808" s="1"/>
      <c r="DJ808" s="1"/>
      <c r="DK808" s="1"/>
      <c r="DL808" s="1"/>
      <c r="DM808" s="1"/>
      <c r="DN808" s="1"/>
      <c r="DO808" s="1"/>
      <c r="DP808" s="1"/>
      <c r="DQ808" s="1"/>
      <c r="DR808" s="1"/>
      <c r="DS808" s="1"/>
      <c r="DT808" s="1"/>
      <c r="DU808" s="1"/>
      <c r="DV808" s="1"/>
      <c r="DW808" s="1"/>
      <c r="DX808" s="1"/>
      <c r="DY808" s="1"/>
      <c r="DZ808" s="1"/>
      <c r="EA808" s="1"/>
      <c r="EB808" s="1"/>
      <c r="EC808" s="1"/>
      <c r="ED808" s="1"/>
      <c r="EE808" s="1"/>
      <c r="EF808" s="1"/>
      <c r="EG808" s="1"/>
      <c r="EH808" s="1"/>
      <c r="EI808" s="1"/>
      <c r="EJ808" s="1"/>
      <c r="EK808" s="1"/>
      <c r="EL808" s="1"/>
      <c r="EM808" s="1"/>
      <c r="EN808" s="1"/>
      <c r="EO808" s="1"/>
      <c r="EP808" s="1"/>
      <c r="EQ808" s="1"/>
      <c r="ER808" s="1"/>
      <c r="ES808" s="1"/>
      <c r="ET808" s="1"/>
      <c r="EU808" s="1"/>
      <c r="EV808" s="1"/>
      <c r="EW808" s="1"/>
      <c r="EX808" s="1"/>
      <c r="EY808" s="1"/>
      <c r="EZ808" s="1"/>
      <c r="FA808" s="1"/>
      <c r="FB808" s="1"/>
      <c r="FC808" s="1"/>
      <c r="FD808" s="1"/>
      <c r="FE808" s="1"/>
      <c r="FF808" s="1"/>
      <c r="FG808" s="1"/>
      <c r="FH808" s="1"/>
      <c r="FI808" s="1"/>
      <c r="FJ808" s="1"/>
      <c r="FK808" s="1"/>
      <c r="FL808" s="1"/>
      <c r="FM808" s="1"/>
      <c r="FN808" s="1"/>
      <c r="FO808" s="1"/>
      <c r="FP808" s="1"/>
      <c r="FQ808" s="1"/>
      <c r="FR808" s="2"/>
      <c r="FS808" s="1"/>
    </row>
    <row r="809" spans="1:175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R809" s="1"/>
      <c r="S809" s="1"/>
      <c r="T809" s="1"/>
      <c r="U809" s="1"/>
      <c r="V809" s="1"/>
      <c r="Y809" s="1"/>
      <c r="Z809" s="2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U809" s="1"/>
      <c r="AW809" s="1"/>
      <c r="AX809" s="1"/>
      <c r="AY809" s="1"/>
      <c r="AZ809" s="1"/>
      <c r="BA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  <c r="DC809" s="1"/>
      <c r="DD809" s="1"/>
      <c r="DE809" s="1"/>
      <c r="DF809" s="1"/>
      <c r="DG809" s="1"/>
      <c r="DH809" s="1"/>
      <c r="DI809" s="1"/>
      <c r="DJ809" s="1"/>
      <c r="DK809" s="1"/>
      <c r="DL809" s="1"/>
      <c r="DM809" s="1"/>
      <c r="DN809" s="1"/>
      <c r="DO809" s="1"/>
      <c r="DP809" s="1"/>
      <c r="DQ809" s="1"/>
      <c r="DR809" s="1"/>
      <c r="DS809" s="1"/>
      <c r="DT809" s="1"/>
      <c r="DU809" s="1"/>
      <c r="DV809" s="1"/>
      <c r="DW809" s="1"/>
      <c r="DX809" s="1"/>
      <c r="DY809" s="1"/>
      <c r="DZ809" s="1"/>
      <c r="EA809" s="1"/>
      <c r="EB809" s="1"/>
      <c r="EC809" s="1"/>
      <c r="ED809" s="1"/>
      <c r="EE809" s="1"/>
      <c r="EF809" s="1"/>
      <c r="EG809" s="1"/>
      <c r="EH809" s="1"/>
      <c r="EI809" s="1"/>
      <c r="EJ809" s="1"/>
      <c r="EK809" s="1"/>
      <c r="EL809" s="1"/>
      <c r="EM809" s="1"/>
      <c r="EN809" s="1"/>
      <c r="EO809" s="1"/>
      <c r="EP809" s="1"/>
      <c r="EQ809" s="1"/>
      <c r="ER809" s="1"/>
      <c r="ES809" s="1"/>
      <c r="ET809" s="1"/>
      <c r="EU809" s="1"/>
      <c r="EV809" s="1"/>
      <c r="EW809" s="1"/>
      <c r="EX809" s="1"/>
      <c r="EY809" s="1"/>
      <c r="EZ809" s="1"/>
      <c r="FA809" s="1"/>
      <c r="FB809" s="1"/>
      <c r="FC809" s="1"/>
      <c r="FD809" s="1"/>
      <c r="FE809" s="1"/>
      <c r="FF809" s="1"/>
      <c r="FG809" s="1"/>
      <c r="FH809" s="1"/>
      <c r="FI809" s="1"/>
      <c r="FJ809" s="1"/>
      <c r="FK809" s="1"/>
      <c r="FL809" s="1"/>
      <c r="FM809" s="1"/>
      <c r="FN809" s="1"/>
      <c r="FO809" s="1"/>
      <c r="FP809" s="1"/>
      <c r="FQ809" s="1"/>
      <c r="FR809" s="2"/>
      <c r="FS809" s="1"/>
    </row>
    <row r="810" spans="1:175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R810" s="1"/>
      <c r="S810" s="1"/>
      <c r="T810" s="1"/>
      <c r="U810" s="1"/>
      <c r="V810" s="1"/>
      <c r="Y810" s="1"/>
      <c r="Z810" s="2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U810" s="1"/>
      <c r="AW810" s="1"/>
      <c r="AX810" s="1"/>
      <c r="AY810" s="1"/>
      <c r="AZ810" s="1"/>
      <c r="BA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  <c r="DC810" s="1"/>
      <c r="DD810" s="1"/>
      <c r="DE810" s="1"/>
      <c r="DF810" s="1"/>
      <c r="DG810" s="1"/>
      <c r="DH810" s="1"/>
      <c r="DI810" s="1"/>
      <c r="DJ810" s="1"/>
      <c r="DK810" s="1"/>
      <c r="DL810" s="1"/>
      <c r="DM810" s="1"/>
      <c r="DN810" s="1"/>
      <c r="DO810" s="1"/>
      <c r="DP810" s="1"/>
      <c r="DQ810" s="1"/>
      <c r="DR810" s="1"/>
      <c r="DS810" s="1"/>
      <c r="DT810" s="1"/>
      <c r="DU810" s="1"/>
      <c r="DV810" s="1"/>
      <c r="DW810" s="1"/>
      <c r="DX810" s="1"/>
      <c r="DY810" s="1"/>
      <c r="DZ810" s="1"/>
      <c r="EA810" s="1"/>
      <c r="EB810" s="1"/>
      <c r="EC810" s="1"/>
      <c r="ED810" s="1"/>
      <c r="EE810" s="1"/>
      <c r="EF810" s="1"/>
      <c r="EG810" s="1"/>
      <c r="EH810" s="1"/>
      <c r="EI810" s="1"/>
      <c r="EJ810" s="1"/>
      <c r="EK810" s="1"/>
      <c r="EL810" s="1"/>
      <c r="EM810" s="1"/>
      <c r="EN810" s="1"/>
      <c r="EO810" s="1"/>
      <c r="EP810" s="1"/>
      <c r="EQ810" s="1"/>
      <c r="ER810" s="1"/>
      <c r="ES810" s="1"/>
      <c r="ET810" s="1"/>
      <c r="EU810" s="1"/>
      <c r="EV810" s="1"/>
      <c r="EW810" s="1"/>
      <c r="EX810" s="1"/>
      <c r="EY810" s="1"/>
      <c r="EZ810" s="1"/>
      <c r="FA810" s="1"/>
      <c r="FB810" s="1"/>
      <c r="FC810" s="1"/>
      <c r="FD810" s="1"/>
      <c r="FE810" s="1"/>
      <c r="FF810" s="1"/>
      <c r="FG810" s="1"/>
      <c r="FH810" s="1"/>
      <c r="FI810" s="1"/>
      <c r="FJ810" s="1"/>
      <c r="FK810" s="1"/>
      <c r="FL810" s="1"/>
      <c r="FM810" s="1"/>
      <c r="FN810" s="1"/>
      <c r="FO810" s="1"/>
      <c r="FP810" s="1"/>
      <c r="FQ810" s="1"/>
      <c r="FR810" s="2"/>
      <c r="FS810" s="1"/>
    </row>
    <row r="811" spans="1:175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R811" s="1"/>
      <c r="S811" s="1"/>
      <c r="T811" s="1"/>
      <c r="U811" s="1"/>
      <c r="V811" s="1"/>
      <c r="Y811" s="1"/>
      <c r="Z811" s="2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U811" s="1"/>
      <c r="AW811" s="1"/>
      <c r="AX811" s="1"/>
      <c r="AY811" s="1"/>
      <c r="AZ811" s="1"/>
      <c r="BA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  <c r="DC811" s="1"/>
      <c r="DD811" s="1"/>
      <c r="DE811" s="1"/>
      <c r="DF811" s="1"/>
      <c r="DG811" s="1"/>
      <c r="DH811" s="1"/>
      <c r="DI811" s="1"/>
      <c r="DJ811" s="1"/>
      <c r="DK811" s="1"/>
      <c r="DL811" s="1"/>
      <c r="DM811" s="1"/>
      <c r="DN811" s="1"/>
      <c r="DO811" s="1"/>
      <c r="DP811" s="1"/>
      <c r="DQ811" s="1"/>
      <c r="DR811" s="1"/>
      <c r="DS811" s="1"/>
      <c r="DT811" s="1"/>
      <c r="DU811" s="1"/>
      <c r="DV811" s="1"/>
      <c r="DW811" s="1"/>
      <c r="DX811" s="1"/>
      <c r="DY811" s="1"/>
      <c r="DZ811" s="1"/>
      <c r="EA811" s="1"/>
      <c r="EB811" s="1"/>
      <c r="EC811" s="1"/>
      <c r="ED811" s="1"/>
      <c r="EE811" s="1"/>
      <c r="EF811" s="1"/>
      <c r="EG811" s="1"/>
      <c r="EH811" s="1"/>
      <c r="EI811" s="1"/>
      <c r="EJ811" s="1"/>
      <c r="EK811" s="1"/>
      <c r="EL811" s="1"/>
      <c r="EM811" s="1"/>
      <c r="EN811" s="1"/>
      <c r="EO811" s="1"/>
      <c r="EP811" s="1"/>
      <c r="EQ811" s="1"/>
      <c r="ER811" s="1"/>
      <c r="ES811" s="1"/>
      <c r="ET811" s="1"/>
      <c r="EU811" s="1"/>
      <c r="EV811" s="1"/>
      <c r="EW811" s="1"/>
      <c r="EX811" s="1"/>
      <c r="EY811" s="1"/>
      <c r="EZ811" s="1"/>
      <c r="FA811" s="1"/>
      <c r="FB811" s="1"/>
      <c r="FC811" s="1"/>
      <c r="FD811" s="1"/>
      <c r="FE811" s="1"/>
      <c r="FF811" s="1"/>
      <c r="FG811" s="1"/>
      <c r="FH811" s="1"/>
      <c r="FI811" s="1"/>
      <c r="FJ811" s="1"/>
      <c r="FK811" s="1"/>
      <c r="FL811" s="1"/>
      <c r="FM811" s="1"/>
      <c r="FN811" s="1"/>
      <c r="FO811" s="1"/>
      <c r="FP811" s="1"/>
      <c r="FQ811" s="1"/>
      <c r="FR811" s="2"/>
      <c r="FS811" s="1"/>
    </row>
    <row r="812" spans="1:175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R812" s="1"/>
      <c r="S812" s="1"/>
      <c r="T812" s="1"/>
      <c r="U812" s="1"/>
      <c r="V812" s="1"/>
      <c r="Y812" s="1"/>
      <c r="Z812" s="2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U812" s="1"/>
      <c r="AW812" s="1"/>
      <c r="AX812" s="1"/>
      <c r="AY812" s="1"/>
      <c r="AZ812" s="1"/>
      <c r="BA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  <c r="DC812" s="1"/>
      <c r="DD812" s="1"/>
      <c r="DE812" s="1"/>
      <c r="DF812" s="1"/>
      <c r="DG812" s="1"/>
      <c r="DH812" s="1"/>
      <c r="DI812" s="1"/>
      <c r="DJ812" s="1"/>
      <c r="DK812" s="1"/>
      <c r="DL812" s="1"/>
      <c r="DM812" s="1"/>
      <c r="DN812" s="1"/>
      <c r="DO812" s="1"/>
      <c r="DP812" s="1"/>
      <c r="DQ812" s="1"/>
      <c r="DR812" s="1"/>
      <c r="DS812" s="1"/>
      <c r="DT812" s="1"/>
      <c r="DU812" s="1"/>
      <c r="DV812" s="1"/>
      <c r="DW812" s="1"/>
      <c r="DX812" s="1"/>
      <c r="DY812" s="1"/>
      <c r="DZ812" s="1"/>
      <c r="EA812" s="1"/>
      <c r="EB812" s="1"/>
      <c r="EC812" s="1"/>
      <c r="ED812" s="1"/>
      <c r="EE812" s="1"/>
      <c r="EF812" s="1"/>
      <c r="EG812" s="1"/>
      <c r="EH812" s="1"/>
      <c r="EI812" s="1"/>
      <c r="EJ812" s="1"/>
      <c r="EK812" s="1"/>
      <c r="EL812" s="1"/>
      <c r="EM812" s="1"/>
      <c r="EN812" s="1"/>
      <c r="EO812" s="1"/>
      <c r="EP812" s="1"/>
      <c r="EQ812" s="1"/>
      <c r="ER812" s="1"/>
      <c r="ES812" s="1"/>
      <c r="ET812" s="1"/>
      <c r="EU812" s="1"/>
      <c r="EV812" s="1"/>
      <c r="EW812" s="1"/>
      <c r="EX812" s="1"/>
      <c r="EY812" s="1"/>
      <c r="EZ812" s="1"/>
      <c r="FA812" s="1"/>
      <c r="FB812" s="1"/>
      <c r="FC812" s="1"/>
      <c r="FD812" s="1"/>
      <c r="FE812" s="1"/>
      <c r="FF812" s="1"/>
      <c r="FG812" s="1"/>
      <c r="FH812" s="1"/>
      <c r="FI812" s="1"/>
      <c r="FJ812" s="1"/>
      <c r="FK812" s="1"/>
      <c r="FL812" s="1"/>
      <c r="FM812" s="1"/>
      <c r="FN812" s="1"/>
      <c r="FO812" s="1"/>
      <c r="FP812" s="1"/>
      <c r="FQ812" s="1"/>
      <c r="FR812" s="2"/>
      <c r="FS812" s="1"/>
    </row>
    <row r="813" spans="1:175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R813" s="1"/>
      <c r="S813" s="1"/>
      <c r="T813" s="1"/>
      <c r="U813" s="1"/>
      <c r="V813" s="1"/>
      <c r="Y813" s="1"/>
      <c r="Z813" s="2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U813" s="1"/>
      <c r="AW813" s="1"/>
      <c r="AX813" s="1"/>
      <c r="AY813" s="1"/>
      <c r="AZ813" s="1"/>
      <c r="BA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  <c r="DC813" s="1"/>
      <c r="DD813" s="1"/>
      <c r="DE813" s="1"/>
      <c r="DF813" s="1"/>
      <c r="DG813" s="1"/>
      <c r="DH813" s="1"/>
      <c r="DI813" s="1"/>
      <c r="DJ813" s="1"/>
      <c r="DK813" s="1"/>
      <c r="DL813" s="1"/>
      <c r="DM813" s="1"/>
      <c r="DN813" s="1"/>
      <c r="DO813" s="1"/>
      <c r="DP813" s="1"/>
      <c r="DQ813" s="1"/>
      <c r="DR813" s="1"/>
      <c r="DS813" s="1"/>
      <c r="DT813" s="1"/>
      <c r="DU813" s="1"/>
      <c r="DV813" s="1"/>
      <c r="DW813" s="1"/>
      <c r="DX813" s="1"/>
      <c r="DY813" s="1"/>
      <c r="DZ813" s="1"/>
      <c r="EA813" s="1"/>
      <c r="EB813" s="1"/>
      <c r="EC813" s="1"/>
      <c r="ED813" s="1"/>
      <c r="EE813" s="1"/>
      <c r="EF813" s="1"/>
      <c r="EG813" s="1"/>
      <c r="EH813" s="1"/>
      <c r="EI813" s="1"/>
      <c r="EJ813" s="1"/>
      <c r="EK813" s="1"/>
      <c r="EL813" s="1"/>
      <c r="EM813" s="1"/>
      <c r="EN813" s="1"/>
      <c r="EO813" s="1"/>
      <c r="EP813" s="1"/>
      <c r="EQ813" s="1"/>
      <c r="ER813" s="1"/>
      <c r="ES813" s="1"/>
      <c r="ET813" s="1"/>
      <c r="EU813" s="1"/>
      <c r="EV813" s="1"/>
      <c r="EW813" s="1"/>
      <c r="EX813" s="1"/>
      <c r="EY813" s="1"/>
      <c r="EZ813" s="1"/>
      <c r="FA813" s="1"/>
      <c r="FB813" s="1"/>
      <c r="FC813" s="1"/>
      <c r="FD813" s="1"/>
      <c r="FE813" s="1"/>
      <c r="FF813" s="1"/>
      <c r="FG813" s="1"/>
      <c r="FH813" s="1"/>
      <c r="FI813" s="1"/>
      <c r="FJ813" s="1"/>
      <c r="FK813" s="1"/>
      <c r="FL813" s="1"/>
      <c r="FM813" s="1"/>
      <c r="FN813" s="1"/>
      <c r="FO813" s="1"/>
      <c r="FP813" s="1"/>
      <c r="FQ813" s="1"/>
      <c r="FR813" s="2"/>
      <c r="FS813" s="1"/>
    </row>
    <row r="814" spans="1:175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R814" s="1"/>
      <c r="S814" s="1"/>
      <c r="T814" s="1"/>
      <c r="U814" s="1"/>
      <c r="V814" s="1"/>
      <c r="Y814" s="1"/>
      <c r="Z814" s="2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U814" s="1"/>
      <c r="AW814" s="1"/>
      <c r="AX814" s="1"/>
      <c r="AY814" s="1"/>
      <c r="AZ814" s="1"/>
      <c r="BA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  <c r="DC814" s="1"/>
      <c r="DD814" s="1"/>
      <c r="DE814" s="1"/>
      <c r="DF814" s="1"/>
      <c r="DG814" s="1"/>
      <c r="DH814" s="1"/>
      <c r="DI814" s="1"/>
      <c r="DJ814" s="1"/>
      <c r="DK814" s="1"/>
      <c r="DL814" s="1"/>
      <c r="DM814" s="1"/>
      <c r="DN814" s="1"/>
      <c r="DO814" s="1"/>
      <c r="DP814" s="1"/>
      <c r="DQ814" s="1"/>
      <c r="DR814" s="1"/>
      <c r="DS814" s="1"/>
      <c r="DT814" s="1"/>
      <c r="DU814" s="1"/>
      <c r="DV814" s="1"/>
      <c r="DW814" s="1"/>
      <c r="DX814" s="1"/>
      <c r="DY814" s="1"/>
      <c r="DZ814" s="1"/>
      <c r="EA814" s="1"/>
      <c r="EB814" s="1"/>
      <c r="EC814" s="1"/>
      <c r="ED814" s="1"/>
      <c r="EE814" s="1"/>
      <c r="EF814" s="1"/>
      <c r="EG814" s="1"/>
      <c r="EH814" s="1"/>
      <c r="EI814" s="1"/>
      <c r="EJ814" s="1"/>
      <c r="EK814" s="1"/>
      <c r="EL814" s="1"/>
      <c r="EM814" s="1"/>
      <c r="EN814" s="1"/>
      <c r="EO814" s="1"/>
      <c r="EP814" s="1"/>
      <c r="EQ814" s="1"/>
      <c r="ER814" s="1"/>
      <c r="ES814" s="1"/>
      <c r="ET814" s="1"/>
      <c r="EU814" s="1"/>
      <c r="EV814" s="1"/>
      <c r="EW814" s="1"/>
      <c r="EX814" s="1"/>
      <c r="EY814" s="1"/>
      <c r="EZ814" s="1"/>
      <c r="FA814" s="1"/>
      <c r="FB814" s="1"/>
      <c r="FC814" s="1"/>
      <c r="FD814" s="1"/>
      <c r="FE814" s="1"/>
      <c r="FF814" s="1"/>
      <c r="FG814" s="1"/>
      <c r="FH814" s="1"/>
      <c r="FI814" s="1"/>
      <c r="FJ814" s="1"/>
      <c r="FK814" s="1"/>
      <c r="FL814" s="1"/>
      <c r="FM814" s="1"/>
      <c r="FN814" s="1"/>
      <c r="FO814" s="1"/>
      <c r="FP814" s="1"/>
      <c r="FQ814" s="1"/>
      <c r="FR814" s="2"/>
      <c r="FS814" s="1"/>
    </row>
    <row r="815" spans="1:175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R815" s="1"/>
      <c r="S815" s="1"/>
      <c r="T815" s="1"/>
      <c r="U815" s="1"/>
      <c r="V815" s="1"/>
      <c r="Y815" s="1"/>
      <c r="Z815" s="2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U815" s="1"/>
      <c r="AW815" s="1"/>
      <c r="AX815" s="1"/>
      <c r="AY815" s="1"/>
      <c r="AZ815" s="1"/>
      <c r="BA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  <c r="DC815" s="1"/>
      <c r="DD815" s="1"/>
      <c r="DE815" s="1"/>
      <c r="DF815" s="1"/>
      <c r="DG815" s="1"/>
      <c r="DH815" s="1"/>
      <c r="DI815" s="1"/>
      <c r="DJ815" s="1"/>
      <c r="DK815" s="1"/>
      <c r="DL815" s="1"/>
      <c r="DM815" s="1"/>
      <c r="DN815" s="1"/>
      <c r="DO815" s="1"/>
      <c r="DP815" s="1"/>
      <c r="DQ815" s="1"/>
      <c r="DR815" s="1"/>
      <c r="DS815" s="1"/>
      <c r="DT815" s="1"/>
      <c r="DU815" s="1"/>
      <c r="DV815" s="1"/>
      <c r="DW815" s="1"/>
      <c r="DX815" s="1"/>
      <c r="DY815" s="1"/>
      <c r="DZ815" s="1"/>
      <c r="EA815" s="1"/>
      <c r="EB815" s="1"/>
      <c r="EC815" s="1"/>
      <c r="ED815" s="1"/>
      <c r="EE815" s="1"/>
      <c r="EF815" s="1"/>
      <c r="EG815" s="1"/>
      <c r="EH815" s="1"/>
      <c r="EI815" s="1"/>
      <c r="EJ815" s="1"/>
      <c r="EK815" s="1"/>
      <c r="EL815" s="1"/>
      <c r="EM815" s="1"/>
      <c r="EN815" s="1"/>
      <c r="EO815" s="1"/>
      <c r="EP815" s="1"/>
      <c r="EQ815" s="1"/>
      <c r="ER815" s="1"/>
      <c r="ES815" s="1"/>
      <c r="ET815" s="1"/>
      <c r="EU815" s="1"/>
      <c r="EV815" s="1"/>
      <c r="EW815" s="1"/>
      <c r="EX815" s="1"/>
      <c r="EY815" s="1"/>
      <c r="EZ815" s="1"/>
      <c r="FA815" s="1"/>
      <c r="FB815" s="1"/>
      <c r="FC815" s="1"/>
      <c r="FD815" s="1"/>
      <c r="FE815" s="1"/>
      <c r="FF815" s="1"/>
      <c r="FG815" s="1"/>
      <c r="FH815" s="1"/>
      <c r="FI815" s="1"/>
      <c r="FJ815" s="1"/>
      <c r="FK815" s="1"/>
      <c r="FL815" s="1"/>
      <c r="FM815" s="1"/>
      <c r="FN815" s="1"/>
      <c r="FO815" s="1"/>
      <c r="FP815" s="1"/>
      <c r="FQ815" s="1"/>
      <c r="FR815" s="2"/>
      <c r="FS815" s="1"/>
    </row>
    <row r="816" spans="1:175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R816" s="1"/>
      <c r="S816" s="1"/>
      <c r="T816" s="1"/>
      <c r="U816" s="1"/>
      <c r="V816" s="1"/>
      <c r="Y816" s="1"/>
      <c r="Z816" s="2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U816" s="1"/>
      <c r="AW816" s="1"/>
      <c r="AX816" s="1"/>
      <c r="AY816" s="1"/>
      <c r="AZ816" s="1"/>
      <c r="BA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  <c r="DC816" s="1"/>
      <c r="DD816" s="1"/>
      <c r="DE816" s="1"/>
      <c r="DF816" s="1"/>
      <c r="DG816" s="1"/>
      <c r="DH816" s="1"/>
      <c r="DI816" s="1"/>
      <c r="DJ816" s="1"/>
      <c r="DK816" s="1"/>
      <c r="DL816" s="1"/>
      <c r="DM816" s="1"/>
      <c r="DN816" s="1"/>
      <c r="DO816" s="1"/>
      <c r="DP816" s="1"/>
      <c r="DQ816" s="1"/>
      <c r="DR816" s="1"/>
      <c r="DS816" s="1"/>
      <c r="DT816" s="1"/>
      <c r="DU816" s="1"/>
      <c r="DV816" s="1"/>
      <c r="DW816" s="1"/>
      <c r="DX816" s="1"/>
      <c r="DY816" s="1"/>
      <c r="DZ816" s="1"/>
      <c r="EA816" s="1"/>
      <c r="EB816" s="1"/>
      <c r="EC816" s="1"/>
      <c r="ED816" s="1"/>
      <c r="EE816" s="1"/>
      <c r="EF816" s="1"/>
      <c r="EG816" s="1"/>
      <c r="EH816" s="1"/>
      <c r="EI816" s="1"/>
      <c r="EJ816" s="1"/>
      <c r="EK816" s="1"/>
      <c r="EL816" s="1"/>
      <c r="EM816" s="1"/>
      <c r="EN816" s="1"/>
      <c r="EO816" s="1"/>
      <c r="EP816" s="1"/>
      <c r="EQ816" s="1"/>
      <c r="ER816" s="1"/>
      <c r="ES816" s="1"/>
      <c r="ET816" s="1"/>
      <c r="EU816" s="1"/>
      <c r="EV816" s="1"/>
      <c r="EW816" s="1"/>
      <c r="EX816" s="1"/>
      <c r="EY816" s="1"/>
      <c r="EZ816" s="1"/>
      <c r="FA816" s="1"/>
      <c r="FB816" s="1"/>
      <c r="FC816" s="1"/>
      <c r="FD816" s="1"/>
      <c r="FE816" s="1"/>
      <c r="FF816" s="1"/>
      <c r="FG816" s="1"/>
      <c r="FH816" s="1"/>
      <c r="FI816" s="1"/>
      <c r="FJ816" s="1"/>
      <c r="FK816" s="1"/>
      <c r="FL816" s="1"/>
      <c r="FM816" s="1"/>
      <c r="FN816" s="1"/>
      <c r="FO816" s="1"/>
      <c r="FP816" s="1"/>
      <c r="FQ816" s="1"/>
      <c r="FR816" s="2"/>
      <c r="FS816" s="1"/>
    </row>
    <row r="817" spans="1:175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R817" s="1"/>
      <c r="S817" s="1"/>
      <c r="T817" s="1"/>
      <c r="U817" s="1"/>
      <c r="V817" s="1"/>
      <c r="Y817" s="1"/>
      <c r="Z817" s="2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U817" s="1"/>
      <c r="AW817" s="1"/>
      <c r="AX817" s="1"/>
      <c r="AY817" s="1"/>
      <c r="AZ817" s="1"/>
      <c r="BA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  <c r="DC817" s="1"/>
      <c r="DD817" s="1"/>
      <c r="DE817" s="1"/>
      <c r="DF817" s="1"/>
      <c r="DG817" s="1"/>
      <c r="DH817" s="1"/>
      <c r="DI817" s="1"/>
      <c r="DJ817" s="1"/>
      <c r="DK817" s="1"/>
      <c r="DL817" s="1"/>
      <c r="DM817" s="1"/>
      <c r="DN817" s="1"/>
      <c r="DO817" s="1"/>
      <c r="DP817" s="1"/>
      <c r="DQ817" s="1"/>
      <c r="DR817" s="1"/>
      <c r="DS817" s="1"/>
      <c r="DT817" s="1"/>
      <c r="DU817" s="1"/>
      <c r="DV817" s="1"/>
      <c r="DW817" s="1"/>
      <c r="DX817" s="1"/>
      <c r="DY817" s="1"/>
      <c r="DZ817" s="1"/>
      <c r="EA817" s="1"/>
      <c r="EB817" s="1"/>
      <c r="EC817" s="1"/>
      <c r="ED817" s="1"/>
      <c r="EE817" s="1"/>
      <c r="EF817" s="1"/>
      <c r="EG817" s="1"/>
      <c r="EH817" s="1"/>
      <c r="EI817" s="1"/>
      <c r="EJ817" s="1"/>
      <c r="EK817" s="1"/>
      <c r="EL817" s="1"/>
      <c r="EM817" s="1"/>
      <c r="EN817" s="1"/>
      <c r="EO817" s="1"/>
      <c r="EP817" s="1"/>
      <c r="EQ817" s="1"/>
      <c r="ER817" s="1"/>
      <c r="ES817" s="1"/>
      <c r="ET817" s="1"/>
      <c r="EU817" s="1"/>
      <c r="EV817" s="1"/>
      <c r="EW817" s="1"/>
      <c r="EX817" s="1"/>
      <c r="EY817" s="1"/>
      <c r="EZ817" s="1"/>
      <c r="FA817" s="1"/>
      <c r="FB817" s="1"/>
      <c r="FC817" s="1"/>
      <c r="FD817" s="1"/>
      <c r="FE817" s="1"/>
      <c r="FF817" s="1"/>
      <c r="FG817" s="1"/>
      <c r="FH817" s="1"/>
      <c r="FI817" s="1"/>
      <c r="FJ817" s="1"/>
      <c r="FK817" s="1"/>
      <c r="FL817" s="1"/>
      <c r="FM817" s="1"/>
      <c r="FN817" s="1"/>
      <c r="FO817" s="1"/>
      <c r="FP817" s="1"/>
      <c r="FQ817" s="1"/>
      <c r="FR817" s="2"/>
      <c r="FS817" s="1"/>
    </row>
    <row r="818" spans="1:175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R818" s="1"/>
      <c r="S818" s="1"/>
      <c r="T818" s="1"/>
      <c r="U818" s="1"/>
      <c r="V818" s="1"/>
      <c r="Y818" s="1"/>
      <c r="Z818" s="2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U818" s="1"/>
      <c r="AW818" s="1"/>
      <c r="AX818" s="1"/>
      <c r="AY818" s="1"/>
      <c r="AZ818" s="1"/>
      <c r="BA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  <c r="DC818" s="1"/>
      <c r="DD818" s="1"/>
      <c r="DE818" s="1"/>
      <c r="DF818" s="1"/>
      <c r="DG818" s="1"/>
      <c r="DH818" s="1"/>
      <c r="DI818" s="1"/>
      <c r="DJ818" s="1"/>
      <c r="DK818" s="1"/>
      <c r="DL818" s="1"/>
      <c r="DM818" s="1"/>
      <c r="DN818" s="1"/>
      <c r="DO818" s="1"/>
      <c r="DP818" s="1"/>
      <c r="DQ818" s="1"/>
      <c r="DR818" s="1"/>
      <c r="DS818" s="1"/>
      <c r="DT818" s="1"/>
      <c r="DU818" s="1"/>
      <c r="DV818" s="1"/>
      <c r="DW818" s="1"/>
      <c r="DX818" s="1"/>
      <c r="DY818" s="1"/>
      <c r="DZ818" s="1"/>
      <c r="EA818" s="1"/>
      <c r="EB818" s="1"/>
      <c r="EC818" s="1"/>
      <c r="ED818" s="1"/>
      <c r="EE818" s="1"/>
      <c r="EF818" s="1"/>
      <c r="EG818" s="1"/>
      <c r="EH818" s="1"/>
      <c r="EI818" s="1"/>
      <c r="EJ818" s="1"/>
      <c r="EK818" s="1"/>
      <c r="EL818" s="1"/>
      <c r="EM818" s="1"/>
      <c r="EN818" s="1"/>
      <c r="EO818" s="1"/>
      <c r="EP818" s="1"/>
      <c r="EQ818" s="1"/>
      <c r="ER818" s="1"/>
      <c r="ES818" s="1"/>
      <c r="ET818" s="1"/>
      <c r="EU818" s="1"/>
      <c r="EV818" s="1"/>
      <c r="EW818" s="1"/>
      <c r="EX818" s="1"/>
      <c r="EY818" s="1"/>
      <c r="EZ818" s="1"/>
      <c r="FA818" s="1"/>
      <c r="FB818" s="1"/>
      <c r="FC818" s="1"/>
      <c r="FD818" s="1"/>
      <c r="FE818" s="1"/>
      <c r="FF818" s="1"/>
      <c r="FG818" s="1"/>
      <c r="FH818" s="1"/>
      <c r="FI818" s="1"/>
      <c r="FJ818" s="1"/>
      <c r="FK818" s="1"/>
      <c r="FL818" s="1"/>
      <c r="FM818" s="1"/>
      <c r="FN818" s="1"/>
      <c r="FO818" s="1"/>
      <c r="FP818" s="1"/>
      <c r="FQ818" s="1"/>
      <c r="FR818" s="2"/>
      <c r="FS818" s="1"/>
    </row>
    <row r="819" spans="1:175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R819" s="1"/>
      <c r="S819" s="1"/>
      <c r="T819" s="1"/>
      <c r="U819" s="1"/>
      <c r="V819" s="1"/>
      <c r="Y819" s="1"/>
      <c r="Z819" s="2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U819" s="1"/>
      <c r="AW819" s="1"/>
      <c r="AX819" s="1"/>
      <c r="AY819" s="1"/>
      <c r="AZ819" s="1"/>
      <c r="BA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  <c r="DB819" s="1"/>
      <c r="DC819" s="1"/>
      <c r="DD819" s="1"/>
      <c r="DE819" s="1"/>
      <c r="DF819" s="1"/>
      <c r="DG819" s="1"/>
      <c r="DH819" s="1"/>
      <c r="DI819" s="1"/>
      <c r="DJ819" s="1"/>
      <c r="DK819" s="1"/>
      <c r="DL819" s="1"/>
      <c r="DM819" s="1"/>
      <c r="DN819" s="1"/>
      <c r="DO819" s="1"/>
      <c r="DP819" s="1"/>
      <c r="DQ819" s="1"/>
      <c r="DR819" s="1"/>
      <c r="DS819" s="1"/>
      <c r="DT819" s="1"/>
      <c r="DU819" s="1"/>
      <c r="DV819" s="1"/>
      <c r="DW819" s="1"/>
      <c r="DX819" s="1"/>
      <c r="DY819" s="1"/>
      <c r="DZ819" s="1"/>
      <c r="EA819" s="1"/>
      <c r="EB819" s="1"/>
      <c r="EC819" s="1"/>
      <c r="ED819" s="1"/>
      <c r="EE819" s="1"/>
      <c r="EF819" s="1"/>
      <c r="EG819" s="1"/>
      <c r="EH819" s="1"/>
      <c r="EI819" s="1"/>
      <c r="EJ819" s="1"/>
      <c r="EK819" s="1"/>
      <c r="EL819" s="1"/>
      <c r="EM819" s="1"/>
      <c r="EN819" s="1"/>
      <c r="EO819" s="1"/>
      <c r="EP819" s="1"/>
      <c r="EQ819" s="1"/>
      <c r="ER819" s="1"/>
      <c r="ES819" s="1"/>
      <c r="ET819" s="1"/>
      <c r="EU819" s="1"/>
      <c r="EV819" s="1"/>
      <c r="EW819" s="1"/>
      <c r="EX819" s="1"/>
      <c r="EY819" s="1"/>
      <c r="EZ819" s="1"/>
      <c r="FA819" s="1"/>
      <c r="FB819" s="1"/>
      <c r="FC819" s="1"/>
      <c r="FD819" s="1"/>
      <c r="FE819" s="1"/>
      <c r="FF819" s="1"/>
      <c r="FG819" s="1"/>
      <c r="FH819" s="1"/>
      <c r="FI819" s="1"/>
      <c r="FJ819" s="1"/>
      <c r="FK819" s="1"/>
      <c r="FL819" s="1"/>
      <c r="FM819" s="1"/>
      <c r="FN819" s="1"/>
      <c r="FO819" s="1"/>
      <c r="FP819" s="1"/>
      <c r="FQ819" s="1"/>
      <c r="FR819" s="2"/>
      <c r="FS819" s="1"/>
    </row>
    <row r="820" spans="1:175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R820" s="1"/>
      <c r="S820" s="1"/>
      <c r="T820" s="1"/>
      <c r="U820" s="1"/>
      <c r="V820" s="1"/>
      <c r="Y820" s="1"/>
      <c r="Z820" s="2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U820" s="1"/>
      <c r="AW820" s="1"/>
      <c r="AX820" s="1"/>
      <c r="AY820" s="1"/>
      <c r="AZ820" s="1"/>
      <c r="BA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  <c r="DC820" s="1"/>
      <c r="DD820" s="1"/>
      <c r="DE820" s="1"/>
      <c r="DF820" s="1"/>
      <c r="DG820" s="1"/>
      <c r="DH820" s="1"/>
      <c r="DI820" s="1"/>
      <c r="DJ820" s="1"/>
      <c r="DK820" s="1"/>
      <c r="DL820" s="1"/>
      <c r="DM820" s="1"/>
      <c r="DN820" s="1"/>
      <c r="DO820" s="1"/>
      <c r="DP820" s="1"/>
      <c r="DQ820" s="1"/>
      <c r="DR820" s="1"/>
      <c r="DS820" s="1"/>
      <c r="DT820" s="1"/>
      <c r="DU820" s="1"/>
      <c r="DV820" s="1"/>
      <c r="DW820" s="1"/>
      <c r="DX820" s="1"/>
      <c r="DY820" s="1"/>
      <c r="DZ820" s="1"/>
      <c r="EA820" s="1"/>
      <c r="EB820" s="1"/>
      <c r="EC820" s="1"/>
      <c r="ED820" s="1"/>
      <c r="EE820" s="1"/>
      <c r="EF820" s="1"/>
      <c r="EG820" s="1"/>
      <c r="EH820" s="1"/>
      <c r="EI820" s="1"/>
      <c r="EJ820" s="1"/>
      <c r="EK820" s="1"/>
      <c r="EL820" s="1"/>
      <c r="EM820" s="1"/>
      <c r="EN820" s="1"/>
      <c r="EO820" s="1"/>
      <c r="EP820" s="1"/>
      <c r="EQ820" s="1"/>
      <c r="ER820" s="1"/>
      <c r="ES820" s="1"/>
      <c r="ET820" s="1"/>
      <c r="EU820" s="1"/>
      <c r="EV820" s="1"/>
      <c r="EW820" s="1"/>
      <c r="EX820" s="1"/>
      <c r="EY820" s="1"/>
      <c r="EZ820" s="1"/>
      <c r="FA820" s="1"/>
      <c r="FB820" s="1"/>
      <c r="FC820" s="1"/>
      <c r="FD820" s="1"/>
      <c r="FE820" s="1"/>
      <c r="FF820" s="1"/>
      <c r="FG820" s="1"/>
      <c r="FH820" s="1"/>
      <c r="FI820" s="1"/>
      <c r="FJ820" s="1"/>
      <c r="FK820" s="1"/>
      <c r="FL820" s="1"/>
      <c r="FM820" s="1"/>
      <c r="FN820" s="1"/>
      <c r="FO820" s="1"/>
      <c r="FP820" s="1"/>
      <c r="FQ820" s="1"/>
      <c r="FR820" s="2"/>
      <c r="FS820" s="1"/>
    </row>
    <row r="821" spans="1:175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R821" s="1"/>
      <c r="S821" s="1"/>
      <c r="T821" s="1"/>
      <c r="U821" s="1"/>
      <c r="V821" s="1"/>
      <c r="Y821" s="1"/>
      <c r="Z821" s="2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U821" s="1"/>
      <c r="AW821" s="1"/>
      <c r="AX821" s="1"/>
      <c r="AY821" s="1"/>
      <c r="AZ821" s="1"/>
      <c r="BA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  <c r="DC821" s="1"/>
      <c r="DD821" s="1"/>
      <c r="DE821" s="1"/>
      <c r="DF821" s="1"/>
      <c r="DG821" s="1"/>
      <c r="DH821" s="1"/>
      <c r="DI821" s="1"/>
      <c r="DJ821" s="1"/>
      <c r="DK821" s="1"/>
      <c r="DL821" s="1"/>
      <c r="DM821" s="1"/>
      <c r="DN821" s="1"/>
      <c r="DO821" s="1"/>
      <c r="DP821" s="1"/>
      <c r="DQ821" s="1"/>
      <c r="DR821" s="1"/>
      <c r="DS821" s="1"/>
      <c r="DT821" s="1"/>
      <c r="DU821" s="1"/>
      <c r="DV821" s="1"/>
      <c r="DW821" s="1"/>
      <c r="DX821" s="1"/>
      <c r="DY821" s="1"/>
      <c r="DZ821" s="1"/>
      <c r="EA821" s="1"/>
      <c r="EB821" s="1"/>
      <c r="EC821" s="1"/>
      <c r="ED821" s="1"/>
      <c r="EE821" s="1"/>
      <c r="EF821" s="1"/>
      <c r="EG821" s="1"/>
      <c r="EH821" s="1"/>
      <c r="EI821" s="1"/>
      <c r="EJ821" s="1"/>
      <c r="EK821" s="1"/>
      <c r="EL821" s="1"/>
      <c r="EM821" s="1"/>
      <c r="EN821" s="1"/>
      <c r="EO821" s="1"/>
      <c r="EP821" s="1"/>
      <c r="EQ821" s="1"/>
      <c r="ER821" s="1"/>
      <c r="ES821" s="1"/>
      <c r="ET821" s="1"/>
      <c r="EU821" s="1"/>
      <c r="EV821" s="1"/>
      <c r="EW821" s="1"/>
      <c r="EX821" s="1"/>
      <c r="EY821" s="1"/>
      <c r="EZ821" s="1"/>
      <c r="FA821" s="1"/>
      <c r="FB821" s="1"/>
      <c r="FC821" s="1"/>
      <c r="FD821" s="1"/>
      <c r="FE821" s="1"/>
      <c r="FF821" s="1"/>
      <c r="FG821" s="1"/>
      <c r="FH821" s="1"/>
      <c r="FI821" s="1"/>
      <c r="FJ821" s="1"/>
      <c r="FK821" s="1"/>
      <c r="FL821" s="1"/>
      <c r="FM821" s="1"/>
      <c r="FN821" s="1"/>
      <c r="FO821" s="1"/>
      <c r="FP821" s="1"/>
      <c r="FQ821" s="1"/>
      <c r="FR821" s="2"/>
      <c r="FS821" s="1"/>
    </row>
    <row r="822" spans="1:175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R822" s="1"/>
      <c r="S822" s="1"/>
      <c r="T822" s="1"/>
      <c r="U822" s="1"/>
      <c r="V822" s="1"/>
      <c r="Y822" s="1"/>
      <c r="Z822" s="2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U822" s="1"/>
      <c r="AW822" s="1"/>
      <c r="AX822" s="1"/>
      <c r="AY822" s="1"/>
      <c r="AZ822" s="1"/>
      <c r="BA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  <c r="DB822" s="1"/>
      <c r="DC822" s="1"/>
      <c r="DD822" s="1"/>
      <c r="DE822" s="1"/>
      <c r="DF822" s="1"/>
      <c r="DG822" s="1"/>
      <c r="DH822" s="1"/>
      <c r="DI822" s="1"/>
      <c r="DJ822" s="1"/>
      <c r="DK822" s="1"/>
      <c r="DL822" s="1"/>
      <c r="DM822" s="1"/>
      <c r="DN822" s="1"/>
      <c r="DO822" s="1"/>
      <c r="DP822" s="1"/>
      <c r="DQ822" s="1"/>
      <c r="DR822" s="1"/>
      <c r="DS822" s="1"/>
      <c r="DT822" s="1"/>
      <c r="DU822" s="1"/>
      <c r="DV822" s="1"/>
      <c r="DW822" s="1"/>
      <c r="DX822" s="1"/>
      <c r="DY822" s="1"/>
      <c r="DZ822" s="1"/>
      <c r="EA822" s="1"/>
      <c r="EB822" s="1"/>
      <c r="EC822" s="1"/>
      <c r="ED822" s="1"/>
      <c r="EE822" s="1"/>
      <c r="EF822" s="1"/>
      <c r="EG822" s="1"/>
      <c r="EH822" s="1"/>
      <c r="EI822" s="1"/>
      <c r="EJ822" s="1"/>
      <c r="EK822" s="1"/>
      <c r="EL822" s="1"/>
      <c r="EM822" s="1"/>
      <c r="EN822" s="1"/>
      <c r="EO822" s="1"/>
      <c r="EP822" s="1"/>
      <c r="EQ822" s="1"/>
      <c r="ER822" s="1"/>
      <c r="ES822" s="1"/>
      <c r="ET822" s="1"/>
      <c r="EU822" s="1"/>
      <c r="EV822" s="1"/>
      <c r="EW822" s="1"/>
      <c r="EX822" s="1"/>
      <c r="EY822" s="1"/>
      <c r="EZ822" s="1"/>
      <c r="FA822" s="1"/>
      <c r="FB822" s="1"/>
      <c r="FC822" s="1"/>
      <c r="FD822" s="1"/>
      <c r="FE822" s="1"/>
      <c r="FF822" s="1"/>
      <c r="FG822" s="1"/>
      <c r="FH822" s="1"/>
      <c r="FI822" s="1"/>
      <c r="FJ822" s="1"/>
      <c r="FK822" s="1"/>
      <c r="FL822" s="1"/>
      <c r="FM822" s="1"/>
      <c r="FN822" s="1"/>
      <c r="FO822" s="1"/>
      <c r="FP822" s="1"/>
      <c r="FQ822" s="1"/>
      <c r="FR822" s="2"/>
      <c r="FS822" s="1"/>
    </row>
    <row r="823" spans="1:175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R823" s="1"/>
      <c r="S823" s="1"/>
      <c r="T823" s="1"/>
      <c r="U823" s="1"/>
      <c r="V823" s="1"/>
      <c r="Y823" s="1"/>
      <c r="Z823" s="2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U823" s="1"/>
      <c r="AW823" s="1"/>
      <c r="AX823" s="1"/>
      <c r="AY823" s="1"/>
      <c r="AZ823" s="1"/>
      <c r="BA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  <c r="DC823" s="1"/>
      <c r="DD823" s="1"/>
      <c r="DE823" s="1"/>
      <c r="DF823" s="1"/>
      <c r="DG823" s="1"/>
      <c r="DH823" s="1"/>
      <c r="DI823" s="1"/>
      <c r="DJ823" s="1"/>
      <c r="DK823" s="1"/>
      <c r="DL823" s="1"/>
      <c r="DM823" s="1"/>
      <c r="DN823" s="1"/>
      <c r="DO823" s="1"/>
      <c r="DP823" s="1"/>
      <c r="DQ823" s="1"/>
      <c r="DR823" s="1"/>
      <c r="DS823" s="1"/>
      <c r="DT823" s="1"/>
      <c r="DU823" s="1"/>
      <c r="DV823" s="1"/>
      <c r="DW823" s="1"/>
      <c r="DX823" s="1"/>
      <c r="DY823" s="1"/>
      <c r="DZ823" s="1"/>
      <c r="EA823" s="1"/>
      <c r="EB823" s="1"/>
      <c r="EC823" s="1"/>
      <c r="ED823" s="1"/>
      <c r="EE823" s="1"/>
      <c r="EF823" s="1"/>
      <c r="EG823" s="1"/>
      <c r="EH823" s="1"/>
      <c r="EI823" s="1"/>
      <c r="EJ823" s="1"/>
      <c r="EK823" s="1"/>
      <c r="EL823" s="1"/>
      <c r="EM823" s="1"/>
      <c r="EN823" s="1"/>
      <c r="EO823" s="1"/>
      <c r="EP823" s="1"/>
      <c r="EQ823" s="1"/>
      <c r="ER823" s="1"/>
      <c r="ES823" s="1"/>
      <c r="ET823" s="1"/>
      <c r="EU823" s="1"/>
      <c r="EV823" s="1"/>
      <c r="EW823" s="1"/>
      <c r="EX823" s="1"/>
      <c r="EY823" s="1"/>
      <c r="EZ823" s="1"/>
      <c r="FA823" s="1"/>
      <c r="FB823" s="1"/>
      <c r="FC823" s="1"/>
      <c r="FD823" s="1"/>
      <c r="FE823" s="1"/>
      <c r="FF823" s="1"/>
      <c r="FG823" s="1"/>
      <c r="FH823" s="1"/>
      <c r="FI823" s="1"/>
      <c r="FJ823" s="1"/>
      <c r="FK823" s="1"/>
      <c r="FL823" s="1"/>
      <c r="FM823" s="1"/>
      <c r="FN823" s="1"/>
      <c r="FO823" s="1"/>
      <c r="FP823" s="1"/>
      <c r="FQ823" s="1"/>
      <c r="FR823" s="2"/>
      <c r="FS823" s="1"/>
    </row>
    <row r="824" spans="1:175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R824" s="1"/>
      <c r="S824" s="1"/>
      <c r="T824" s="1"/>
      <c r="U824" s="1"/>
      <c r="V824" s="1"/>
      <c r="Y824" s="1"/>
      <c r="Z824" s="2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U824" s="1"/>
      <c r="AW824" s="1"/>
      <c r="AX824" s="1"/>
      <c r="AY824" s="1"/>
      <c r="AZ824" s="1"/>
      <c r="BA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  <c r="DB824" s="1"/>
      <c r="DC824" s="1"/>
      <c r="DD824" s="1"/>
      <c r="DE824" s="1"/>
      <c r="DF824" s="1"/>
      <c r="DG824" s="1"/>
      <c r="DH824" s="1"/>
      <c r="DI824" s="1"/>
      <c r="DJ824" s="1"/>
      <c r="DK824" s="1"/>
      <c r="DL824" s="1"/>
      <c r="DM824" s="1"/>
      <c r="DN824" s="1"/>
      <c r="DO824" s="1"/>
      <c r="DP824" s="1"/>
      <c r="DQ824" s="1"/>
      <c r="DR824" s="1"/>
      <c r="DS824" s="1"/>
      <c r="DT824" s="1"/>
      <c r="DU824" s="1"/>
      <c r="DV824" s="1"/>
      <c r="DW824" s="1"/>
      <c r="DX824" s="1"/>
      <c r="DY824" s="1"/>
      <c r="DZ824" s="1"/>
      <c r="EA824" s="1"/>
      <c r="EB824" s="1"/>
      <c r="EC824" s="1"/>
      <c r="ED824" s="1"/>
      <c r="EE824" s="1"/>
      <c r="EF824" s="1"/>
      <c r="EG824" s="1"/>
      <c r="EH824" s="1"/>
      <c r="EI824" s="1"/>
      <c r="EJ824" s="1"/>
      <c r="EK824" s="1"/>
      <c r="EL824" s="1"/>
      <c r="EM824" s="1"/>
      <c r="EN824" s="1"/>
      <c r="EO824" s="1"/>
      <c r="EP824" s="1"/>
      <c r="EQ824" s="1"/>
      <c r="ER824" s="1"/>
      <c r="ES824" s="1"/>
      <c r="ET824" s="1"/>
      <c r="EU824" s="1"/>
      <c r="EV824" s="1"/>
      <c r="EW824" s="1"/>
      <c r="EX824" s="1"/>
      <c r="EY824" s="1"/>
      <c r="EZ824" s="1"/>
      <c r="FA824" s="1"/>
      <c r="FB824" s="1"/>
      <c r="FC824" s="1"/>
      <c r="FD824" s="1"/>
      <c r="FE824" s="1"/>
      <c r="FF824" s="1"/>
      <c r="FG824" s="1"/>
      <c r="FH824" s="1"/>
      <c r="FI824" s="1"/>
      <c r="FJ824" s="1"/>
      <c r="FK824" s="1"/>
      <c r="FL824" s="1"/>
      <c r="FM824" s="1"/>
      <c r="FN824" s="1"/>
      <c r="FO824" s="1"/>
      <c r="FP824" s="1"/>
      <c r="FQ824" s="1"/>
      <c r="FR824" s="2"/>
      <c r="FS824" s="1"/>
    </row>
    <row r="825" spans="1:175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R825" s="1"/>
      <c r="S825" s="1"/>
      <c r="T825" s="1"/>
      <c r="U825" s="1"/>
      <c r="V825" s="1"/>
      <c r="Y825" s="1"/>
      <c r="Z825" s="2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U825" s="1"/>
      <c r="AW825" s="1"/>
      <c r="AX825" s="1"/>
      <c r="AY825" s="1"/>
      <c r="AZ825" s="1"/>
      <c r="BA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  <c r="DB825" s="1"/>
      <c r="DC825" s="1"/>
      <c r="DD825" s="1"/>
      <c r="DE825" s="1"/>
      <c r="DF825" s="1"/>
      <c r="DG825" s="1"/>
      <c r="DH825" s="1"/>
      <c r="DI825" s="1"/>
      <c r="DJ825" s="1"/>
      <c r="DK825" s="1"/>
      <c r="DL825" s="1"/>
      <c r="DM825" s="1"/>
      <c r="DN825" s="1"/>
      <c r="DO825" s="1"/>
      <c r="DP825" s="1"/>
      <c r="DQ825" s="1"/>
      <c r="DR825" s="1"/>
      <c r="DS825" s="1"/>
      <c r="DT825" s="1"/>
      <c r="DU825" s="1"/>
      <c r="DV825" s="1"/>
      <c r="DW825" s="1"/>
      <c r="DX825" s="1"/>
      <c r="DY825" s="1"/>
      <c r="DZ825" s="1"/>
      <c r="EA825" s="1"/>
      <c r="EB825" s="1"/>
      <c r="EC825" s="1"/>
      <c r="ED825" s="1"/>
      <c r="EE825" s="1"/>
      <c r="EF825" s="1"/>
      <c r="EG825" s="1"/>
      <c r="EH825" s="1"/>
      <c r="EI825" s="1"/>
      <c r="EJ825" s="1"/>
      <c r="EK825" s="1"/>
      <c r="EL825" s="1"/>
      <c r="EM825" s="1"/>
      <c r="EN825" s="1"/>
      <c r="EO825" s="1"/>
      <c r="EP825" s="1"/>
      <c r="EQ825" s="1"/>
      <c r="ER825" s="1"/>
      <c r="ES825" s="1"/>
      <c r="ET825" s="1"/>
      <c r="EU825" s="1"/>
      <c r="EV825" s="1"/>
      <c r="EW825" s="1"/>
      <c r="EX825" s="1"/>
      <c r="EY825" s="1"/>
      <c r="EZ825" s="1"/>
      <c r="FA825" s="1"/>
      <c r="FB825" s="1"/>
      <c r="FC825" s="1"/>
      <c r="FD825" s="1"/>
      <c r="FE825" s="1"/>
      <c r="FF825" s="1"/>
      <c r="FG825" s="1"/>
      <c r="FH825" s="1"/>
      <c r="FI825" s="1"/>
      <c r="FJ825" s="1"/>
      <c r="FK825" s="1"/>
      <c r="FL825" s="1"/>
      <c r="FM825" s="1"/>
      <c r="FN825" s="1"/>
      <c r="FO825" s="1"/>
      <c r="FP825" s="1"/>
      <c r="FQ825" s="1"/>
      <c r="FR825" s="2"/>
      <c r="FS825" s="1"/>
    </row>
    <row r="826" spans="1:175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R826" s="1"/>
      <c r="S826" s="1"/>
      <c r="T826" s="1"/>
      <c r="U826" s="1"/>
      <c r="V826" s="1"/>
      <c r="Y826" s="1"/>
      <c r="Z826" s="2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U826" s="1"/>
      <c r="AW826" s="1"/>
      <c r="AX826" s="1"/>
      <c r="AY826" s="1"/>
      <c r="AZ826" s="1"/>
      <c r="BA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  <c r="DB826" s="1"/>
      <c r="DC826" s="1"/>
      <c r="DD826" s="1"/>
      <c r="DE826" s="1"/>
      <c r="DF826" s="1"/>
      <c r="DG826" s="1"/>
      <c r="DH826" s="1"/>
      <c r="DI826" s="1"/>
      <c r="DJ826" s="1"/>
      <c r="DK826" s="1"/>
      <c r="DL826" s="1"/>
      <c r="DM826" s="1"/>
      <c r="DN826" s="1"/>
      <c r="DO826" s="1"/>
      <c r="DP826" s="1"/>
      <c r="DQ826" s="1"/>
      <c r="DR826" s="1"/>
      <c r="DS826" s="1"/>
      <c r="DT826" s="1"/>
      <c r="DU826" s="1"/>
      <c r="DV826" s="1"/>
      <c r="DW826" s="1"/>
      <c r="DX826" s="1"/>
      <c r="DY826" s="1"/>
      <c r="DZ826" s="1"/>
      <c r="EA826" s="1"/>
      <c r="EB826" s="1"/>
      <c r="EC826" s="1"/>
      <c r="ED826" s="1"/>
      <c r="EE826" s="1"/>
      <c r="EF826" s="1"/>
      <c r="EG826" s="1"/>
      <c r="EH826" s="1"/>
      <c r="EI826" s="1"/>
      <c r="EJ826" s="1"/>
      <c r="EK826" s="1"/>
      <c r="EL826" s="1"/>
      <c r="EM826" s="1"/>
      <c r="EN826" s="1"/>
      <c r="EO826" s="1"/>
      <c r="EP826" s="1"/>
      <c r="EQ826" s="1"/>
      <c r="ER826" s="1"/>
      <c r="ES826" s="1"/>
      <c r="ET826" s="1"/>
      <c r="EU826" s="1"/>
      <c r="EV826" s="1"/>
      <c r="EW826" s="1"/>
      <c r="EX826" s="1"/>
      <c r="EY826" s="1"/>
      <c r="EZ826" s="1"/>
      <c r="FA826" s="1"/>
      <c r="FB826" s="1"/>
      <c r="FC826" s="1"/>
      <c r="FD826" s="1"/>
      <c r="FE826" s="1"/>
      <c r="FF826" s="1"/>
      <c r="FG826" s="1"/>
      <c r="FH826" s="1"/>
      <c r="FI826" s="1"/>
      <c r="FJ826" s="1"/>
      <c r="FK826" s="1"/>
      <c r="FL826" s="1"/>
      <c r="FM826" s="1"/>
      <c r="FN826" s="1"/>
      <c r="FO826" s="1"/>
      <c r="FP826" s="1"/>
      <c r="FQ826" s="1"/>
      <c r="FR826" s="2"/>
      <c r="FS826" s="1"/>
    </row>
    <row r="827" spans="1:175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R827" s="1"/>
      <c r="S827" s="1"/>
      <c r="T827" s="1"/>
      <c r="U827" s="1"/>
      <c r="V827" s="1"/>
      <c r="Y827" s="1"/>
      <c r="Z827" s="2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U827" s="1"/>
      <c r="AW827" s="1"/>
      <c r="AX827" s="1"/>
      <c r="AY827" s="1"/>
      <c r="AZ827" s="1"/>
      <c r="BA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  <c r="DB827" s="1"/>
      <c r="DC827" s="1"/>
      <c r="DD827" s="1"/>
      <c r="DE827" s="1"/>
      <c r="DF827" s="1"/>
      <c r="DG827" s="1"/>
      <c r="DH827" s="1"/>
      <c r="DI827" s="1"/>
      <c r="DJ827" s="1"/>
      <c r="DK827" s="1"/>
      <c r="DL827" s="1"/>
      <c r="DM827" s="1"/>
      <c r="DN827" s="1"/>
      <c r="DO827" s="1"/>
      <c r="DP827" s="1"/>
      <c r="DQ827" s="1"/>
      <c r="DR827" s="1"/>
      <c r="DS827" s="1"/>
      <c r="DT827" s="1"/>
      <c r="DU827" s="1"/>
      <c r="DV827" s="1"/>
      <c r="DW827" s="1"/>
      <c r="DX827" s="1"/>
      <c r="DY827" s="1"/>
      <c r="DZ827" s="1"/>
      <c r="EA827" s="1"/>
      <c r="EB827" s="1"/>
      <c r="EC827" s="1"/>
      <c r="ED827" s="1"/>
      <c r="EE827" s="1"/>
      <c r="EF827" s="1"/>
      <c r="EG827" s="1"/>
      <c r="EH827" s="1"/>
      <c r="EI827" s="1"/>
      <c r="EJ827" s="1"/>
      <c r="EK827" s="1"/>
      <c r="EL827" s="1"/>
      <c r="EM827" s="1"/>
      <c r="EN827" s="1"/>
      <c r="EO827" s="1"/>
      <c r="EP827" s="1"/>
      <c r="EQ827" s="1"/>
      <c r="ER827" s="1"/>
      <c r="ES827" s="1"/>
      <c r="ET827" s="1"/>
      <c r="EU827" s="1"/>
      <c r="EV827" s="1"/>
      <c r="EW827" s="1"/>
      <c r="EX827" s="1"/>
      <c r="EY827" s="1"/>
      <c r="EZ827" s="1"/>
      <c r="FA827" s="1"/>
      <c r="FB827" s="1"/>
      <c r="FC827" s="1"/>
      <c r="FD827" s="1"/>
      <c r="FE827" s="1"/>
      <c r="FF827" s="1"/>
      <c r="FG827" s="1"/>
      <c r="FH827" s="1"/>
      <c r="FI827" s="1"/>
      <c r="FJ827" s="1"/>
      <c r="FK827" s="1"/>
      <c r="FL827" s="1"/>
      <c r="FM827" s="1"/>
      <c r="FN827" s="1"/>
      <c r="FO827" s="1"/>
      <c r="FP827" s="1"/>
      <c r="FQ827" s="1"/>
      <c r="FR827" s="2"/>
      <c r="FS827" s="1"/>
    </row>
    <row r="828" spans="1:175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R828" s="1"/>
      <c r="S828" s="1"/>
      <c r="T828" s="1"/>
      <c r="U828" s="1"/>
      <c r="V828" s="1"/>
      <c r="Y828" s="1"/>
      <c r="Z828" s="2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U828" s="1"/>
      <c r="AW828" s="1"/>
      <c r="AX828" s="1"/>
      <c r="AY828" s="1"/>
      <c r="AZ828" s="1"/>
      <c r="BA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  <c r="DB828" s="1"/>
      <c r="DC828" s="1"/>
      <c r="DD828" s="1"/>
      <c r="DE828" s="1"/>
      <c r="DF828" s="1"/>
      <c r="DG828" s="1"/>
      <c r="DH828" s="1"/>
      <c r="DI828" s="1"/>
      <c r="DJ828" s="1"/>
      <c r="DK828" s="1"/>
      <c r="DL828" s="1"/>
      <c r="DM828" s="1"/>
      <c r="DN828" s="1"/>
      <c r="DO828" s="1"/>
      <c r="DP828" s="1"/>
      <c r="DQ828" s="1"/>
      <c r="DR828" s="1"/>
      <c r="DS828" s="1"/>
      <c r="DT828" s="1"/>
      <c r="DU828" s="1"/>
      <c r="DV828" s="1"/>
      <c r="DW828" s="1"/>
      <c r="DX828" s="1"/>
      <c r="DY828" s="1"/>
      <c r="DZ828" s="1"/>
      <c r="EA828" s="1"/>
      <c r="EB828" s="1"/>
      <c r="EC828" s="1"/>
      <c r="ED828" s="1"/>
      <c r="EE828" s="1"/>
      <c r="EF828" s="1"/>
      <c r="EG828" s="1"/>
      <c r="EH828" s="1"/>
      <c r="EI828" s="1"/>
      <c r="EJ828" s="1"/>
      <c r="EK828" s="1"/>
      <c r="EL828" s="1"/>
      <c r="EM828" s="1"/>
      <c r="EN828" s="1"/>
      <c r="EO828" s="1"/>
      <c r="EP828" s="1"/>
      <c r="EQ828" s="1"/>
      <c r="ER828" s="1"/>
      <c r="ES828" s="1"/>
      <c r="ET828" s="1"/>
      <c r="EU828" s="1"/>
      <c r="EV828" s="1"/>
      <c r="EW828" s="1"/>
      <c r="EX828" s="1"/>
      <c r="EY828" s="1"/>
      <c r="EZ828" s="1"/>
      <c r="FA828" s="1"/>
      <c r="FB828" s="1"/>
      <c r="FC828" s="1"/>
      <c r="FD828" s="1"/>
      <c r="FE828" s="1"/>
      <c r="FF828" s="1"/>
      <c r="FG828" s="1"/>
      <c r="FH828" s="1"/>
      <c r="FI828" s="1"/>
      <c r="FJ828" s="1"/>
      <c r="FK828" s="1"/>
      <c r="FL828" s="1"/>
      <c r="FM828" s="1"/>
      <c r="FN828" s="1"/>
      <c r="FO828" s="1"/>
      <c r="FP828" s="1"/>
      <c r="FQ828" s="1"/>
      <c r="FR828" s="2"/>
      <c r="FS828" s="1"/>
    </row>
    <row r="829" spans="1:175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R829" s="1"/>
      <c r="S829" s="1"/>
      <c r="T829" s="1"/>
      <c r="U829" s="1"/>
      <c r="V829" s="1"/>
      <c r="Y829" s="1"/>
      <c r="Z829" s="2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U829" s="1"/>
      <c r="AW829" s="1"/>
      <c r="AX829" s="1"/>
      <c r="AY829" s="1"/>
      <c r="AZ829" s="1"/>
      <c r="BA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  <c r="DB829" s="1"/>
      <c r="DC829" s="1"/>
      <c r="DD829" s="1"/>
      <c r="DE829" s="1"/>
      <c r="DF829" s="1"/>
      <c r="DG829" s="1"/>
      <c r="DH829" s="1"/>
      <c r="DI829" s="1"/>
      <c r="DJ829" s="1"/>
      <c r="DK829" s="1"/>
      <c r="DL829" s="1"/>
      <c r="DM829" s="1"/>
      <c r="DN829" s="1"/>
      <c r="DO829" s="1"/>
      <c r="DP829" s="1"/>
      <c r="DQ829" s="1"/>
      <c r="DR829" s="1"/>
      <c r="DS829" s="1"/>
      <c r="DT829" s="1"/>
      <c r="DU829" s="1"/>
      <c r="DV829" s="1"/>
      <c r="DW829" s="1"/>
      <c r="DX829" s="1"/>
      <c r="DY829" s="1"/>
      <c r="DZ829" s="1"/>
      <c r="EA829" s="1"/>
      <c r="EB829" s="1"/>
      <c r="EC829" s="1"/>
      <c r="ED829" s="1"/>
      <c r="EE829" s="1"/>
      <c r="EF829" s="1"/>
      <c r="EG829" s="1"/>
      <c r="EH829" s="1"/>
      <c r="EI829" s="1"/>
      <c r="EJ829" s="1"/>
      <c r="EK829" s="1"/>
      <c r="EL829" s="1"/>
      <c r="EM829" s="1"/>
      <c r="EN829" s="1"/>
      <c r="EO829" s="1"/>
      <c r="EP829" s="1"/>
      <c r="EQ829" s="1"/>
      <c r="ER829" s="1"/>
      <c r="ES829" s="1"/>
      <c r="ET829" s="1"/>
      <c r="EU829" s="1"/>
      <c r="EV829" s="1"/>
      <c r="EW829" s="1"/>
      <c r="EX829" s="1"/>
      <c r="EY829" s="1"/>
      <c r="EZ829" s="1"/>
      <c r="FA829" s="1"/>
      <c r="FB829" s="1"/>
      <c r="FC829" s="1"/>
      <c r="FD829" s="1"/>
      <c r="FE829" s="1"/>
      <c r="FF829" s="1"/>
      <c r="FG829" s="1"/>
      <c r="FH829" s="1"/>
      <c r="FI829" s="1"/>
      <c r="FJ829" s="1"/>
      <c r="FK829" s="1"/>
      <c r="FL829" s="1"/>
      <c r="FM829" s="1"/>
      <c r="FN829" s="1"/>
      <c r="FO829" s="1"/>
      <c r="FP829" s="1"/>
      <c r="FQ829" s="1"/>
      <c r="FR829" s="2"/>
      <c r="FS829" s="1"/>
    </row>
    <row r="830" spans="1:175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R830" s="1"/>
      <c r="S830" s="1"/>
      <c r="T830" s="1"/>
      <c r="U830" s="1"/>
      <c r="V830" s="1"/>
      <c r="Y830" s="1"/>
      <c r="Z830" s="2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U830" s="1"/>
      <c r="AW830" s="1"/>
      <c r="AX830" s="1"/>
      <c r="AY830" s="1"/>
      <c r="AZ830" s="1"/>
      <c r="BA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  <c r="DB830" s="1"/>
      <c r="DC830" s="1"/>
      <c r="DD830" s="1"/>
      <c r="DE830" s="1"/>
      <c r="DF830" s="1"/>
      <c r="DG830" s="1"/>
      <c r="DH830" s="1"/>
      <c r="DI830" s="1"/>
      <c r="DJ830" s="1"/>
      <c r="DK830" s="1"/>
      <c r="DL830" s="1"/>
      <c r="DM830" s="1"/>
      <c r="DN830" s="1"/>
      <c r="DO830" s="1"/>
      <c r="DP830" s="1"/>
      <c r="DQ830" s="1"/>
      <c r="DR830" s="1"/>
      <c r="DS830" s="1"/>
      <c r="DT830" s="1"/>
      <c r="DU830" s="1"/>
      <c r="DV830" s="1"/>
      <c r="DW830" s="1"/>
      <c r="DX830" s="1"/>
      <c r="DY830" s="1"/>
      <c r="DZ830" s="1"/>
      <c r="EA830" s="1"/>
      <c r="EB830" s="1"/>
      <c r="EC830" s="1"/>
      <c r="ED830" s="1"/>
      <c r="EE830" s="1"/>
      <c r="EF830" s="1"/>
      <c r="EG830" s="1"/>
      <c r="EH830" s="1"/>
      <c r="EI830" s="1"/>
      <c r="EJ830" s="1"/>
      <c r="EK830" s="1"/>
      <c r="EL830" s="1"/>
      <c r="EM830" s="1"/>
      <c r="EN830" s="1"/>
      <c r="EO830" s="1"/>
      <c r="EP830" s="1"/>
      <c r="EQ830" s="1"/>
      <c r="ER830" s="1"/>
      <c r="ES830" s="1"/>
      <c r="ET830" s="1"/>
      <c r="EU830" s="1"/>
      <c r="EV830" s="1"/>
      <c r="EW830" s="1"/>
      <c r="EX830" s="1"/>
      <c r="EY830" s="1"/>
      <c r="EZ830" s="1"/>
      <c r="FA830" s="1"/>
      <c r="FB830" s="1"/>
      <c r="FC830" s="1"/>
      <c r="FD830" s="1"/>
      <c r="FE830" s="1"/>
      <c r="FF830" s="1"/>
      <c r="FG830" s="1"/>
      <c r="FH830" s="1"/>
      <c r="FI830" s="1"/>
      <c r="FJ830" s="1"/>
      <c r="FK830" s="1"/>
      <c r="FL830" s="1"/>
      <c r="FM830" s="1"/>
      <c r="FN830" s="1"/>
      <c r="FO830" s="1"/>
      <c r="FP830" s="1"/>
      <c r="FQ830" s="1"/>
      <c r="FR830" s="2"/>
      <c r="FS830" s="1"/>
    </row>
    <row r="831" spans="1:175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R831" s="1"/>
      <c r="S831" s="1"/>
      <c r="T831" s="1"/>
      <c r="U831" s="1"/>
      <c r="V831" s="1"/>
      <c r="Y831" s="1"/>
      <c r="Z831" s="2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U831" s="1"/>
      <c r="AW831" s="1"/>
      <c r="AX831" s="1"/>
      <c r="AY831" s="1"/>
      <c r="AZ831" s="1"/>
      <c r="BA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  <c r="DB831" s="1"/>
      <c r="DC831" s="1"/>
      <c r="DD831" s="1"/>
      <c r="DE831" s="1"/>
      <c r="DF831" s="1"/>
      <c r="DG831" s="1"/>
      <c r="DH831" s="1"/>
      <c r="DI831" s="1"/>
      <c r="DJ831" s="1"/>
      <c r="DK831" s="1"/>
      <c r="DL831" s="1"/>
      <c r="DM831" s="1"/>
      <c r="DN831" s="1"/>
      <c r="DO831" s="1"/>
      <c r="DP831" s="1"/>
      <c r="DQ831" s="1"/>
      <c r="DR831" s="1"/>
      <c r="DS831" s="1"/>
      <c r="DT831" s="1"/>
      <c r="DU831" s="1"/>
      <c r="DV831" s="1"/>
      <c r="DW831" s="1"/>
      <c r="DX831" s="1"/>
      <c r="DY831" s="1"/>
      <c r="DZ831" s="1"/>
      <c r="EA831" s="1"/>
      <c r="EB831" s="1"/>
      <c r="EC831" s="1"/>
      <c r="ED831" s="1"/>
      <c r="EE831" s="1"/>
      <c r="EF831" s="1"/>
      <c r="EG831" s="1"/>
      <c r="EH831" s="1"/>
      <c r="EI831" s="1"/>
      <c r="EJ831" s="1"/>
      <c r="EK831" s="1"/>
      <c r="EL831" s="1"/>
      <c r="EM831" s="1"/>
      <c r="EN831" s="1"/>
      <c r="EO831" s="1"/>
      <c r="EP831" s="1"/>
      <c r="EQ831" s="1"/>
      <c r="ER831" s="1"/>
      <c r="ES831" s="1"/>
      <c r="ET831" s="1"/>
      <c r="EU831" s="1"/>
      <c r="EV831" s="1"/>
      <c r="EW831" s="1"/>
      <c r="EX831" s="1"/>
      <c r="EY831" s="1"/>
      <c r="EZ831" s="1"/>
      <c r="FA831" s="1"/>
      <c r="FB831" s="1"/>
      <c r="FC831" s="1"/>
      <c r="FD831" s="1"/>
      <c r="FE831" s="1"/>
      <c r="FF831" s="1"/>
      <c r="FG831" s="1"/>
      <c r="FH831" s="1"/>
      <c r="FI831" s="1"/>
      <c r="FJ831" s="1"/>
      <c r="FK831" s="1"/>
      <c r="FL831" s="1"/>
      <c r="FM831" s="1"/>
      <c r="FN831" s="1"/>
      <c r="FO831" s="1"/>
      <c r="FP831" s="1"/>
      <c r="FQ831" s="1"/>
      <c r="FR831" s="2"/>
      <c r="FS831" s="1"/>
    </row>
    <row r="832" spans="1:175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R832" s="1"/>
      <c r="S832" s="1"/>
      <c r="T832" s="1"/>
      <c r="U832" s="1"/>
      <c r="V832" s="1"/>
      <c r="Y832" s="1"/>
      <c r="Z832" s="2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U832" s="1"/>
      <c r="AW832" s="1"/>
      <c r="AX832" s="1"/>
      <c r="AY832" s="1"/>
      <c r="AZ832" s="1"/>
      <c r="BA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  <c r="DB832" s="1"/>
      <c r="DC832" s="1"/>
      <c r="DD832" s="1"/>
      <c r="DE832" s="1"/>
      <c r="DF832" s="1"/>
      <c r="DG832" s="1"/>
      <c r="DH832" s="1"/>
      <c r="DI832" s="1"/>
      <c r="DJ832" s="1"/>
      <c r="DK832" s="1"/>
      <c r="DL832" s="1"/>
      <c r="DM832" s="1"/>
      <c r="DN832" s="1"/>
      <c r="DO832" s="1"/>
      <c r="DP832" s="1"/>
      <c r="DQ832" s="1"/>
      <c r="DR832" s="1"/>
      <c r="DS832" s="1"/>
      <c r="DT832" s="1"/>
      <c r="DU832" s="1"/>
      <c r="DV832" s="1"/>
      <c r="DW832" s="1"/>
      <c r="DX832" s="1"/>
      <c r="DY832" s="1"/>
      <c r="DZ832" s="1"/>
      <c r="EA832" s="1"/>
      <c r="EB832" s="1"/>
      <c r="EC832" s="1"/>
      <c r="ED832" s="1"/>
      <c r="EE832" s="1"/>
      <c r="EF832" s="1"/>
      <c r="EG832" s="1"/>
      <c r="EH832" s="1"/>
      <c r="EI832" s="1"/>
      <c r="EJ832" s="1"/>
      <c r="EK832" s="1"/>
      <c r="EL832" s="1"/>
      <c r="EM832" s="1"/>
      <c r="EN832" s="1"/>
      <c r="EO832" s="1"/>
      <c r="EP832" s="1"/>
      <c r="EQ832" s="1"/>
      <c r="ER832" s="1"/>
      <c r="ES832" s="1"/>
      <c r="ET832" s="1"/>
      <c r="EU832" s="1"/>
      <c r="EV832" s="1"/>
      <c r="EW832" s="1"/>
      <c r="EX832" s="1"/>
      <c r="EY832" s="1"/>
      <c r="EZ832" s="1"/>
      <c r="FA832" s="1"/>
      <c r="FB832" s="1"/>
      <c r="FC832" s="1"/>
      <c r="FD832" s="1"/>
      <c r="FE832" s="1"/>
      <c r="FF832" s="1"/>
      <c r="FG832" s="1"/>
      <c r="FH832" s="1"/>
      <c r="FI832" s="1"/>
      <c r="FJ832" s="1"/>
      <c r="FK832" s="1"/>
      <c r="FL832" s="1"/>
      <c r="FM832" s="1"/>
      <c r="FN832" s="1"/>
      <c r="FO832" s="1"/>
      <c r="FP832" s="1"/>
      <c r="FQ832" s="1"/>
      <c r="FR832" s="2"/>
      <c r="FS832" s="1"/>
    </row>
    <row r="833" spans="1:175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R833" s="1"/>
      <c r="S833" s="1"/>
      <c r="T833" s="1"/>
      <c r="U833" s="1"/>
      <c r="V833" s="1"/>
      <c r="Y833" s="1"/>
      <c r="Z833" s="2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U833" s="1"/>
      <c r="AW833" s="1"/>
      <c r="AX833" s="1"/>
      <c r="AY833" s="1"/>
      <c r="AZ833" s="1"/>
      <c r="BA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  <c r="DC833" s="1"/>
      <c r="DD833" s="1"/>
      <c r="DE833" s="1"/>
      <c r="DF833" s="1"/>
      <c r="DG833" s="1"/>
      <c r="DH833" s="1"/>
      <c r="DI833" s="1"/>
      <c r="DJ833" s="1"/>
      <c r="DK833" s="1"/>
      <c r="DL833" s="1"/>
      <c r="DM833" s="1"/>
      <c r="DN833" s="1"/>
      <c r="DO833" s="1"/>
      <c r="DP833" s="1"/>
      <c r="DQ833" s="1"/>
      <c r="DR833" s="1"/>
      <c r="DS833" s="1"/>
      <c r="DT833" s="1"/>
      <c r="DU833" s="1"/>
      <c r="DV833" s="1"/>
      <c r="DW833" s="1"/>
      <c r="DX833" s="1"/>
      <c r="DY833" s="1"/>
      <c r="DZ833" s="1"/>
      <c r="EA833" s="1"/>
      <c r="EB833" s="1"/>
      <c r="EC833" s="1"/>
      <c r="ED833" s="1"/>
      <c r="EE833" s="1"/>
      <c r="EF833" s="1"/>
      <c r="EG833" s="1"/>
      <c r="EH833" s="1"/>
      <c r="EI833" s="1"/>
      <c r="EJ833" s="1"/>
      <c r="EK833" s="1"/>
      <c r="EL833" s="1"/>
      <c r="EM833" s="1"/>
      <c r="EN833" s="1"/>
      <c r="EO833" s="1"/>
      <c r="EP833" s="1"/>
      <c r="EQ833" s="1"/>
      <c r="ER833" s="1"/>
      <c r="ES833" s="1"/>
      <c r="ET833" s="1"/>
      <c r="EU833" s="1"/>
      <c r="EV833" s="1"/>
      <c r="EW833" s="1"/>
      <c r="EX833" s="1"/>
      <c r="EY833" s="1"/>
      <c r="EZ833" s="1"/>
      <c r="FA833" s="1"/>
      <c r="FB833" s="1"/>
      <c r="FC833" s="1"/>
      <c r="FD833" s="1"/>
      <c r="FE833" s="1"/>
      <c r="FF833" s="1"/>
      <c r="FG833" s="1"/>
      <c r="FH833" s="1"/>
      <c r="FI833" s="1"/>
      <c r="FJ833" s="1"/>
      <c r="FK833" s="1"/>
      <c r="FL833" s="1"/>
      <c r="FM833" s="1"/>
      <c r="FN833" s="1"/>
      <c r="FO833" s="1"/>
      <c r="FP833" s="1"/>
      <c r="FQ833" s="1"/>
      <c r="FR833" s="2"/>
      <c r="FS833" s="1"/>
    </row>
    <row r="834" spans="1:175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R834" s="1"/>
      <c r="S834" s="1"/>
      <c r="T834" s="1"/>
      <c r="U834" s="1"/>
      <c r="V834" s="1"/>
      <c r="Y834" s="1"/>
      <c r="Z834" s="2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U834" s="1"/>
      <c r="AW834" s="1"/>
      <c r="AX834" s="1"/>
      <c r="AY834" s="1"/>
      <c r="AZ834" s="1"/>
      <c r="BA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  <c r="DB834" s="1"/>
      <c r="DC834" s="1"/>
      <c r="DD834" s="1"/>
      <c r="DE834" s="1"/>
      <c r="DF834" s="1"/>
      <c r="DG834" s="1"/>
      <c r="DH834" s="1"/>
      <c r="DI834" s="1"/>
      <c r="DJ834" s="1"/>
      <c r="DK834" s="1"/>
      <c r="DL834" s="1"/>
      <c r="DM834" s="1"/>
      <c r="DN834" s="1"/>
      <c r="DO834" s="1"/>
      <c r="DP834" s="1"/>
      <c r="DQ834" s="1"/>
      <c r="DR834" s="1"/>
      <c r="DS834" s="1"/>
      <c r="DT834" s="1"/>
      <c r="DU834" s="1"/>
      <c r="DV834" s="1"/>
      <c r="DW834" s="1"/>
      <c r="DX834" s="1"/>
      <c r="DY834" s="1"/>
      <c r="DZ834" s="1"/>
      <c r="EA834" s="1"/>
      <c r="EB834" s="1"/>
      <c r="EC834" s="1"/>
      <c r="ED834" s="1"/>
      <c r="EE834" s="1"/>
      <c r="EF834" s="1"/>
      <c r="EG834" s="1"/>
      <c r="EH834" s="1"/>
      <c r="EI834" s="1"/>
      <c r="EJ834" s="1"/>
      <c r="EK834" s="1"/>
      <c r="EL834" s="1"/>
      <c r="EM834" s="1"/>
      <c r="EN834" s="1"/>
      <c r="EO834" s="1"/>
      <c r="EP834" s="1"/>
      <c r="EQ834" s="1"/>
      <c r="ER834" s="1"/>
      <c r="ES834" s="1"/>
      <c r="ET834" s="1"/>
      <c r="EU834" s="1"/>
      <c r="EV834" s="1"/>
      <c r="EW834" s="1"/>
      <c r="EX834" s="1"/>
      <c r="EY834" s="1"/>
      <c r="EZ834" s="1"/>
      <c r="FA834" s="1"/>
      <c r="FB834" s="1"/>
      <c r="FC834" s="1"/>
      <c r="FD834" s="1"/>
      <c r="FE834" s="1"/>
      <c r="FF834" s="1"/>
      <c r="FG834" s="1"/>
      <c r="FH834" s="1"/>
      <c r="FI834" s="1"/>
      <c r="FJ834" s="1"/>
      <c r="FK834" s="1"/>
      <c r="FL834" s="1"/>
      <c r="FM834" s="1"/>
      <c r="FN834" s="1"/>
      <c r="FO834" s="1"/>
      <c r="FP834" s="1"/>
      <c r="FQ834" s="1"/>
      <c r="FR834" s="2"/>
      <c r="FS834" s="1"/>
    </row>
    <row r="835" spans="1:175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R835" s="1"/>
      <c r="S835" s="1"/>
      <c r="T835" s="1"/>
      <c r="U835" s="1"/>
      <c r="V835" s="1"/>
      <c r="Y835" s="1"/>
      <c r="Z835" s="2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U835" s="1"/>
      <c r="AW835" s="1"/>
      <c r="AX835" s="1"/>
      <c r="AY835" s="1"/>
      <c r="AZ835" s="1"/>
      <c r="BA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  <c r="DB835" s="1"/>
      <c r="DC835" s="1"/>
      <c r="DD835" s="1"/>
      <c r="DE835" s="1"/>
      <c r="DF835" s="1"/>
      <c r="DG835" s="1"/>
      <c r="DH835" s="1"/>
      <c r="DI835" s="1"/>
      <c r="DJ835" s="1"/>
      <c r="DK835" s="1"/>
      <c r="DL835" s="1"/>
      <c r="DM835" s="1"/>
      <c r="DN835" s="1"/>
      <c r="DO835" s="1"/>
      <c r="DP835" s="1"/>
      <c r="DQ835" s="1"/>
      <c r="DR835" s="1"/>
      <c r="DS835" s="1"/>
      <c r="DT835" s="1"/>
      <c r="DU835" s="1"/>
      <c r="DV835" s="1"/>
      <c r="DW835" s="1"/>
      <c r="DX835" s="1"/>
      <c r="DY835" s="1"/>
      <c r="DZ835" s="1"/>
      <c r="EA835" s="1"/>
      <c r="EB835" s="1"/>
      <c r="EC835" s="1"/>
      <c r="ED835" s="1"/>
      <c r="EE835" s="1"/>
      <c r="EF835" s="1"/>
      <c r="EG835" s="1"/>
      <c r="EH835" s="1"/>
      <c r="EI835" s="1"/>
      <c r="EJ835" s="1"/>
      <c r="EK835" s="1"/>
      <c r="EL835" s="1"/>
      <c r="EM835" s="1"/>
      <c r="EN835" s="1"/>
      <c r="EO835" s="1"/>
      <c r="EP835" s="1"/>
      <c r="EQ835" s="1"/>
      <c r="ER835" s="1"/>
      <c r="ES835" s="1"/>
      <c r="ET835" s="1"/>
      <c r="EU835" s="1"/>
      <c r="EV835" s="1"/>
      <c r="EW835" s="1"/>
      <c r="EX835" s="1"/>
      <c r="EY835" s="1"/>
      <c r="EZ835" s="1"/>
      <c r="FA835" s="1"/>
      <c r="FB835" s="1"/>
      <c r="FC835" s="1"/>
      <c r="FD835" s="1"/>
      <c r="FE835" s="1"/>
      <c r="FF835" s="1"/>
      <c r="FG835" s="1"/>
      <c r="FH835" s="1"/>
      <c r="FI835" s="1"/>
      <c r="FJ835" s="1"/>
      <c r="FK835" s="1"/>
      <c r="FL835" s="1"/>
      <c r="FM835" s="1"/>
      <c r="FN835" s="1"/>
      <c r="FO835" s="1"/>
      <c r="FP835" s="1"/>
      <c r="FQ835" s="1"/>
      <c r="FR835" s="2"/>
      <c r="FS835" s="1"/>
    </row>
    <row r="836" spans="1:175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R836" s="1"/>
      <c r="S836" s="1"/>
      <c r="T836" s="1"/>
      <c r="U836" s="1"/>
      <c r="V836" s="1"/>
      <c r="Y836" s="1"/>
      <c r="Z836" s="2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U836" s="1"/>
      <c r="AW836" s="1"/>
      <c r="AX836" s="1"/>
      <c r="AY836" s="1"/>
      <c r="AZ836" s="1"/>
      <c r="BA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  <c r="DB836" s="1"/>
      <c r="DC836" s="1"/>
      <c r="DD836" s="1"/>
      <c r="DE836" s="1"/>
      <c r="DF836" s="1"/>
      <c r="DG836" s="1"/>
      <c r="DH836" s="1"/>
      <c r="DI836" s="1"/>
      <c r="DJ836" s="1"/>
      <c r="DK836" s="1"/>
      <c r="DL836" s="1"/>
      <c r="DM836" s="1"/>
      <c r="DN836" s="1"/>
      <c r="DO836" s="1"/>
      <c r="DP836" s="1"/>
      <c r="DQ836" s="1"/>
      <c r="DR836" s="1"/>
      <c r="DS836" s="1"/>
      <c r="DT836" s="1"/>
      <c r="DU836" s="1"/>
      <c r="DV836" s="1"/>
      <c r="DW836" s="1"/>
      <c r="DX836" s="1"/>
      <c r="DY836" s="1"/>
      <c r="DZ836" s="1"/>
      <c r="EA836" s="1"/>
      <c r="EB836" s="1"/>
      <c r="EC836" s="1"/>
      <c r="ED836" s="1"/>
      <c r="EE836" s="1"/>
      <c r="EF836" s="1"/>
      <c r="EG836" s="1"/>
      <c r="EH836" s="1"/>
      <c r="EI836" s="1"/>
      <c r="EJ836" s="1"/>
      <c r="EK836" s="1"/>
      <c r="EL836" s="1"/>
      <c r="EM836" s="1"/>
      <c r="EN836" s="1"/>
      <c r="EO836" s="1"/>
      <c r="EP836" s="1"/>
      <c r="EQ836" s="1"/>
      <c r="ER836" s="1"/>
      <c r="ES836" s="1"/>
      <c r="ET836" s="1"/>
      <c r="EU836" s="1"/>
      <c r="EV836" s="1"/>
      <c r="EW836" s="1"/>
      <c r="EX836" s="1"/>
      <c r="EY836" s="1"/>
      <c r="EZ836" s="1"/>
      <c r="FA836" s="1"/>
      <c r="FB836" s="1"/>
      <c r="FC836" s="1"/>
      <c r="FD836" s="1"/>
      <c r="FE836" s="1"/>
      <c r="FF836" s="1"/>
      <c r="FG836" s="1"/>
      <c r="FH836" s="1"/>
      <c r="FI836" s="1"/>
      <c r="FJ836" s="1"/>
      <c r="FK836" s="1"/>
      <c r="FL836" s="1"/>
      <c r="FM836" s="1"/>
      <c r="FN836" s="1"/>
      <c r="FO836" s="1"/>
      <c r="FP836" s="1"/>
      <c r="FQ836" s="1"/>
      <c r="FR836" s="2"/>
      <c r="FS836" s="1"/>
    </row>
    <row r="837" spans="1:175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R837" s="1"/>
      <c r="S837" s="1"/>
      <c r="T837" s="1"/>
      <c r="U837" s="1"/>
      <c r="V837" s="1"/>
      <c r="Y837" s="1"/>
      <c r="Z837" s="2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U837" s="1"/>
      <c r="AW837" s="1"/>
      <c r="AX837" s="1"/>
      <c r="AY837" s="1"/>
      <c r="AZ837" s="1"/>
      <c r="BA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  <c r="DB837" s="1"/>
      <c r="DC837" s="1"/>
      <c r="DD837" s="1"/>
      <c r="DE837" s="1"/>
      <c r="DF837" s="1"/>
      <c r="DG837" s="1"/>
      <c r="DH837" s="1"/>
      <c r="DI837" s="1"/>
      <c r="DJ837" s="1"/>
      <c r="DK837" s="1"/>
      <c r="DL837" s="1"/>
      <c r="DM837" s="1"/>
      <c r="DN837" s="1"/>
      <c r="DO837" s="1"/>
      <c r="DP837" s="1"/>
      <c r="DQ837" s="1"/>
      <c r="DR837" s="1"/>
      <c r="DS837" s="1"/>
      <c r="DT837" s="1"/>
      <c r="DU837" s="1"/>
      <c r="DV837" s="1"/>
      <c r="DW837" s="1"/>
      <c r="DX837" s="1"/>
      <c r="DY837" s="1"/>
      <c r="DZ837" s="1"/>
      <c r="EA837" s="1"/>
      <c r="EB837" s="1"/>
      <c r="EC837" s="1"/>
      <c r="ED837" s="1"/>
      <c r="EE837" s="1"/>
      <c r="EF837" s="1"/>
      <c r="EG837" s="1"/>
      <c r="EH837" s="1"/>
      <c r="EI837" s="1"/>
      <c r="EJ837" s="1"/>
      <c r="EK837" s="1"/>
      <c r="EL837" s="1"/>
      <c r="EM837" s="1"/>
      <c r="EN837" s="1"/>
      <c r="EO837" s="1"/>
      <c r="EP837" s="1"/>
      <c r="EQ837" s="1"/>
      <c r="ER837" s="1"/>
      <c r="ES837" s="1"/>
      <c r="ET837" s="1"/>
      <c r="EU837" s="1"/>
      <c r="EV837" s="1"/>
      <c r="EW837" s="1"/>
      <c r="EX837" s="1"/>
      <c r="EY837" s="1"/>
      <c r="EZ837" s="1"/>
      <c r="FA837" s="1"/>
      <c r="FB837" s="1"/>
      <c r="FC837" s="1"/>
      <c r="FD837" s="1"/>
      <c r="FE837" s="1"/>
      <c r="FF837" s="1"/>
      <c r="FG837" s="1"/>
      <c r="FH837" s="1"/>
      <c r="FI837" s="1"/>
      <c r="FJ837" s="1"/>
      <c r="FK837" s="1"/>
      <c r="FL837" s="1"/>
      <c r="FM837" s="1"/>
      <c r="FN837" s="1"/>
      <c r="FO837" s="1"/>
      <c r="FP837" s="1"/>
      <c r="FQ837" s="1"/>
      <c r="FR837" s="2"/>
      <c r="FS837" s="1"/>
    </row>
    <row r="838" spans="1:175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R838" s="1"/>
      <c r="S838" s="1"/>
      <c r="T838" s="1"/>
      <c r="U838" s="1"/>
      <c r="V838" s="1"/>
      <c r="Y838" s="1"/>
      <c r="Z838" s="2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U838" s="1"/>
      <c r="AW838" s="1"/>
      <c r="AX838" s="1"/>
      <c r="AY838" s="1"/>
      <c r="AZ838" s="1"/>
      <c r="BA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  <c r="DB838" s="1"/>
      <c r="DC838" s="1"/>
      <c r="DD838" s="1"/>
      <c r="DE838" s="1"/>
      <c r="DF838" s="1"/>
      <c r="DG838" s="1"/>
      <c r="DH838" s="1"/>
      <c r="DI838" s="1"/>
      <c r="DJ838" s="1"/>
      <c r="DK838" s="1"/>
      <c r="DL838" s="1"/>
      <c r="DM838" s="1"/>
      <c r="DN838" s="1"/>
      <c r="DO838" s="1"/>
      <c r="DP838" s="1"/>
      <c r="DQ838" s="1"/>
      <c r="DR838" s="1"/>
      <c r="DS838" s="1"/>
      <c r="DT838" s="1"/>
      <c r="DU838" s="1"/>
      <c r="DV838" s="1"/>
      <c r="DW838" s="1"/>
      <c r="DX838" s="1"/>
      <c r="DY838" s="1"/>
      <c r="DZ838" s="1"/>
      <c r="EA838" s="1"/>
      <c r="EB838" s="1"/>
      <c r="EC838" s="1"/>
      <c r="ED838" s="1"/>
      <c r="EE838" s="1"/>
      <c r="EF838" s="1"/>
      <c r="EG838" s="1"/>
      <c r="EH838" s="1"/>
      <c r="EI838" s="1"/>
      <c r="EJ838" s="1"/>
      <c r="EK838" s="1"/>
      <c r="EL838" s="1"/>
      <c r="EM838" s="1"/>
      <c r="EN838" s="1"/>
      <c r="EO838" s="1"/>
      <c r="EP838" s="1"/>
      <c r="EQ838" s="1"/>
      <c r="ER838" s="1"/>
      <c r="ES838" s="1"/>
      <c r="ET838" s="1"/>
      <c r="EU838" s="1"/>
      <c r="EV838" s="1"/>
      <c r="EW838" s="1"/>
      <c r="EX838" s="1"/>
      <c r="EY838" s="1"/>
      <c r="EZ838" s="1"/>
      <c r="FA838" s="1"/>
      <c r="FB838" s="1"/>
      <c r="FC838" s="1"/>
      <c r="FD838" s="1"/>
      <c r="FE838" s="1"/>
      <c r="FF838" s="1"/>
      <c r="FG838" s="1"/>
      <c r="FH838" s="1"/>
      <c r="FI838" s="1"/>
      <c r="FJ838" s="1"/>
      <c r="FK838" s="1"/>
      <c r="FL838" s="1"/>
      <c r="FM838" s="1"/>
      <c r="FN838" s="1"/>
      <c r="FO838" s="1"/>
      <c r="FP838" s="1"/>
      <c r="FQ838" s="1"/>
      <c r="FR838" s="2"/>
      <c r="FS838" s="1"/>
    </row>
    <row r="839" spans="1:175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R839" s="1"/>
      <c r="S839" s="1"/>
      <c r="T839" s="1"/>
      <c r="U839" s="1"/>
      <c r="V839" s="1"/>
      <c r="Y839" s="1"/>
      <c r="Z839" s="2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U839" s="1"/>
      <c r="AW839" s="1"/>
      <c r="AX839" s="1"/>
      <c r="AY839" s="1"/>
      <c r="AZ839" s="1"/>
      <c r="BA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  <c r="DB839" s="1"/>
      <c r="DC839" s="1"/>
      <c r="DD839" s="1"/>
      <c r="DE839" s="1"/>
      <c r="DF839" s="1"/>
      <c r="DG839" s="1"/>
      <c r="DH839" s="1"/>
      <c r="DI839" s="1"/>
      <c r="DJ839" s="1"/>
      <c r="DK839" s="1"/>
      <c r="DL839" s="1"/>
      <c r="DM839" s="1"/>
      <c r="DN839" s="1"/>
      <c r="DO839" s="1"/>
      <c r="DP839" s="1"/>
      <c r="DQ839" s="1"/>
      <c r="DR839" s="1"/>
      <c r="DS839" s="1"/>
      <c r="DT839" s="1"/>
      <c r="DU839" s="1"/>
      <c r="DV839" s="1"/>
      <c r="DW839" s="1"/>
      <c r="DX839" s="1"/>
      <c r="DY839" s="1"/>
      <c r="DZ839" s="1"/>
      <c r="EA839" s="1"/>
      <c r="EB839" s="1"/>
      <c r="EC839" s="1"/>
      <c r="ED839" s="1"/>
      <c r="EE839" s="1"/>
      <c r="EF839" s="1"/>
      <c r="EG839" s="1"/>
      <c r="EH839" s="1"/>
      <c r="EI839" s="1"/>
      <c r="EJ839" s="1"/>
      <c r="EK839" s="1"/>
      <c r="EL839" s="1"/>
      <c r="EM839" s="1"/>
      <c r="EN839" s="1"/>
      <c r="EO839" s="1"/>
      <c r="EP839" s="1"/>
      <c r="EQ839" s="1"/>
      <c r="ER839" s="1"/>
      <c r="ES839" s="1"/>
      <c r="ET839" s="1"/>
      <c r="EU839" s="1"/>
      <c r="EV839" s="1"/>
      <c r="EW839" s="1"/>
      <c r="EX839" s="1"/>
      <c r="EY839" s="1"/>
      <c r="EZ839" s="1"/>
      <c r="FA839" s="1"/>
      <c r="FB839" s="1"/>
      <c r="FC839" s="1"/>
      <c r="FD839" s="1"/>
      <c r="FE839" s="1"/>
      <c r="FF839" s="1"/>
      <c r="FG839" s="1"/>
      <c r="FH839" s="1"/>
      <c r="FI839" s="1"/>
      <c r="FJ839" s="1"/>
      <c r="FK839" s="1"/>
      <c r="FL839" s="1"/>
      <c r="FM839" s="1"/>
      <c r="FN839" s="1"/>
      <c r="FO839" s="1"/>
      <c r="FP839" s="1"/>
      <c r="FQ839" s="1"/>
      <c r="FR839" s="2"/>
      <c r="FS839" s="1"/>
    </row>
    <row r="840" spans="1:175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R840" s="1"/>
      <c r="S840" s="1"/>
      <c r="T840" s="1"/>
      <c r="U840" s="1"/>
      <c r="V840" s="1"/>
      <c r="Y840" s="1"/>
      <c r="Z840" s="2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U840" s="1"/>
      <c r="AW840" s="1"/>
      <c r="AX840" s="1"/>
      <c r="AY840" s="1"/>
      <c r="AZ840" s="1"/>
      <c r="BA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  <c r="DB840" s="1"/>
      <c r="DC840" s="1"/>
      <c r="DD840" s="1"/>
      <c r="DE840" s="1"/>
      <c r="DF840" s="1"/>
      <c r="DG840" s="1"/>
      <c r="DH840" s="1"/>
      <c r="DI840" s="1"/>
      <c r="DJ840" s="1"/>
      <c r="DK840" s="1"/>
      <c r="DL840" s="1"/>
      <c r="DM840" s="1"/>
      <c r="DN840" s="1"/>
      <c r="DO840" s="1"/>
      <c r="DP840" s="1"/>
      <c r="DQ840" s="1"/>
      <c r="DR840" s="1"/>
      <c r="DS840" s="1"/>
      <c r="DT840" s="1"/>
      <c r="DU840" s="1"/>
      <c r="DV840" s="1"/>
      <c r="DW840" s="1"/>
      <c r="DX840" s="1"/>
      <c r="DY840" s="1"/>
      <c r="DZ840" s="1"/>
      <c r="EA840" s="1"/>
      <c r="EB840" s="1"/>
      <c r="EC840" s="1"/>
      <c r="ED840" s="1"/>
      <c r="EE840" s="1"/>
      <c r="EF840" s="1"/>
      <c r="EG840" s="1"/>
      <c r="EH840" s="1"/>
      <c r="EI840" s="1"/>
      <c r="EJ840" s="1"/>
      <c r="EK840" s="1"/>
      <c r="EL840" s="1"/>
      <c r="EM840" s="1"/>
      <c r="EN840" s="1"/>
      <c r="EO840" s="1"/>
      <c r="EP840" s="1"/>
      <c r="EQ840" s="1"/>
      <c r="ER840" s="1"/>
      <c r="ES840" s="1"/>
      <c r="ET840" s="1"/>
      <c r="EU840" s="1"/>
      <c r="EV840" s="1"/>
      <c r="EW840" s="1"/>
      <c r="EX840" s="1"/>
      <c r="EY840" s="1"/>
      <c r="EZ840" s="1"/>
      <c r="FA840" s="1"/>
      <c r="FB840" s="1"/>
      <c r="FC840" s="1"/>
      <c r="FD840" s="1"/>
      <c r="FE840" s="1"/>
      <c r="FF840" s="1"/>
      <c r="FG840" s="1"/>
      <c r="FH840" s="1"/>
      <c r="FI840" s="1"/>
      <c r="FJ840" s="1"/>
      <c r="FK840" s="1"/>
      <c r="FL840" s="1"/>
      <c r="FM840" s="1"/>
      <c r="FN840" s="1"/>
      <c r="FO840" s="1"/>
      <c r="FP840" s="1"/>
      <c r="FQ840" s="1"/>
      <c r="FR840" s="2"/>
      <c r="FS840" s="1"/>
    </row>
    <row r="841" spans="1:175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R841" s="1"/>
      <c r="S841" s="1"/>
      <c r="T841" s="1"/>
      <c r="U841" s="1"/>
      <c r="V841" s="1"/>
      <c r="Y841" s="1"/>
      <c r="Z841" s="2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U841" s="1"/>
      <c r="AW841" s="1"/>
      <c r="AX841" s="1"/>
      <c r="AY841" s="1"/>
      <c r="AZ841" s="1"/>
      <c r="BA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  <c r="DB841" s="1"/>
      <c r="DC841" s="1"/>
      <c r="DD841" s="1"/>
      <c r="DE841" s="1"/>
      <c r="DF841" s="1"/>
      <c r="DG841" s="1"/>
      <c r="DH841" s="1"/>
      <c r="DI841" s="1"/>
      <c r="DJ841" s="1"/>
      <c r="DK841" s="1"/>
      <c r="DL841" s="1"/>
      <c r="DM841" s="1"/>
      <c r="DN841" s="1"/>
      <c r="DO841" s="1"/>
      <c r="DP841" s="1"/>
      <c r="DQ841" s="1"/>
      <c r="DR841" s="1"/>
      <c r="DS841" s="1"/>
      <c r="DT841" s="1"/>
      <c r="DU841" s="1"/>
      <c r="DV841" s="1"/>
      <c r="DW841" s="1"/>
      <c r="DX841" s="1"/>
      <c r="DY841" s="1"/>
      <c r="DZ841" s="1"/>
      <c r="EA841" s="1"/>
      <c r="EB841" s="1"/>
      <c r="EC841" s="1"/>
      <c r="ED841" s="1"/>
      <c r="EE841" s="1"/>
      <c r="EF841" s="1"/>
      <c r="EG841" s="1"/>
      <c r="EH841" s="1"/>
      <c r="EI841" s="1"/>
      <c r="EJ841" s="1"/>
      <c r="EK841" s="1"/>
      <c r="EL841" s="1"/>
      <c r="EM841" s="1"/>
      <c r="EN841" s="1"/>
      <c r="EO841" s="1"/>
      <c r="EP841" s="1"/>
      <c r="EQ841" s="1"/>
      <c r="ER841" s="1"/>
      <c r="ES841" s="1"/>
      <c r="ET841" s="1"/>
      <c r="EU841" s="1"/>
      <c r="EV841" s="1"/>
      <c r="EW841" s="1"/>
      <c r="EX841" s="1"/>
      <c r="EY841" s="1"/>
      <c r="EZ841" s="1"/>
      <c r="FA841" s="1"/>
      <c r="FB841" s="1"/>
      <c r="FC841" s="1"/>
      <c r="FD841" s="1"/>
      <c r="FE841" s="1"/>
      <c r="FF841" s="1"/>
      <c r="FG841" s="1"/>
      <c r="FH841" s="1"/>
      <c r="FI841" s="1"/>
      <c r="FJ841" s="1"/>
      <c r="FK841" s="1"/>
      <c r="FL841" s="1"/>
      <c r="FM841" s="1"/>
      <c r="FN841" s="1"/>
      <c r="FO841" s="1"/>
      <c r="FP841" s="1"/>
      <c r="FQ841" s="1"/>
      <c r="FR841" s="2"/>
      <c r="FS841" s="1"/>
    </row>
    <row r="842" spans="1:175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R842" s="1"/>
      <c r="S842" s="1"/>
      <c r="T842" s="1"/>
      <c r="U842" s="1"/>
      <c r="V842" s="1"/>
      <c r="Y842" s="1"/>
      <c r="Z842" s="2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U842" s="1"/>
      <c r="AW842" s="1"/>
      <c r="AX842" s="1"/>
      <c r="AY842" s="1"/>
      <c r="AZ842" s="1"/>
      <c r="BA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  <c r="DB842" s="1"/>
      <c r="DC842" s="1"/>
      <c r="DD842" s="1"/>
      <c r="DE842" s="1"/>
      <c r="DF842" s="1"/>
      <c r="DG842" s="1"/>
      <c r="DH842" s="1"/>
      <c r="DI842" s="1"/>
      <c r="DJ842" s="1"/>
      <c r="DK842" s="1"/>
      <c r="DL842" s="1"/>
      <c r="DM842" s="1"/>
      <c r="DN842" s="1"/>
      <c r="DO842" s="1"/>
      <c r="DP842" s="1"/>
      <c r="DQ842" s="1"/>
      <c r="DR842" s="1"/>
      <c r="DS842" s="1"/>
      <c r="DT842" s="1"/>
      <c r="DU842" s="1"/>
      <c r="DV842" s="1"/>
      <c r="DW842" s="1"/>
      <c r="DX842" s="1"/>
      <c r="DY842" s="1"/>
      <c r="DZ842" s="1"/>
      <c r="EA842" s="1"/>
      <c r="EB842" s="1"/>
      <c r="EC842" s="1"/>
      <c r="ED842" s="1"/>
      <c r="EE842" s="1"/>
      <c r="EF842" s="1"/>
      <c r="EG842" s="1"/>
      <c r="EH842" s="1"/>
      <c r="EI842" s="1"/>
      <c r="EJ842" s="1"/>
      <c r="EK842" s="1"/>
      <c r="EL842" s="1"/>
      <c r="EM842" s="1"/>
      <c r="EN842" s="1"/>
      <c r="EO842" s="1"/>
      <c r="EP842" s="1"/>
      <c r="EQ842" s="1"/>
      <c r="ER842" s="1"/>
      <c r="ES842" s="1"/>
      <c r="ET842" s="1"/>
      <c r="EU842" s="1"/>
      <c r="EV842" s="1"/>
      <c r="EW842" s="1"/>
      <c r="EX842" s="1"/>
      <c r="EY842" s="1"/>
      <c r="EZ842" s="1"/>
      <c r="FA842" s="1"/>
      <c r="FB842" s="1"/>
      <c r="FC842" s="1"/>
      <c r="FD842" s="1"/>
      <c r="FE842" s="1"/>
      <c r="FF842" s="1"/>
      <c r="FG842" s="1"/>
      <c r="FH842" s="1"/>
      <c r="FI842" s="1"/>
      <c r="FJ842" s="1"/>
      <c r="FK842" s="1"/>
      <c r="FL842" s="1"/>
      <c r="FM842" s="1"/>
      <c r="FN842" s="1"/>
      <c r="FO842" s="1"/>
      <c r="FP842" s="1"/>
      <c r="FQ842" s="1"/>
      <c r="FR842" s="2"/>
      <c r="FS842" s="1"/>
    </row>
    <row r="843" spans="1:175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R843" s="1"/>
      <c r="S843" s="1"/>
      <c r="T843" s="1"/>
      <c r="U843" s="1"/>
      <c r="V843" s="1"/>
      <c r="Y843" s="1"/>
      <c r="Z843" s="2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U843" s="1"/>
      <c r="AW843" s="1"/>
      <c r="AX843" s="1"/>
      <c r="AY843" s="1"/>
      <c r="AZ843" s="1"/>
      <c r="BA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  <c r="DB843" s="1"/>
      <c r="DC843" s="1"/>
      <c r="DD843" s="1"/>
      <c r="DE843" s="1"/>
      <c r="DF843" s="1"/>
      <c r="DG843" s="1"/>
      <c r="DH843" s="1"/>
      <c r="DI843" s="1"/>
      <c r="DJ843" s="1"/>
      <c r="DK843" s="1"/>
      <c r="DL843" s="1"/>
      <c r="DM843" s="1"/>
      <c r="DN843" s="1"/>
      <c r="DO843" s="1"/>
      <c r="DP843" s="1"/>
      <c r="DQ843" s="1"/>
      <c r="DR843" s="1"/>
      <c r="DS843" s="1"/>
      <c r="DT843" s="1"/>
      <c r="DU843" s="1"/>
      <c r="DV843" s="1"/>
      <c r="DW843" s="1"/>
      <c r="DX843" s="1"/>
      <c r="DY843" s="1"/>
      <c r="DZ843" s="1"/>
      <c r="EA843" s="1"/>
      <c r="EB843" s="1"/>
      <c r="EC843" s="1"/>
      <c r="ED843" s="1"/>
      <c r="EE843" s="1"/>
      <c r="EF843" s="1"/>
      <c r="EG843" s="1"/>
      <c r="EH843" s="1"/>
      <c r="EI843" s="1"/>
      <c r="EJ843" s="1"/>
      <c r="EK843" s="1"/>
      <c r="EL843" s="1"/>
      <c r="EM843" s="1"/>
      <c r="EN843" s="1"/>
      <c r="EO843" s="1"/>
      <c r="EP843" s="1"/>
      <c r="EQ843" s="1"/>
      <c r="ER843" s="1"/>
      <c r="ES843" s="1"/>
      <c r="ET843" s="1"/>
      <c r="EU843" s="1"/>
      <c r="EV843" s="1"/>
      <c r="EW843" s="1"/>
      <c r="EX843" s="1"/>
      <c r="EY843" s="1"/>
      <c r="EZ843" s="1"/>
      <c r="FA843" s="1"/>
      <c r="FB843" s="1"/>
      <c r="FC843" s="1"/>
      <c r="FD843" s="1"/>
      <c r="FE843" s="1"/>
      <c r="FF843" s="1"/>
      <c r="FG843" s="1"/>
      <c r="FH843" s="1"/>
      <c r="FI843" s="1"/>
      <c r="FJ843" s="1"/>
      <c r="FK843" s="1"/>
      <c r="FL843" s="1"/>
      <c r="FM843" s="1"/>
      <c r="FN843" s="1"/>
      <c r="FO843" s="1"/>
      <c r="FP843" s="1"/>
      <c r="FQ843" s="1"/>
      <c r="FR843" s="2"/>
      <c r="FS843" s="1"/>
    </row>
    <row r="844" spans="1:175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R844" s="1"/>
      <c r="S844" s="1"/>
      <c r="T844" s="1"/>
      <c r="U844" s="1"/>
      <c r="V844" s="1"/>
      <c r="Y844" s="1"/>
      <c r="Z844" s="2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U844" s="1"/>
      <c r="AW844" s="1"/>
      <c r="AX844" s="1"/>
      <c r="AY844" s="1"/>
      <c r="AZ844" s="1"/>
      <c r="BA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  <c r="DB844" s="1"/>
      <c r="DC844" s="1"/>
      <c r="DD844" s="1"/>
      <c r="DE844" s="1"/>
      <c r="DF844" s="1"/>
      <c r="DG844" s="1"/>
      <c r="DH844" s="1"/>
      <c r="DI844" s="1"/>
      <c r="DJ844" s="1"/>
      <c r="DK844" s="1"/>
      <c r="DL844" s="1"/>
      <c r="DM844" s="1"/>
      <c r="DN844" s="1"/>
      <c r="DO844" s="1"/>
      <c r="DP844" s="1"/>
      <c r="DQ844" s="1"/>
      <c r="DR844" s="1"/>
      <c r="DS844" s="1"/>
      <c r="DT844" s="1"/>
      <c r="DU844" s="1"/>
      <c r="DV844" s="1"/>
      <c r="DW844" s="1"/>
      <c r="DX844" s="1"/>
      <c r="DY844" s="1"/>
      <c r="DZ844" s="1"/>
      <c r="EA844" s="1"/>
      <c r="EB844" s="1"/>
      <c r="EC844" s="1"/>
      <c r="ED844" s="1"/>
      <c r="EE844" s="1"/>
      <c r="EF844" s="1"/>
      <c r="EG844" s="1"/>
      <c r="EH844" s="1"/>
      <c r="EI844" s="1"/>
      <c r="EJ844" s="1"/>
      <c r="EK844" s="1"/>
      <c r="EL844" s="1"/>
      <c r="EM844" s="1"/>
      <c r="EN844" s="1"/>
      <c r="EO844" s="1"/>
      <c r="EP844" s="1"/>
      <c r="EQ844" s="1"/>
      <c r="ER844" s="1"/>
      <c r="ES844" s="1"/>
      <c r="ET844" s="1"/>
      <c r="EU844" s="1"/>
      <c r="EV844" s="1"/>
      <c r="EW844" s="1"/>
      <c r="EX844" s="1"/>
      <c r="EY844" s="1"/>
      <c r="EZ844" s="1"/>
      <c r="FA844" s="1"/>
      <c r="FB844" s="1"/>
      <c r="FC844" s="1"/>
      <c r="FD844" s="1"/>
      <c r="FE844" s="1"/>
      <c r="FF844" s="1"/>
      <c r="FG844" s="1"/>
      <c r="FH844" s="1"/>
      <c r="FI844" s="1"/>
      <c r="FJ844" s="1"/>
      <c r="FK844" s="1"/>
      <c r="FL844" s="1"/>
      <c r="FM844" s="1"/>
      <c r="FN844" s="1"/>
      <c r="FO844" s="1"/>
      <c r="FP844" s="1"/>
      <c r="FQ844" s="1"/>
      <c r="FR844" s="2"/>
      <c r="FS844" s="1"/>
    </row>
    <row r="845" spans="1:175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R845" s="1"/>
      <c r="S845" s="1"/>
      <c r="T845" s="1"/>
      <c r="U845" s="1"/>
      <c r="V845" s="1"/>
      <c r="Y845" s="1"/>
      <c r="Z845" s="2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U845" s="1"/>
      <c r="AW845" s="1"/>
      <c r="AX845" s="1"/>
      <c r="AY845" s="1"/>
      <c r="AZ845" s="1"/>
      <c r="BA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  <c r="DB845" s="1"/>
      <c r="DC845" s="1"/>
      <c r="DD845" s="1"/>
      <c r="DE845" s="1"/>
      <c r="DF845" s="1"/>
      <c r="DG845" s="1"/>
      <c r="DH845" s="1"/>
      <c r="DI845" s="1"/>
      <c r="DJ845" s="1"/>
      <c r="DK845" s="1"/>
      <c r="DL845" s="1"/>
      <c r="DM845" s="1"/>
      <c r="DN845" s="1"/>
      <c r="DO845" s="1"/>
      <c r="DP845" s="1"/>
      <c r="DQ845" s="1"/>
      <c r="DR845" s="1"/>
      <c r="DS845" s="1"/>
      <c r="DT845" s="1"/>
      <c r="DU845" s="1"/>
      <c r="DV845" s="1"/>
      <c r="DW845" s="1"/>
      <c r="DX845" s="1"/>
      <c r="DY845" s="1"/>
      <c r="DZ845" s="1"/>
      <c r="EA845" s="1"/>
      <c r="EB845" s="1"/>
      <c r="EC845" s="1"/>
      <c r="ED845" s="1"/>
      <c r="EE845" s="1"/>
      <c r="EF845" s="1"/>
      <c r="EG845" s="1"/>
      <c r="EH845" s="1"/>
      <c r="EI845" s="1"/>
      <c r="EJ845" s="1"/>
      <c r="EK845" s="1"/>
      <c r="EL845" s="1"/>
      <c r="EM845" s="1"/>
      <c r="EN845" s="1"/>
      <c r="EO845" s="1"/>
      <c r="EP845" s="1"/>
      <c r="EQ845" s="1"/>
      <c r="ER845" s="1"/>
      <c r="ES845" s="1"/>
      <c r="ET845" s="1"/>
      <c r="EU845" s="1"/>
      <c r="EV845" s="1"/>
      <c r="EW845" s="1"/>
      <c r="EX845" s="1"/>
      <c r="EY845" s="1"/>
      <c r="EZ845" s="1"/>
      <c r="FA845" s="1"/>
      <c r="FB845" s="1"/>
      <c r="FC845" s="1"/>
      <c r="FD845" s="1"/>
      <c r="FE845" s="1"/>
      <c r="FF845" s="1"/>
      <c r="FG845" s="1"/>
      <c r="FH845" s="1"/>
      <c r="FI845" s="1"/>
      <c r="FJ845" s="1"/>
      <c r="FK845" s="1"/>
      <c r="FL845" s="1"/>
      <c r="FM845" s="1"/>
      <c r="FN845" s="1"/>
      <c r="FO845" s="1"/>
      <c r="FP845" s="1"/>
      <c r="FQ845" s="1"/>
      <c r="FR845" s="2"/>
      <c r="FS845" s="1"/>
    </row>
    <row r="846" spans="1:175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R846" s="1"/>
      <c r="S846" s="1"/>
      <c r="T846" s="1"/>
      <c r="U846" s="1"/>
      <c r="V846" s="1"/>
      <c r="Y846" s="1"/>
      <c r="Z846" s="2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U846" s="1"/>
      <c r="AW846" s="1"/>
      <c r="AX846" s="1"/>
      <c r="AY846" s="1"/>
      <c r="AZ846" s="1"/>
      <c r="BA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  <c r="DB846" s="1"/>
      <c r="DC846" s="1"/>
      <c r="DD846" s="1"/>
      <c r="DE846" s="1"/>
      <c r="DF846" s="1"/>
      <c r="DG846" s="1"/>
      <c r="DH846" s="1"/>
      <c r="DI846" s="1"/>
      <c r="DJ846" s="1"/>
      <c r="DK846" s="1"/>
      <c r="DL846" s="1"/>
      <c r="DM846" s="1"/>
      <c r="DN846" s="1"/>
      <c r="DO846" s="1"/>
      <c r="DP846" s="1"/>
      <c r="DQ846" s="1"/>
      <c r="DR846" s="1"/>
      <c r="DS846" s="1"/>
      <c r="DT846" s="1"/>
      <c r="DU846" s="1"/>
      <c r="DV846" s="1"/>
      <c r="DW846" s="1"/>
      <c r="DX846" s="1"/>
      <c r="DY846" s="1"/>
      <c r="DZ846" s="1"/>
      <c r="EA846" s="1"/>
      <c r="EB846" s="1"/>
      <c r="EC846" s="1"/>
      <c r="ED846" s="1"/>
      <c r="EE846" s="1"/>
      <c r="EF846" s="1"/>
      <c r="EG846" s="1"/>
      <c r="EH846" s="1"/>
      <c r="EI846" s="1"/>
      <c r="EJ846" s="1"/>
      <c r="EK846" s="1"/>
      <c r="EL846" s="1"/>
      <c r="EM846" s="1"/>
      <c r="EN846" s="1"/>
      <c r="EO846" s="1"/>
      <c r="EP846" s="1"/>
      <c r="EQ846" s="1"/>
      <c r="ER846" s="1"/>
      <c r="ES846" s="1"/>
      <c r="ET846" s="1"/>
      <c r="EU846" s="1"/>
      <c r="EV846" s="1"/>
      <c r="EW846" s="1"/>
      <c r="EX846" s="1"/>
      <c r="EY846" s="1"/>
      <c r="EZ846" s="1"/>
      <c r="FA846" s="1"/>
      <c r="FB846" s="1"/>
      <c r="FC846" s="1"/>
      <c r="FD846" s="1"/>
      <c r="FE846" s="1"/>
      <c r="FF846" s="1"/>
      <c r="FG846" s="1"/>
      <c r="FH846" s="1"/>
      <c r="FI846" s="1"/>
      <c r="FJ846" s="1"/>
      <c r="FK846" s="1"/>
      <c r="FL846" s="1"/>
      <c r="FM846" s="1"/>
      <c r="FN846" s="1"/>
      <c r="FO846" s="1"/>
      <c r="FP846" s="1"/>
      <c r="FQ846" s="1"/>
      <c r="FR846" s="2"/>
      <c r="FS846" s="1"/>
    </row>
    <row r="847" spans="1:175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R847" s="1"/>
      <c r="S847" s="1"/>
      <c r="T847" s="1"/>
      <c r="U847" s="1"/>
      <c r="V847" s="1"/>
      <c r="Y847" s="1"/>
      <c r="Z847" s="2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U847" s="1"/>
      <c r="AW847" s="1"/>
      <c r="AX847" s="1"/>
      <c r="AY847" s="1"/>
      <c r="AZ847" s="1"/>
      <c r="BA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  <c r="DB847" s="1"/>
      <c r="DC847" s="1"/>
      <c r="DD847" s="1"/>
      <c r="DE847" s="1"/>
      <c r="DF847" s="1"/>
      <c r="DG847" s="1"/>
      <c r="DH847" s="1"/>
      <c r="DI847" s="1"/>
      <c r="DJ847" s="1"/>
      <c r="DK847" s="1"/>
      <c r="DL847" s="1"/>
      <c r="DM847" s="1"/>
      <c r="DN847" s="1"/>
      <c r="DO847" s="1"/>
      <c r="DP847" s="1"/>
      <c r="DQ847" s="1"/>
      <c r="DR847" s="1"/>
      <c r="DS847" s="1"/>
      <c r="DT847" s="1"/>
      <c r="DU847" s="1"/>
      <c r="DV847" s="1"/>
      <c r="DW847" s="1"/>
      <c r="DX847" s="1"/>
      <c r="DY847" s="1"/>
      <c r="DZ847" s="1"/>
      <c r="EA847" s="1"/>
      <c r="EB847" s="1"/>
      <c r="EC847" s="1"/>
      <c r="ED847" s="1"/>
      <c r="EE847" s="1"/>
      <c r="EF847" s="1"/>
      <c r="EG847" s="1"/>
      <c r="EH847" s="1"/>
      <c r="EI847" s="1"/>
      <c r="EJ847" s="1"/>
      <c r="EK847" s="1"/>
      <c r="EL847" s="1"/>
      <c r="EM847" s="1"/>
      <c r="EN847" s="1"/>
      <c r="EO847" s="1"/>
      <c r="EP847" s="1"/>
      <c r="EQ847" s="1"/>
      <c r="ER847" s="1"/>
      <c r="ES847" s="1"/>
      <c r="ET847" s="1"/>
      <c r="EU847" s="1"/>
      <c r="EV847" s="1"/>
      <c r="EW847" s="1"/>
      <c r="EX847" s="1"/>
      <c r="EY847" s="1"/>
      <c r="EZ847" s="1"/>
      <c r="FA847" s="1"/>
      <c r="FB847" s="1"/>
      <c r="FC847" s="1"/>
      <c r="FD847" s="1"/>
      <c r="FE847" s="1"/>
      <c r="FF847" s="1"/>
      <c r="FG847" s="1"/>
      <c r="FH847" s="1"/>
      <c r="FI847" s="1"/>
      <c r="FJ847" s="1"/>
      <c r="FK847" s="1"/>
      <c r="FL847" s="1"/>
      <c r="FM847" s="1"/>
      <c r="FN847" s="1"/>
      <c r="FO847" s="1"/>
      <c r="FP847" s="1"/>
      <c r="FQ847" s="1"/>
      <c r="FR847" s="2"/>
      <c r="FS847" s="1"/>
    </row>
    <row r="848" spans="1:175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R848" s="1"/>
      <c r="S848" s="1"/>
      <c r="T848" s="1"/>
      <c r="U848" s="1"/>
      <c r="V848" s="1"/>
      <c r="Y848" s="1"/>
      <c r="Z848" s="2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U848" s="1"/>
      <c r="AW848" s="1"/>
      <c r="AX848" s="1"/>
      <c r="AY848" s="1"/>
      <c r="AZ848" s="1"/>
      <c r="BA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  <c r="DB848" s="1"/>
      <c r="DC848" s="1"/>
      <c r="DD848" s="1"/>
      <c r="DE848" s="1"/>
      <c r="DF848" s="1"/>
      <c r="DG848" s="1"/>
      <c r="DH848" s="1"/>
      <c r="DI848" s="1"/>
      <c r="DJ848" s="1"/>
      <c r="DK848" s="1"/>
      <c r="DL848" s="1"/>
      <c r="DM848" s="1"/>
      <c r="DN848" s="1"/>
      <c r="DO848" s="1"/>
      <c r="DP848" s="1"/>
      <c r="DQ848" s="1"/>
      <c r="DR848" s="1"/>
      <c r="DS848" s="1"/>
      <c r="DT848" s="1"/>
      <c r="DU848" s="1"/>
      <c r="DV848" s="1"/>
      <c r="DW848" s="1"/>
      <c r="DX848" s="1"/>
      <c r="DY848" s="1"/>
      <c r="DZ848" s="1"/>
      <c r="EA848" s="1"/>
      <c r="EB848" s="1"/>
      <c r="EC848" s="1"/>
      <c r="ED848" s="1"/>
      <c r="EE848" s="1"/>
      <c r="EF848" s="1"/>
      <c r="EG848" s="1"/>
      <c r="EH848" s="1"/>
      <c r="EI848" s="1"/>
      <c r="EJ848" s="1"/>
      <c r="EK848" s="1"/>
      <c r="EL848" s="1"/>
      <c r="EM848" s="1"/>
      <c r="EN848" s="1"/>
      <c r="EO848" s="1"/>
      <c r="EP848" s="1"/>
      <c r="EQ848" s="1"/>
      <c r="ER848" s="1"/>
      <c r="ES848" s="1"/>
      <c r="ET848" s="1"/>
      <c r="EU848" s="1"/>
      <c r="EV848" s="1"/>
      <c r="EW848" s="1"/>
      <c r="EX848" s="1"/>
      <c r="EY848" s="1"/>
      <c r="EZ848" s="1"/>
      <c r="FA848" s="1"/>
      <c r="FB848" s="1"/>
      <c r="FC848" s="1"/>
      <c r="FD848" s="1"/>
      <c r="FE848" s="1"/>
      <c r="FF848" s="1"/>
      <c r="FG848" s="1"/>
      <c r="FH848" s="1"/>
      <c r="FI848" s="1"/>
      <c r="FJ848" s="1"/>
      <c r="FK848" s="1"/>
      <c r="FL848" s="1"/>
      <c r="FM848" s="1"/>
      <c r="FN848" s="1"/>
      <c r="FO848" s="1"/>
      <c r="FP848" s="1"/>
      <c r="FQ848" s="1"/>
      <c r="FR848" s="2"/>
      <c r="FS848" s="1"/>
    </row>
    <row r="849" spans="1:175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R849" s="1"/>
      <c r="S849" s="1"/>
      <c r="T849" s="1"/>
      <c r="U849" s="1"/>
      <c r="V849" s="1"/>
      <c r="Y849" s="1"/>
      <c r="Z849" s="2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U849" s="1"/>
      <c r="AW849" s="1"/>
      <c r="AX849" s="1"/>
      <c r="AY849" s="1"/>
      <c r="AZ849" s="1"/>
      <c r="BA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/>
      <c r="DC849" s="1"/>
      <c r="DD849" s="1"/>
      <c r="DE849" s="1"/>
      <c r="DF849" s="1"/>
      <c r="DG849" s="1"/>
      <c r="DH849" s="1"/>
      <c r="DI849" s="1"/>
      <c r="DJ849" s="1"/>
      <c r="DK849" s="1"/>
      <c r="DL849" s="1"/>
      <c r="DM849" s="1"/>
      <c r="DN849" s="1"/>
      <c r="DO849" s="1"/>
      <c r="DP849" s="1"/>
      <c r="DQ849" s="1"/>
      <c r="DR849" s="1"/>
      <c r="DS849" s="1"/>
      <c r="DT849" s="1"/>
      <c r="DU849" s="1"/>
      <c r="DV849" s="1"/>
      <c r="DW849" s="1"/>
      <c r="DX849" s="1"/>
      <c r="DY849" s="1"/>
      <c r="DZ849" s="1"/>
      <c r="EA849" s="1"/>
      <c r="EB849" s="1"/>
      <c r="EC849" s="1"/>
      <c r="ED849" s="1"/>
      <c r="EE849" s="1"/>
      <c r="EF849" s="1"/>
      <c r="EG849" s="1"/>
      <c r="EH849" s="1"/>
      <c r="EI849" s="1"/>
      <c r="EJ849" s="1"/>
      <c r="EK849" s="1"/>
      <c r="EL849" s="1"/>
      <c r="EM849" s="1"/>
      <c r="EN849" s="1"/>
      <c r="EO849" s="1"/>
      <c r="EP849" s="1"/>
      <c r="EQ849" s="1"/>
      <c r="ER849" s="1"/>
      <c r="ES849" s="1"/>
      <c r="ET849" s="1"/>
      <c r="EU849" s="1"/>
      <c r="EV849" s="1"/>
      <c r="EW849" s="1"/>
      <c r="EX849" s="1"/>
      <c r="EY849" s="1"/>
      <c r="EZ849" s="1"/>
      <c r="FA849" s="1"/>
      <c r="FB849" s="1"/>
      <c r="FC849" s="1"/>
      <c r="FD849" s="1"/>
      <c r="FE849" s="1"/>
      <c r="FF849" s="1"/>
      <c r="FG849" s="1"/>
      <c r="FH849" s="1"/>
      <c r="FI849" s="1"/>
      <c r="FJ849" s="1"/>
      <c r="FK849" s="1"/>
      <c r="FL849" s="1"/>
      <c r="FM849" s="1"/>
      <c r="FN849" s="1"/>
      <c r="FO849" s="1"/>
      <c r="FP849" s="1"/>
      <c r="FQ849" s="1"/>
      <c r="FR849" s="2"/>
      <c r="FS849" s="1"/>
    </row>
    <row r="850" spans="1:175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R850" s="1"/>
      <c r="S850" s="1"/>
      <c r="T850" s="1"/>
      <c r="U850" s="1"/>
      <c r="V850" s="1"/>
      <c r="Y850" s="1"/>
      <c r="Z850" s="2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U850" s="1"/>
      <c r="AW850" s="1"/>
      <c r="AX850" s="1"/>
      <c r="AY850" s="1"/>
      <c r="AZ850" s="1"/>
      <c r="BA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/>
      <c r="DC850" s="1"/>
      <c r="DD850" s="1"/>
      <c r="DE850" s="1"/>
      <c r="DF850" s="1"/>
      <c r="DG850" s="1"/>
      <c r="DH850" s="1"/>
      <c r="DI850" s="1"/>
      <c r="DJ850" s="1"/>
      <c r="DK850" s="1"/>
      <c r="DL850" s="1"/>
      <c r="DM850" s="1"/>
      <c r="DN850" s="1"/>
      <c r="DO850" s="1"/>
      <c r="DP850" s="1"/>
      <c r="DQ850" s="1"/>
      <c r="DR850" s="1"/>
      <c r="DS850" s="1"/>
      <c r="DT850" s="1"/>
      <c r="DU850" s="1"/>
      <c r="DV850" s="1"/>
      <c r="DW850" s="1"/>
      <c r="DX850" s="1"/>
      <c r="DY850" s="1"/>
      <c r="DZ850" s="1"/>
      <c r="EA850" s="1"/>
      <c r="EB850" s="1"/>
      <c r="EC850" s="1"/>
      <c r="ED850" s="1"/>
      <c r="EE850" s="1"/>
      <c r="EF850" s="1"/>
      <c r="EG850" s="1"/>
      <c r="EH850" s="1"/>
      <c r="EI850" s="1"/>
      <c r="EJ850" s="1"/>
      <c r="EK850" s="1"/>
      <c r="EL850" s="1"/>
      <c r="EM850" s="1"/>
      <c r="EN850" s="1"/>
      <c r="EO850" s="1"/>
      <c r="EP850" s="1"/>
      <c r="EQ850" s="1"/>
      <c r="ER850" s="1"/>
      <c r="ES850" s="1"/>
      <c r="ET850" s="1"/>
      <c r="EU850" s="1"/>
      <c r="EV850" s="1"/>
      <c r="EW850" s="1"/>
      <c r="EX850" s="1"/>
      <c r="EY850" s="1"/>
      <c r="EZ850" s="1"/>
      <c r="FA850" s="1"/>
      <c r="FB850" s="1"/>
      <c r="FC850" s="1"/>
      <c r="FD850" s="1"/>
      <c r="FE850" s="1"/>
      <c r="FF850" s="1"/>
      <c r="FG850" s="1"/>
      <c r="FH850" s="1"/>
      <c r="FI850" s="1"/>
      <c r="FJ850" s="1"/>
      <c r="FK850" s="1"/>
      <c r="FL850" s="1"/>
      <c r="FM850" s="1"/>
      <c r="FN850" s="1"/>
      <c r="FO850" s="1"/>
      <c r="FP850" s="1"/>
      <c r="FQ850" s="1"/>
      <c r="FR850" s="2"/>
      <c r="FS850" s="1"/>
    </row>
    <row r="851" spans="1:175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R851" s="1"/>
      <c r="S851" s="1"/>
      <c r="T851" s="1"/>
      <c r="U851" s="1"/>
      <c r="V851" s="1"/>
      <c r="Y851" s="1"/>
      <c r="Z851" s="2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U851" s="1"/>
      <c r="AW851" s="1"/>
      <c r="AX851" s="1"/>
      <c r="AY851" s="1"/>
      <c r="AZ851" s="1"/>
      <c r="BA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  <c r="DC851" s="1"/>
      <c r="DD851" s="1"/>
      <c r="DE851" s="1"/>
      <c r="DF851" s="1"/>
      <c r="DG851" s="1"/>
      <c r="DH851" s="1"/>
      <c r="DI851" s="1"/>
      <c r="DJ851" s="1"/>
      <c r="DK851" s="1"/>
      <c r="DL851" s="1"/>
      <c r="DM851" s="1"/>
      <c r="DN851" s="1"/>
      <c r="DO851" s="1"/>
      <c r="DP851" s="1"/>
      <c r="DQ851" s="1"/>
      <c r="DR851" s="1"/>
      <c r="DS851" s="1"/>
      <c r="DT851" s="1"/>
      <c r="DU851" s="1"/>
      <c r="DV851" s="1"/>
      <c r="DW851" s="1"/>
      <c r="DX851" s="1"/>
      <c r="DY851" s="1"/>
      <c r="DZ851" s="1"/>
      <c r="EA851" s="1"/>
      <c r="EB851" s="1"/>
      <c r="EC851" s="1"/>
      <c r="ED851" s="1"/>
      <c r="EE851" s="1"/>
      <c r="EF851" s="1"/>
      <c r="EG851" s="1"/>
      <c r="EH851" s="1"/>
      <c r="EI851" s="1"/>
      <c r="EJ851" s="1"/>
      <c r="EK851" s="1"/>
      <c r="EL851" s="1"/>
      <c r="EM851" s="1"/>
      <c r="EN851" s="1"/>
      <c r="EO851" s="1"/>
      <c r="EP851" s="1"/>
      <c r="EQ851" s="1"/>
      <c r="ER851" s="1"/>
      <c r="ES851" s="1"/>
      <c r="ET851" s="1"/>
      <c r="EU851" s="1"/>
      <c r="EV851" s="1"/>
      <c r="EW851" s="1"/>
      <c r="EX851" s="1"/>
      <c r="EY851" s="1"/>
      <c r="EZ851" s="1"/>
      <c r="FA851" s="1"/>
      <c r="FB851" s="1"/>
      <c r="FC851" s="1"/>
      <c r="FD851" s="1"/>
      <c r="FE851" s="1"/>
      <c r="FF851" s="1"/>
      <c r="FG851" s="1"/>
      <c r="FH851" s="1"/>
      <c r="FI851" s="1"/>
      <c r="FJ851" s="1"/>
      <c r="FK851" s="1"/>
      <c r="FL851" s="1"/>
      <c r="FM851" s="1"/>
      <c r="FN851" s="1"/>
      <c r="FO851" s="1"/>
      <c r="FP851" s="1"/>
      <c r="FQ851" s="1"/>
      <c r="FR851" s="2"/>
      <c r="FS851" s="1"/>
    </row>
    <row r="852" spans="1:175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R852" s="1"/>
      <c r="S852" s="1"/>
      <c r="T852" s="1"/>
      <c r="U852" s="1"/>
      <c r="V852" s="1"/>
      <c r="Y852" s="1"/>
      <c r="Z852" s="2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U852" s="1"/>
      <c r="AW852" s="1"/>
      <c r="AX852" s="1"/>
      <c r="AY852" s="1"/>
      <c r="AZ852" s="1"/>
      <c r="BA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  <c r="DB852" s="1"/>
      <c r="DC852" s="1"/>
      <c r="DD852" s="1"/>
      <c r="DE852" s="1"/>
      <c r="DF852" s="1"/>
      <c r="DG852" s="1"/>
      <c r="DH852" s="1"/>
      <c r="DI852" s="1"/>
      <c r="DJ852" s="1"/>
      <c r="DK852" s="1"/>
      <c r="DL852" s="1"/>
      <c r="DM852" s="1"/>
      <c r="DN852" s="1"/>
      <c r="DO852" s="1"/>
      <c r="DP852" s="1"/>
      <c r="DQ852" s="1"/>
      <c r="DR852" s="1"/>
      <c r="DS852" s="1"/>
      <c r="DT852" s="1"/>
      <c r="DU852" s="1"/>
      <c r="DV852" s="1"/>
      <c r="DW852" s="1"/>
      <c r="DX852" s="1"/>
      <c r="DY852" s="1"/>
      <c r="DZ852" s="1"/>
      <c r="EA852" s="1"/>
      <c r="EB852" s="1"/>
      <c r="EC852" s="1"/>
      <c r="ED852" s="1"/>
      <c r="EE852" s="1"/>
      <c r="EF852" s="1"/>
      <c r="EG852" s="1"/>
      <c r="EH852" s="1"/>
      <c r="EI852" s="1"/>
      <c r="EJ852" s="1"/>
      <c r="EK852" s="1"/>
      <c r="EL852" s="1"/>
      <c r="EM852" s="1"/>
      <c r="EN852" s="1"/>
      <c r="EO852" s="1"/>
      <c r="EP852" s="1"/>
      <c r="EQ852" s="1"/>
      <c r="ER852" s="1"/>
      <c r="ES852" s="1"/>
      <c r="ET852" s="1"/>
      <c r="EU852" s="1"/>
      <c r="EV852" s="1"/>
      <c r="EW852" s="1"/>
      <c r="EX852" s="1"/>
      <c r="EY852" s="1"/>
      <c r="EZ852" s="1"/>
      <c r="FA852" s="1"/>
      <c r="FB852" s="1"/>
      <c r="FC852" s="1"/>
      <c r="FD852" s="1"/>
      <c r="FE852" s="1"/>
      <c r="FF852" s="1"/>
      <c r="FG852" s="1"/>
      <c r="FH852" s="1"/>
      <c r="FI852" s="1"/>
      <c r="FJ852" s="1"/>
      <c r="FK852" s="1"/>
      <c r="FL852" s="1"/>
      <c r="FM852" s="1"/>
      <c r="FN852" s="1"/>
      <c r="FO852" s="1"/>
      <c r="FP852" s="1"/>
      <c r="FQ852" s="1"/>
      <c r="FR852" s="2"/>
      <c r="FS852" s="1"/>
    </row>
    <row r="853" spans="1:175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R853" s="1"/>
      <c r="S853" s="1"/>
      <c r="T853" s="1"/>
      <c r="U853" s="1"/>
      <c r="V853" s="1"/>
      <c r="Y853" s="1"/>
      <c r="Z853" s="2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U853" s="1"/>
      <c r="AW853" s="1"/>
      <c r="AX853" s="1"/>
      <c r="AY853" s="1"/>
      <c r="AZ853" s="1"/>
      <c r="BA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  <c r="DB853" s="1"/>
      <c r="DC853" s="1"/>
      <c r="DD853" s="1"/>
      <c r="DE853" s="1"/>
      <c r="DF853" s="1"/>
      <c r="DG853" s="1"/>
      <c r="DH853" s="1"/>
      <c r="DI853" s="1"/>
      <c r="DJ853" s="1"/>
      <c r="DK853" s="1"/>
      <c r="DL853" s="1"/>
      <c r="DM853" s="1"/>
      <c r="DN853" s="1"/>
      <c r="DO853" s="1"/>
      <c r="DP853" s="1"/>
      <c r="DQ853" s="1"/>
      <c r="DR853" s="1"/>
      <c r="DS853" s="1"/>
      <c r="DT853" s="1"/>
      <c r="DU853" s="1"/>
      <c r="DV853" s="1"/>
      <c r="DW853" s="1"/>
      <c r="DX853" s="1"/>
      <c r="DY853" s="1"/>
      <c r="DZ853" s="1"/>
      <c r="EA853" s="1"/>
      <c r="EB853" s="1"/>
      <c r="EC853" s="1"/>
      <c r="ED853" s="1"/>
      <c r="EE853" s="1"/>
      <c r="EF853" s="1"/>
      <c r="EG853" s="1"/>
      <c r="EH853" s="1"/>
      <c r="EI853" s="1"/>
      <c r="EJ853" s="1"/>
      <c r="EK853" s="1"/>
      <c r="EL853" s="1"/>
      <c r="EM853" s="1"/>
      <c r="EN853" s="1"/>
      <c r="EO853" s="1"/>
      <c r="EP853" s="1"/>
      <c r="EQ853" s="1"/>
      <c r="ER853" s="1"/>
      <c r="ES853" s="1"/>
      <c r="ET853" s="1"/>
      <c r="EU853" s="1"/>
      <c r="EV853" s="1"/>
      <c r="EW853" s="1"/>
      <c r="EX853" s="1"/>
      <c r="EY853" s="1"/>
      <c r="EZ853" s="1"/>
      <c r="FA853" s="1"/>
      <c r="FB853" s="1"/>
      <c r="FC853" s="1"/>
      <c r="FD853" s="1"/>
      <c r="FE853" s="1"/>
      <c r="FF853" s="1"/>
      <c r="FG853" s="1"/>
      <c r="FH853" s="1"/>
      <c r="FI853" s="1"/>
      <c r="FJ853" s="1"/>
      <c r="FK853" s="1"/>
      <c r="FL853" s="1"/>
      <c r="FM853" s="1"/>
      <c r="FN853" s="1"/>
      <c r="FO853" s="1"/>
      <c r="FP853" s="1"/>
      <c r="FQ853" s="1"/>
      <c r="FR853" s="2"/>
      <c r="FS853" s="1"/>
    </row>
    <row r="854" spans="1:175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R854" s="1"/>
      <c r="S854" s="1"/>
      <c r="T854" s="1"/>
      <c r="U854" s="1"/>
      <c r="V854" s="1"/>
      <c r="Y854" s="1"/>
      <c r="Z854" s="2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U854" s="1"/>
      <c r="AW854" s="1"/>
      <c r="AX854" s="1"/>
      <c r="AY854" s="1"/>
      <c r="AZ854" s="1"/>
      <c r="BA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  <c r="DB854" s="1"/>
      <c r="DC854" s="1"/>
      <c r="DD854" s="1"/>
      <c r="DE854" s="1"/>
      <c r="DF854" s="1"/>
      <c r="DG854" s="1"/>
      <c r="DH854" s="1"/>
      <c r="DI854" s="1"/>
      <c r="DJ854" s="1"/>
      <c r="DK854" s="1"/>
      <c r="DL854" s="1"/>
      <c r="DM854" s="1"/>
      <c r="DN854" s="1"/>
      <c r="DO854" s="1"/>
      <c r="DP854" s="1"/>
      <c r="DQ854" s="1"/>
      <c r="DR854" s="1"/>
      <c r="DS854" s="1"/>
      <c r="DT854" s="1"/>
      <c r="DU854" s="1"/>
      <c r="DV854" s="1"/>
      <c r="DW854" s="1"/>
      <c r="DX854" s="1"/>
      <c r="DY854" s="1"/>
      <c r="DZ854" s="1"/>
      <c r="EA854" s="1"/>
      <c r="EB854" s="1"/>
      <c r="EC854" s="1"/>
      <c r="ED854" s="1"/>
      <c r="EE854" s="1"/>
      <c r="EF854" s="1"/>
      <c r="EG854" s="1"/>
      <c r="EH854" s="1"/>
      <c r="EI854" s="1"/>
      <c r="EJ854" s="1"/>
      <c r="EK854" s="1"/>
      <c r="EL854" s="1"/>
      <c r="EM854" s="1"/>
      <c r="EN854" s="1"/>
      <c r="EO854" s="1"/>
      <c r="EP854" s="1"/>
      <c r="EQ854" s="1"/>
      <c r="ER854" s="1"/>
      <c r="ES854" s="1"/>
      <c r="ET854" s="1"/>
      <c r="EU854" s="1"/>
      <c r="EV854" s="1"/>
      <c r="EW854" s="1"/>
      <c r="EX854" s="1"/>
      <c r="EY854" s="1"/>
      <c r="EZ854" s="1"/>
      <c r="FA854" s="1"/>
      <c r="FB854" s="1"/>
      <c r="FC854" s="1"/>
      <c r="FD854" s="1"/>
      <c r="FE854" s="1"/>
      <c r="FF854" s="1"/>
      <c r="FG854" s="1"/>
      <c r="FH854" s="1"/>
      <c r="FI854" s="1"/>
      <c r="FJ854" s="1"/>
      <c r="FK854" s="1"/>
      <c r="FL854" s="1"/>
      <c r="FM854" s="1"/>
      <c r="FN854" s="1"/>
      <c r="FO854" s="1"/>
      <c r="FP854" s="1"/>
      <c r="FQ854" s="1"/>
      <c r="FR854" s="2"/>
      <c r="FS854" s="1"/>
    </row>
    <row r="855" spans="1:175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R855" s="1"/>
      <c r="S855" s="1"/>
      <c r="T855" s="1"/>
      <c r="U855" s="1"/>
      <c r="V855" s="1"/>
      <c r="Y855" s="1"/>
      <c r="Z855" s="2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U855" s="1"/>
      <c r="AW855" s="1"/>
      <c r="AX855" s="1"/>
      <c r="AY855" s="1"/>
      <c r="AZ855" s="1"/>
      <c r="BA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  <c r="DB855" s="1"/>
      <c r="DC855" s="1"/>
      <c r="DD855" s="1"/>
      <c r="DE855" s="1"/>
      <c r="DF855" s="1"/>
      <c r="DG855" s="1"/>
      <c r="DH855" s="1"/>
      <c r="DI855" s="1"/>
      <c r="DJ855" s="1"/>
      <c r="DK855" s="1"/>
      <c r="DL855" s="1"/>
      <c r="DM855" s="1"/>
      <c r="DN855" s="1"/>
      <c r="DO855" s="1"/>
      <c r="DP855" s="1"/>
      <c r="DQ855" s="1"/>
      <c r="DR855" s="1"/>
      <c r="DS855" s="1"/>
      <c r="DT855" s="1"/>
      <c r="DU855" s="1"/>
      <c r="DV855" s="1"/>
      <c r="DW855" s="1"/>
      <c r="DX855" s="1"/>
      <c r="DY855" s="1"/>
      <c r="DZ855" s="1"/>
      <c r="EA855" s="1"/>
      <c r="EB855" s="1"/>
      <c r="EC855" s="1"/>
      <c r="ED855" s="1"/>
      <c r="EE855" s="1"/>
      <c r="EF855" s="1"/>
      <c r="EG855" s="1"/>
      <c r="EH855" s="1"/>
      <c r="EI855" s="1"/>
      <c r="EJ855" s="1"/>
      <c r="EK855" s="1"/>
      <c r="EL855" s="1"/>
      <c r="EM855" s="1"/>
      <c r="EN855" s="1"/>
      <c r="EO855" s="1"/>
      <c r="EP855" s="1"/>
      <c r="EQ855" s="1"/>
      <c r="ER855" s="1"/>
      <c r="ES855" s="1"/>
      <c r="ET855" s="1"/>
      <c r="EU855" s="1"/>
      <c r="EV855" s="1"/>
      <c r="EW855" s="1"/>
      <c r="EX855" s="1"/>
      <c r="EY855" s="1"/>
      <c r="EZ855" s="1"/>
      <c r="FA855" s="1"/>
      <c r="FB855" s="1"/>
      <c r="FC855" s="1"/>
      <c r="FD855" s="1"/>
      <c r="FE855" s="1"/>
      <c r="FF855" s="1"/>
      <c r="FG855" s="1"/>
      <c r="FH855" s="1"/>
      <c r="FI855" s="1"/>
      <c r="FJ855" s="1"/>
      <c r="FK855" s="1"/>
      <c r="FL855" s="1"/>
      <c r="FM855" s="1"/>
      <c r="FN855" s="1"/>
      <c r="FO855" s="1"/>
      <c r="FP855" s="1"/>
      <c r="FQ855" s="1"/>
      <c r="FR855" s="2"/>
      <c r="FS855" s="1"/>
    </row>
    <row r="856" spans="1:175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R856" s="1"/>
      <c r="S856" s="1"/>
      <c r="T856" s="1"/>
      <c r="U856" s="1"/>
      <c r="V856" s="1"/>
      <c r="Y856" s="1"/>
      <c r="Z856" s="2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U856" s="1"/>
      <c r="AW856" s="1"/>
      <c r="AX856" s="1"/>
      <c r="AY856" s="1"/>
      <c r="AZ856" s="1"/>
      <c r="BA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  <c r="DB856" s="1"/>
      <c r="DC856" s="1"/>
      <c r="DD856" s="1"/>
      <c r="DE856" s="1"/>
      <c r="DF856" s="1"/>
      <c r="DG856" s="1"/>
      <c r="DH856" s="1"/>
      <c r="DI856" s="1"/>
      <c r="DJ856" s="1"/>
      <c r="DK856" s="1"/>
      <c r="DL856" s="1"/>
      <c r="DM856" s="1"/>
      <c r="DN856" s="1"/>
      <c r="DO856" s="1"/>
      <c r="DP856" s="1"/>
      <c r="DQ856" s="1"/>
      <c r="DR856" s="1"/>
      <c r="DS856" s="1"/>
      <c r="DT856" s="1"/>
      <c r="DU856" s="1"/>
      <c r="DV856" s="1"/>
      <c r="DW856" s="1"/>
      <c r="DX856" s="1"/>
      <c r="DY856" s="1"/>
      <c r="DZ856" s="1"/>
      <c r="EA856" s="1"/>
      <c r="EB856" s="1"/>
      <c r="EC856" s="1"/>
      <c r="ED856" s="1"/>
      <c r="EE856" s="1"/>
      <c r="EF856" s="1"/>
      <c r="EG856" s="1"/>
      <c r="EH856" s="1"/>
      <c r="EI856" s="1"/>
      <c r="EJ856" s="1"/>
      <c r="EK856" s="1"/>
      <c r="EL856" s="1"/>
      <c r="EM856" s="1"/>
      <c r="EN856" s="1"/>
      <c r="EO856" s="1"/>
      <c r="EP856" s="1"/>
      <c r="EQ856" s="1"/>
      <c r="ER856" s="1"/>
      <c r="ES856" s="1"/>
      <c r="ET856" s="1"/>
      <c r="EU856" s="1"/>
      <c r="EV856" s="1"/>
      <c r="EW856" s="1"/>
      <c r="EX856" s="1"/>
      <c r="EY856" s="1"/>
      <c r="EZ856" s="1"/>
      <c r="FA856" s="1"/>
      <c r="FB856" s="1"/>
      <c r="FC856" s="1"/>
      <c r="FD856" s="1"/>
      <c r="FE856" s="1"/>
      <c r="FF856" s="1"/>
      <c r="FG856" s="1"/>
      <c r="FH856" s="1"/>
      <c r="FI856" s="1"/>
      <c r="FJ856" s="1"/>
      <c r="FK856" s="1"/>
      <c r="FL856" s="1"/>
      <c r="FM856" s="1"/>
      <c r="FN856" s="1"/>
      <c r="FO856" s="1"/>
      <c r="FP856" s="1"/>
      <c r="FQ856" s="1"/>
      <c r="FR856" s="2"/>
      <c r="FS856" s="1"/>
    </row>
    <row r="857" spans="1:175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R857" s="1"/>
      <c r="S857" s="1"/>
      <c r="T857" s="1"/>
      <c r="U857" s="1"/>
      <c r="V857" s="1"/>
      <c r="Y857" s="1"/>
      <c r="Z857" s="2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U857" s="1"/>
      <c r="AW857" s="1"/>
      <c r="AX857" s="1"/>
      <c r="AY857" s="1"/>
      <c r="AZ857" s="1"/>
      <c r="BA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  <c r="DB857" s="1"/>
      <c r="DC857" s="1"/>
      <c r="DD857" s="1"/>
      <c r="DE857" s="1"/>
      <c r="DF857" s="1"/>
      <c r="DG857" s="1"/>
      <c r="DH857" s="1"/>
      <c r="DI857" s="1"/>
      <c r="DJ857" s="1"/>
      <c r="DK857" s="1"/>
      <c r="DL857" s="1"/>
      <c r="DM857" s="1"/>
      <c r="DN857" s="1"/>
      <c r="DO857" s="1"/>
      <c r="DP857" s="1"/>
      <c r="DQ857" s="1"/>
      <c r="DR857" s="1"/>
      <c r="DS857" s="1"/>
      <c r="DT857" s="1"/>
      <c r="DU857" s="1"/>
      <c r="DV857" s="1"/>
      <c r="DW857" s="1"/>
      <c r="DX857" s="1"/>
      <c r="DY857" s="1"/>
      <c r="DZ857" s="1"/>
      <c r="EA857" s="1"/>
      <c r="EB857" s="1"/>
      <c r="EC857" s="1"/>
      <c r="ED857" s="1"/>
      <c r="EE857" s="1"/>
      <c r="EF857" s="1"/>
      <c r="EG857" s="1"/>
      <c r="EH857" s="1"/>
      <c r="EI857" s="1"/>
      <c r="EJ857" s="1"/>
      <c r="EK857" s="1"/>
      <c r="EL857" s="1"/>
      <c r="EM857" s="1"/>
      <c r="EN857" s="1"/>
      <c r="EO857" s="1"/>
      <c r="EP857" s="1"/>
      <c r="EQ857" s="1"/>
      <c r="ER857" s="1"/>
      <c r="ES857" s="1"/>
      <c r="ET857" s="1"/>
      <c r="EU857" s="1"/>
      <c r="EV857" s="1"/>
      <c r="EW857" s="1"/>
      <c r="EX857" s="1"/>
      <c r="EY857" s="1"/>
      <c r="EZ857" s="1"/>
      <c r="FA857" s="1"/>
      <c r="FB857" s="1"/>
      <c r="FC857" s="1"/>
      <c r="FD857" s="1"/>
      <c r="FE857" s="1"/>
      <c r="FF857" s="1"/>
      <c r="FG857" s="1"/>
      <c r="FH857" s="1"/>
      <c r="FI857" s="1"/>
      <c r="FJ857" s="1"/>
      <c r="FK857" s="1"/>
      <c r="FL857" s="1"/>
      <c r="FM857" s="1"/>
      <c r="FN857" s="1"/>
      <c r="FO857" s="1"/>
      <c r="FP857" s="1"/>
      <c r="FQ857" s="1"/>
      <c r="FR857" s="2"/>
      <c r="FS857" s="1"/>
    </row>
    <row r="858" spans="1:175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R858" s="1"/>
      <c r="S858" s="1"/>
      <c r="T858" s="1"/>
      <c r="U858" s="1"/>
      <c r="V858" s="1"/>
      <c r="Y858" s="1"/>
      <c r="Z858" s="2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U858" s="1"/>
      <c r="AW858" s="1"/>
      <c r="AX858" s="1"/>
      <c r="AY858" s="1"/>
      <c r="AZ858" s="1"/>
      <c r="BA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  <c r="DB858" s="1"/>
      <c r="DC858" s="1"/>
      <c r="DD858" s="1"/>
      <c r="DE858" s="1"/>
      <c r="DF858" s="1"/>
      <c r="DG858" s="1"/>
      <c r="DH858" s="1"/>
      <c r="DI858" s="1"/>
      <c r="DJ858" s="1"/>
      <c r="DK858" s="1"/>
      <c r="DL858" s="1"/>
      <c r="DM858" s="1"/>
      <c r="DN858" s="1"/>
      <c r="DO858" s="1"/>
      <c r="DP858" s="1"/>
      <c r="DQ858" s="1"/>
      <c r="DR858" s="1"/>
      <c r="DS858" s="1"/>
      <c r="DT858" s="1"/>
      <c r="DU858" s="1"/>
      <c r="DV858" s="1"/>
      <c r="DW858" s="1"/>
      <c r="DX858" s="1"/>
      <c r="DY858" s="1"/>
      <c r="DZ858" s="1"/>
      <c r="EA858" s="1"/>
      <c r="EB858" s="1"/>
      <c r="EC858" s="1"/>
      <c r="ED858" s="1"/>
      <c r="EE858" s="1"/>
      <c r="EF858" s="1"/>
      <c r="EG858" s="1"/>
      <c r="EH858" s="1"/>
      <c r="EI858" s="1"/>
      <c r="EJ858" s="1"/>
      <c r="EK858" s="1"/>
      <c r="EL858" s="1"/>
      <c r="EM858" s="1"/>
      <c r="EN858" s="1"/>
      <c r="EO858" s="1"/>
      <c r="EP858" s="1"/>
      <c r="EQ858" s="1"/>
      <c r="ER858" s="1"/>
      <c r="ES858" s="1"/>
      <c r="ET858" s="1"/>
      <c r="EU858" s="1"/>
      <c r="EV858" s="1"/>
      <c r="EW858" s="1"/>
      <c r="EX858" s="1"/>
      <c r="EY858" s="1"/>
      <c r="EZ858" s="1"/>
      <c r="FA858" s="1"/>
      <c r="FB858" s="1"/>
      <c r="FC858" s="1"/>
      <c r="FD858" s="1"/>
      <c r="FE858" s="1"/>
      <c r="FF858" s="1"/>
      <c r="FG858" s="1"/>
      <c r="FH858" s="1"/>
      <c r="FI858" s="1"/>
      <c r="FJ858" s="1"/>
      <c r="FK858" s="1"/>
      <c r="FL858" s="1"/>
      <c r="FM858" s="1"/>
      <c r="FN858" s="1"/>
      <c r="FO858" s="1"/>
      <c r="FP858" s="1"/>
      <c r="FQ858" s="1"/>
      <c r="FR858" s="2"/>
      <c r="FS858" s="1"/>
    </row>
    <row r="859" spans="1:175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R859" s="1"/>
      <c r="S859" s="1"/>
      <c r="T859" s="1"/>
      <c r="U859" s="1"/>
      <c r="V859" s="1"/>
      <c r="Y859" s="1"/>
      <c r="Z859" s="2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U859" s="1"/>
      <c r="AW859" s="1"/>
      <c r="AX859" s="1"/>
      <c r="AY859" s="1"/>
      <c r="AZ859" s="1"/>
      <c r="BA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  <c r="DB859" s="1"/>
      <c r="DC859" s="1"/>
      <c r="DD859" s="1"/>
      <c r="DE859" s="1"/>
      <c r="DF859" s="1"/>
      <c r="DG859" s="1"/>
      <c r="DH859" s="1"/>
      <c r="DI859" s="1"/>
      <c r="DJ859" s="1"/>
      <c r="DK859" s="1"/>
      <c r="DL859" s="1"/>
      <c r="DM859" s="1"/>
      <c r="DN859" s="1"/>
      <c r="DO859" s="1"/>
      <c r="DP859" s="1"/>
      <c r="DQ859" s="1"/>
      <c r="DR859" s="1"/>
      <c r="DS859" s="1"/>
      <c r="DT859" s="1"/>
      <c r="DU859" s="1"/>
      <c r="DV859" s="1"/>
      <c r="DW859" s="1"/>
      <c r="DX859" s="1"/>
      <c r="DY859" s="1"/>
      <c r="DZ859" s="1"/>
      <c r="EA859" s="1"/>
      <c r="EB859" s="1"/>
      <c r="EC859" s="1"/>
      <c r="ED859" s="1"/>
      <c r="EE859" s="1"/>
      <c r="EF859" s="1"/>
      <c r="EG859" s="1"/>
      <c r="EH859" s="1"/>
      <c r="EI859" s="1"/>
      <c r="EJ859" s="1"/>
      <c r="EK859" s="1"/>
      <c r="EL859" s="1"/>
      <c r="EM859" s="1"/>
      <c r="EN859" s="1"/>
      <c r="EO859" s="1"/>
      <c r="EP859" s="1"/>
      <c r="EQ859" s="1"/>
      <c r="ER859" s="1"/>
      <c r="ES859" s="1"/>
      <c r="ET859" s="1"/>
      <c r="EU859" s="1"/>
      <c r="EV859" s="1"/>
      <c r="EW859" s="1"/>
      <c r="EX859" s="1"/>
      <c r="EY859" s="1"/>
      <c r="EZ859" s="1"/>
      <c r="FA859" s="1"/>
      <c r="FB859" s="1"/>
      <c r="FC859" s="1"/>
      <c r="FD859" s="1"/>
      <c r="FE859" s="1"/>
      <c r="FF859" s="1"/>
      <c r="FG859" s="1"/>
      <c r="FH859" s="1"/>
      <c r="FI859" s="1"/>
      <c r="FJ859" s="1"/>
      <c r="FK859" s="1"/>
      <c r="FL859" s="1"/>
      <c r="FM859" s="1"/>
      <c r="FN859" s="1"/>
      <c r="FO859" s="1"/>
      <c r="FP859" s="1"/>
      <c r="FQ859" s="1"/>
      <c r="FR859" s="2"/>
      <c r="FS859" s="1"/>
    </row>
    <row r="860" spans="1:175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R860" s="1"/>
      <c r="S860" s="1"/>
      <c r="T860" s="1"/>
      <c r="U860" s="1"/>
      <c r="V860" s="1"/>
      <c r="Y860" s="1"/>
      <c r="Z860" s="2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U860" s="1"/>
      <c r="AW860" s="1"/>
      <c r="AX860" s="1"/>
      <c r="AY860" s="1"/>
      <c r="AZ860" s="1"/>
      <c r="BA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  <c r="DB860" s="1"/>
      <c r="DC860" s="1"/>
      <c r="DD860" s="1"/>
      <c r="DE860" s="1"/>
      <c r="DF860" s="1"/>
      <c r="DG860" s="1"/>
      <c r="DH860" s="1"/>
      <c r="DI860" s="1"/>
      <c r="DJ860" s="1"/>
      <c r="DK860" s="1"/>
      <c r="DL860" s="1"/>
      <c r="DM860" s="1"/>
      <c r="DN860" s="1"/>
      <c r="DO860" s="1"/>
      <c r="DP860" s="1"/>
      <c r="DQ860" s="1"/>
      <c r="DR860" s="1"/>
      <c r="DS860" s="1"/>
      <c r="DT860" s="1"/>
      <c r="DU860" s="1"/>
      <c r="DV860" s="1"/>
      <c r="DW860" s="1"/>
      <c r="DX860" s="1"/>
      <c r="DY860" s="1"/>
      <c r="DZ860" s="1"/>
      <c r="EA860" s="1"/>
      <c r="EB860" s="1"/>
      <c r="EC860" s="1"/>
      <c r="ED860" s="1"/>
      <c r="EE860" s="1"/>
      <c r="EF860" s="1"/>
      <c r="EG860" s="1"/>
      <c r="EH860" s="1"/>
      <c r="EI860" s="1"/>
      <c r="EJ860" s="1"/>
      <c r="EK860" s="1"/>
      <c r="EL860" s="1"/>
      <c r="EM860" s="1"/>
      <c r="EN860" s="1"/>
      <c r="EO860" s="1"/>
      <c r="EP860" s="1"/>
      <c r="EQ860" s="1"/>
      <c r="ER860" s="1"/>
      <c r="ES860" s="1"/>
      <c r="ET860" s="1"/>
      <c r="EU860" s="1"/>
      <c r="EV860" s="1"/>
      <c r="EW860" s="1"/>
      <c r="EX860" s="1"/>
      <c r="EY860" s="1"/>
      <c r="EZ860" s="1"/>
      <c r="FA860" s="1"/>
      <c r="FB860" s="1"/>
      <c r="FC860" s="1"/>
      <c r="FD860" s="1"/>
      <c r="FE860" s="1"/>
      <c r="FF860" s="1"/>
      <c r="FG860" s="1"/>
      <c r="FH860" s="1"/>
      <c r="FI860" s="1"/>
      <c r="FJ860" s="1"/>
      <c r="FK860" s="1"/>
      <c r="FL860" s="1"/>
      <c r="FM860" s="1"/>
      <c r="FN860" s="1"/>
      <c r="FO860" s="1"/>
      <c r="FP860" s="1"/>
      <c r="FQ860" s="1"/>
      <c r="FR860" s="2"/>
      <c r="FS860" s="1"/>
    </row>
    <row r="861" spans="1:175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R861" s="1"/>
      <c r="S861" s="1"/>
      <c r="T861" s="1"/>
      <c r="U861" s="1"/>
      <c r="V861" s="1"/>
      <c r="Y861" s="1"/>
      <c r="Z861" s="2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U861" s="1"/>
      <c r="AW861" s="1"/>
      <c r="AX861" s="1"/>
      <c r="AY861" s="1"/>
      <c r="AZ861" s="1"/>
      <c r="BA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  <c r="DC861" s="1"/>
      <c r="DD861" s="1"/>
      <c r="DE861" s="1"/>
      <c r="DF861" s="1"/>
      <c r="DG861" s="1"/>
      <c r="DH861" s="1"/>
      <c r="DI861" s="1"/>
      <c r="DJ861" s="1"/>
      <c r="DK861" s="1"/>
      <c r="DL861" s="1"/>
      <c r="DM861" s="1"/>
      <c r="DN861" s="1"/>
      <c r="DO861" s="1"/>
      <c r="DP861" s="1"/>
      <c r="DQ861" s="1"/>
      <c r="DR861" s="1"/>
      <c r="DS861" s="1"/>
      <c r="DT861" s="1"/>
      <c r="DU861" s="1"/>
      <c r="DV861" s="1"/>
      <c r="DW861" s="1"/>
      <c r="DX861" s="1"/>
      <c r="DY861" s="1"/>
      <c r="DZ861" s="1"/>
      <c r="EA861" s="1"/>
      <c r="EB861" s="1"/>
      <c r="EC861" s="1"/>
      <c r="ED861" s="1"/>
      <c r="EE861" s="1"/>
      <c r="EF861" s="1"/>
      <c r="EG861" s="1"/>
      <c r="EH861" s="1"/>
      <c r="EI861" s="1"/>
      <c r="EJ861" s="1"/>
      <c r="EK861" s="1"/>
      <c r="EL861" s="1"/>
      <c r="EM861" s="1"/>
      <c r="EN861" s="1"/>
      <c r="EO861" s="1"/>
      <c r="EP861" s="1"/>
      <c r="EQ861" s="1"/>
      <c r="ER861" s="1"/>
      <c r="ES861" s="1"/>
      <c r="ET861" s="1"/>
      <c r="EU861" s="1"/>
      <c r="EV861" s="1"/>
      <c r="EW861" s="1"/>
      <c r="EX861" s="1"/>
      <c r="EY861" s="1"/>
      <c r="EZ861" s="1"/>
      <c r="FA861" s="1"/>
      <c r="FB861" s="1"/>
      <c r="FC861" s="1"/>
      <c r="FD861" s="1"/>
      <c r="FE861" s="1"/>
      <c r="FF861" s="1"/>
      <c r="FG861" s="1"/>
      <c r="FH861" s="1"/>
      <c r="FI861" s="1"/>
      <c r="FJ861" s="1"/>
      <c r="FK861" s="1"/>
      <c r="FL861" s="1"/>
      <c r="FM861" s="1"/>
      <c r="FN861" s="1"/>
      <c r="FO861" s="1"/>
      <c r="FP861" s="1"/>
      <c r="FQ861" s="1"/>
      <c r="FR861" s="2"/>
      <c r="FS861" s="1"/>
    </row>
    <row r="862" spans="1:175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R862" s="1"/>
      <c r="S862" s="1"/>
      <c r="T862" s="1"/>
      <c r="U862" s="1"/>
      <c r="V862" s="1"/>
      <c r="Y862" s="1"/>
      <c r="Z862" s="2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U862" s="1"/>
      <c r="AW862" s="1"/>
      <c r="AX862" s="1"/>
      <c r="AY862" s="1"/>
      <c r="AZ862" s="1"/>
      <c r="BA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  <c r="DB862" s="1"/>
      <c r="DC862" s="1"/>
      <c r="DD862" s="1"/>
      <c r="DE862" s="1"/>
      <c r="DF862" s="1"/>
      <c r="DG862" s="1"/>
      <c r="DH862" s="1"/>
      <c r="DI862" s="1"/>
      <c r="DJ862" s="1"/>
      <c r="DK862" s="1"/>
      <c r="DL862" s="1"/>
      <c r="DM862" s="1"/>
      <c r="DN862" s="1"/>
      <c r="DO862" s="1"/>
      <c r="DP862" s="1"/>
      <c r="DQ862" s="1"/>
      <c r="DR862" s="1"/>
      <c r="DS862" s="1"/>
      <c r="DT862" s="1"/>
      <c r="DU862" s="1"/>
      <c r="DV862" s="1"/>
      <c r="DW862" s="1"/>
      <c r="DX862" s="1"/>
      <c r="DY862" s="1"/>
      <c r="DZ862" s="1"/>
      <c r="EA862" s="1"/>
      <c r="EB862" s="1"/>
      <c r="EC862" s="1"/>
      <c r="ED862" s="1"/>
      <c r="EE862" s="1"/>
      <c r="EF862" s="1"/>
      <c r="EG862" s="1"/>
      <c r="EH862" s="1"/>
      <c r="EI862" s="1"/>
      <c r="EJ862" s="1"/>
      <c r="EK862" s="1"/>
      <c r="EL862" s="1"/>
      <c r="EM862" s="1"/>
      <c r="EN862" s="1"/>
      <c r="EO862" s="1"/>
      <c r="EP862" s="1"/>
      <c r="EQ862" s="1"/>
      <c r="ER862" s="1"/>
      <c r="ES862" s="1"/>
      <c r="ET862" s="1"/>
      <c r="EU862" s="1"/>
      <c r="EV862" s="1"/>
      <c r="EW862" s="1"/>
      <c r="EX862" s="1"/>
      <c r="EY862" s="1"/>
      <c r="EZ862" s="1"/>
      <c r="FA862" s="1"/>
      <c r="FB862" s="1"/>
      <c r="FC862" s="1"/>
      <c r="FD862" s="1"/>
      <c r="FE862" s="1"/>
      <c r="FF862" s="1"/>
      <c r="FG862" s="1"/>
      <c r="FH862" s="1"/>
      <c r="FI862" s="1"/>
      <c r="FJ862" s="1"/>
      <c r="FK862" s="1"/>
      <c r="FL862" s="1"/>
      <c r="FM862" s="1"/>
      <c r="FN862" s="1"/>
      <c r="FO862" s="1"/>
      <c r="FP862" s="1"/>
      <c r="FQ862" s="1"/>
      <c r="FR862" s="2"/>
      <c r="FS862" s="1"/>
    </row>
    <row r="863" spans="1:175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R863" s="1"/>
      <c r="S863" s="1"/>
      <c r="T863" s="1"/>
      <c r="U863" s="1"/>
      <c r="V863" s="1"/>
      <c r="Y863" s="1"/>
      <c r="Z863" s="2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U863" s="1"/>
      <c r="AW863" s="1"/>
      <c r="AX863" s="1"/>
      <c r="AY863" s="1"/>
      <c r="AZ863" s="1"/>
      <c r="BA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  <c r="DC863" s="1"/>
      <c r="DD863" s="1"/>
      <c r="DE863" s="1"/>
      <c r="DF863" s="1"/>
      <c r="DG863" s="1"/>
      <c r="DH863" s="1"/>
      <c r="DI863" s="1"/>
      <c r="DJ863" s="1"/>
      <c r="DK863" s="1"/>
      <c r="DL863" s="1"/>
      <c r="DM863" s="1"/>
      <c r="DN863" s="1"/>
      <c r="DO863" s="1"/>
      <c r="DP863" s="1"/>
      <c r="DQ863" s="1"/>
      <c r="DR863" s="1"/>
      <c r="DS863" s="1"/>
      <c r="DT863" s="1"/>
      <c r="DU863" s="1"/>
      <c r="DV863" s="1"/>
      <c r="DW863" s="1"/>
      <c r="DX863" s="1"/>
      <c r="DY863" s="1"/>
      <c r="DZ863" s="1"/>
      <c r="EA863" s="1"/>
      <c r="EB863" s="1"/>
      <c r="EC863" s="1"/>
      <c r="ED863" s="1"/>
      <c r="EE863" s="1"/>
      <c r="EF863" s="1"/>
      <c r="EG863" s="1"/>
      <c r="EH863" s="1"/>
      <c r="EI863" s="1"/>
      <c r="EJ863" s="1"/>
      <c r="EK863" s="1"/>
      <c r="EL863" s="1"/>
      <c r="EM863" s="1"/>
      <c r="EN863" s="1"/>
      <c r="EO863" s="1"/>
      <c r="EP863" s="1"/>
      <c r="EQ863" s="1"/>
      <c r="ER863" s="1"/>
      <c r="ES863" s="1"/>
      <c r="ET863" s="1"/>
      <c r="EU863" s="1"/>
      <c r="EV863" s="1"/>
      <c r="EW863" s="1"/>
      <c r="EX863" s="1"/>
      <c r="EY863" s="1"/>
      <c r="EZ863" s="1"/>
      <c r="FA863" s="1"/>
      <c r="FB863" s="1"/>
      <c r="FC863" s="1"/>
      <c r="FD863" s="1"/>
      <c r="FE863" s="1"/>
      <c r="FF863" s="1"/>
      <c r="FG863" s="1"/>
      <c r="FH863" s="1"/>
      <c r="FI863" s="1"/>
      <c r="FJ863" s="1"/>
      <c r="FK863" s="1"/>
      <c r="FL863" s="1"/>
      <c r="FM863" s="1"/>
      <c r="FN863" s="1"/>
      <c r="FO863" s="1"/>
      <c r="FP863" s="1"/>
      <c r="FQ863" s="1"/>
      <c r="FR863" s="2"/>
      <c r="FS863" s="1"/>
    </row>
    <row r="864" spans="1:175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R864" s="1"/>
      <c r="S864" s="1"/>
      <c r="T864" s="1"/>
      <c r="U864" s="1"/>
      <c r="V864" s="1"/>
      <c r="Y864" s="1"/>
      <c r="Z864" s="2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U864" s="1"/>
      <c r="AW864" s="1"/>
      <c r="AX864" s="1"/>
      <c r="AY864" s="1"/>
      <c r="AZ864" s="1"/>
      <c r="BA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  <c r="DB864" s="1"/>
      <c r="DC864" s="1"/>
      <c r="DD864" s="1"/>
      <c r="DE864" s="1"/>
      <c r="DF864" s="1"/>
      <c r="DG864" s="1"/>
      <c r="DH864" s="1"/>
      <c r="DI864" s="1"/>
      <c r="DJ864" s="1"/>
      <c r="DK864" s="1"/>
      <c r="DL864" s="1"/>
      <c r="DM864" s="1"/>
      <c r="DN864" s="1"/>
      <c r="DO864" s="1"/>
      <c r="DP864" s="1"/>
      <c r="DQ864" s="1"/>
      <c r="DR864" s="1"/>
      <c r="DS864" s="1"/>
      <c r="DT864" s="1"/>
      <c r="DU864" s="1"/>
      <c r="DV864" s="1"/>
      <c r="DW864" s="1"/>
      <c r="DX864" s="1"/>
      <c r="DY864" s="1"/>
      <c r="DZ864" s="1"/>
      <c r="EA864" s="1"/>
      <c r="EB864" s="1"/>
      <c r="EC864" s="1"/>
      <c r="ED864" s="1"/>
      <c r="EE864" s="1"/>
      <c r="EF864" s="1"/>
      <c r="EG864" s="1"/>
      <c r="EH864" s="1"/>
      <c r="EI864" s="1"/>
      <c r="EJ864" s="1"/>
      <c r="EK864" s="1"/>
      <c r="EL864" s="1"/>
      <c r="EM864" s="1"/>
      <c r="EN864" s="1"/>
      <c r="EO864" s="1"/>
      <c r="EP864" s="1"/>
      <c r="EQ864" s="1"/>
      <c r="ER864" s="1"/>
      <c r="ES864" s="1"/>
      <c r="ET864" s="1"/>
      <c r="EU864" s="1"/>
      <c r="EV864" s="1"/>
      <c r="EW864" s="1"/>
      <c r="EX864" s="1"/>
      <c r="EY864" s="1"/>
      <c r="EZ864" s="1"/>
      <c r="FA864" s="1"/>
      <c r="FB864" s="1"/>
      <c r="FC864" s="1"/>
      <c r="FD864" s="1"/>
      <c r="FE864" s="1"/>
      <c r="FF864" s="1"/>
      <c r="FG864" s="1"/>
      <c r="FH864" s="1"/>
      <c r="FI864" s="1"/>
      <c r="FJ864" s="1"/>
      <c r="FK864" s="1"/>
      <c r="FL864" s="1"/>
      <c r="FM864" s="1"/>
      <c r="FN864" s="1"/>
      <c r="FO864" s="1"/>
      <c r="FP864" s="1"/>
      <c r="FQ864" s="1"/>
      <c r="FR864" s="2"/>
      <c r="FS864" s="1"/>
    </row>
    <row r="865" spans="1:175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R865" s="1"/>
      <c r="S865" s="1"/>
      <c r="T865" s="1"/>
      <c r="U865" s="1"/>
      <c r="V865" s="1"/>
      <c r="Y865" s="1"/>
      <c r="Z865" s="2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U865" s="1"/>
      <c r="AW865" s="1"/>
      <c r="AX865" s="1"/>
      <c r="AY865" s="1"/>
      <c r="AZ865" s="1"/>
      <c r="BA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  <c r="DC865" s="1"/>
      <c r="DD865" s="1"/>
      <c r="DE865" s="1"/>
      <c r="DF865" s="1"/>
      <c r="DG865" s="1"/>
      <c r="DH865" s="1"/>
      <c r="DI865" s="1"/>
      <c r="DJ865" s="1"/>
      <c r="DK865" s="1"/>
      <c r="DL865" s="1"/>
      <c r="DM865" s="1"/>
      <c r="DN865" s="1"/>
      <c r="DO865" s="1"/>
      <c r="DP865" s="1"/>
      <c r="DQ865" s="1"/>
      <c r="DR865" s="1"/>
      <c r="DS865" s="1"/>
      <c r="DT865" s="1"/>
      <c r="DU865" s="1"/>
      <c r="DV865" s="1"/>
      <c r="DW865" s="1"/>
      <c r="DX865" s="1"/>
      <c r="DY865" s="1"/>
      <c r="DZ865" s="1"/>
      <c r="EA865" s="1"/>
      <c r="EB865" s="1"/>
      <c r="EC865" s="1"/>
      <c r="ED865" s="1"/>
      <c r="EE865" s="1"/>
      <c r="EF865" s="1"/>
      <c r="EG865" s="1"/>
      <c r="EH865" s="1"/>
      <c r="EI865" s="1"/>
      <c r="EJ865" s="1"/>
      <c r="EK865" s="1"/>
      <c r="EL865" s="1"/>
      <c r="EM865" s="1"/>
      <c r="EN865" s="1"/>
      <c r="EO865" s="1"/>
      <c r="EP865" s="1"/>
      <c r="EQ865" s="1"/>
      <c r="ER865" s="1"/>
      <c r="ES865" s="1"/>
      <c r="ET865" s="1"/>
      <c r="EU865" s="1"/>
      <c r="EV865" s="1"/>
      <c r="EW865" s="1"/>
      <c r="EX865" s="1"/>
      <c r="EY865" s="1"/>
      <c r="EZ865" s="1"/>
      <c r="FA865" s="1"/>
      <c r="FB865" s="1"/>
      <c r="FC865" s="1"/>
      <c r="FD865" s="1"/>
      <c r="FE865" s="1"/>
      <c r="FF865" s="1"/>
      <c r="FG865" s="1"/>
      <c r="FH865" s="1"/>
      <c r="FI865" s="1"/>
      <c r="FJ865" s="1"/>
      <c r="FK865" s="1"/>
      <c r="FL865" s="1"/>
      <c r="FM865" s="1"/>
      <c r="FN865" s="1"/>
      <c r="FO865" s="1"/>
      <c r="FP865" s="1"/>
      <c r="FQ865" s="1"/>
      <c r="FR865" s="2"/>
      <c r="FS865" s="1"/>
    </row>
    <row r="866" spans="1:175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R866" s="1"/>
      <c r="S866" s="1"/>
      <c r="T866" s="1"/>
      <c r="U866" s="1"/>
      <c r="V866" s="1"/>
      <c r="Y866" s="1"/>
      <c r="Z866" s="2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U866" s="1"/>
      <c r="AW866" s="1"/>
      <c r="AX866" s="1"/>
      <c r="AY866" s="1"/>
      <c r="AZ866" s="1"/>
      <c r="BA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  <c r="DB866" s="1"/>
      <c r="DC866" s="1"/>
      <c r="DD866" s="1"/>
      <c r="DE866" s="1"/>
      <c r="DF866" s="1"/>
      <c r="DG866" s="1"/>
      <c r="DH866" s="1"/>
      <c r="DI866" s="1"/>
      <c r="DJ866" s="1"/>
      <c r="DK866" s="1"/>
      <c r="DL866" s="1"/>
      <c r="DM866" s="1"/>
      <c r="DN866" s="1"/>
      <c r="DO866" s="1"/>
      <c r="DP866" s="1"/>
      <c r="DQ866" s="1"/>
      <c r="DR866" s="1"/>
      <c r="DS866" s="1"/>
      <c r="DT866" s="1"/>
      <c r="DU866" s="1"/>
      <c r="DV866" s="1"/>
      <c r="DW866" s="1"/>
      <c r="DX866" s="1"/>
      <c r="DY866" s="1"/>
      <c r="DZ866" s="1"/>
      <c r="EA866" s="1"/>
      <c r="EB866" s="1"/>
      <c r="EC866" s="1"/>
      <c r="ED866" s="1"/>
      <c r="EE866" s="1"/>
      <c r="EF866" s="1"/>
      <c r="EG866" s="1"/>
      <c r="EH866" s="1"/>
      <c r="EI866" s="1"/>
      <c r="EJ866" s="1"/>
      <c r="EK866" s="1"/>
      <c r="EL866" s="1"/>
      <c r="EM866" s="1"/>
      <c r="EN866" s="1"/>
      <c r="EO866" s="1"/>
      <c r="EP866" s="1"/>
      <c r="EQ866" s="1"/>
      <c r="ER866" s="1"/>
      <c r="ES866" s="1"/>
      <c r="ET866" s="1"/>
      <c r="EU866" s="1"/>
      <c r="EV866" s="1"/>
      <c r="EW866" s="1"/>
      <c r="EX866" s="1"/>
      <c r="EY866" s="1"/>
      <c r="EZ866" s="1"/>
      <c r="FA866" s="1"/>
      <c r="FB866" s="1"/>
      <c r="FC866" s="1"/>
      <c r="FD866" s="1"/>
      <c r="FE866" s="1"/>
      <c r="FF866" s="1"/>
      <c r="FG866" s="1"/>
      <c r="FH866" s="1"/>
      <c r="FI866" s="1"/>
      <c r="FJ866" s="1"/>
      <c r="FK866" s="1"/>
      <c r="FL866" s="1"/>
      <c r="FM866" s="1"/>
      <c r="FN866" s="1"/>
      <c r="FO866" s="1"/>
      <c r="FP866" s="1"/>
      <c r="FQ866" s="1"/>
      <c r="FR866" s="2"/>
      <c r="FS866" s="1"/>
    </row>
    <row r="867" spans="1:175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R867" s="1"/>
      <c r="S867" s="1"/>
      <c r="T867" s="1"/>
      <c r="U867" s="1"/>
      <c r="V867" s="1"/>
      <c r="Y867" s="1"/>
      <c r="Z867" s="2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U867" s="1"/>
      <c r="AW867" s="1"/>
      <c r="AX867" s="1"/>
      <c r="AY867" s="1"/>
      <c r="AZ867" s="1"/>
      <c r="BA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  <c r="DC867" s="1"/>
      <c r="DD867" s="1"/>
      <c r="DE867" s="1"/>
      <c r="DF867" s="1"/>
      <c r="DG867" s="1"/>
      <c r="DH867" s="1"/>
      <c r="DI867" s="1"/>
      <c r="DJ867" s="1"/>
      <c r="DK867" s="1"/>
      <c r="DL867" s="1"/>
      <c r="DM867" s="1"/>
      <c r="DN867" s="1"/>
      <c r="DO867" s="1"/>
      <c r="DP867" s="1"/>
      <c r="DQ867" s="1"/>
      <c r="DR867" s="1"/>
      <c r="DS867" s="1"/>
      <c r="DT867" s="1"/>
      <c r="DU867" s="1"/>
      <c r="DV867" s="1"/>
      <c r="DW867" s="1"/>
      <c r="DX867" s="1"/>
      <c r="DY867" s="1"/>
      <c r="DZ867" s="1"/>
      <c r="EA867" s="1"/>
      <c r="EB867" s="1"/>
      <c r="EC867" s="1"/>
      <c r="ED867" s="1"/>
      <c r="EE867" s="1"/>
      <c r="EF867" s="1"/>
      <c r="EG867" s="1"/>
      <c r="EH867" s="1"/>
      <c r="EI867" s="1"/>
      <c r="EJ867" s="1"/>
      <c r="EK867" s="1"/>
      <c r="EL867" s="1"/>
      <c r="EM867" s="1"/>
      <c r="EN867" s="1"/>
      <c r="EO867" s="1"/>
      <c r="EP867" s="1"/>
      <c r="EQ867" s="1"/>
      <c r="ER867" s="1"/>
      <c r="ES867" s="1"/>
      <c r="ET867" s="1"/>
      <c r="EU867" s="1"/>
      <c r="EV867" s="1"/>
      <c r="EW867" s="1"/>
      <c r="EX867" s="1"/>
      <c r="EY867" s="1"/>
      <c r="EZ867" s="1"/>
      <c r="FA867" s="1"/>
      <c r="FB867" s="1"/>
      <c r="FC867" s="1"/>
      <c r="FD867" s="1"/>
      <c r="FE867" s="1"/>
      <c r="FF867" s="1"/>
      <c r="FG867" s="1"/>
      <c r="FH867" s="1"/>
      <c r="FI867" s="1"/>
      <c r="FJ867" s="1"/>
      <c r="FK867" s="1"/>
      <c r="FL867" s="1"/>
      <c r="FM867" s="1"/>
      <c r="FN867" s="1"/>
      <c r="FO867" s="1"/>
      <c r="FP867" s="1"/>
      <c r="FQ867" s="1"/>
      <c r="FR867" s="2"/>
      <c r="FS867" s="1"/>
    </row>
    <row r="868" spans="1:175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R868" s="1"/>
      <c r="S868" s="1"/>
      <c r="T868" s="1"/>
      <c r="U868" s="1"/>
      <c r="V868" s="1"/>
      <c r="Y868" s="1"/>
      <c r="Z868" s="2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U868" s="1"/>
      <c r="AW868" s="1"/>
      <c r="AX868" s="1"/>
      <c r="AY868" s="1"/>
      <c r="AZ868" s="1"/>
      <c r="BA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  <c r="DC868" s="1"/>
      <c r="DD868" s="1"/>
      <c r="DE868" s="1"/>
      <c r="DF868" s="1"/>
      <c r="DG868" s="1"/>
      <c r="DH868" s="1"/>
      <c r="DI868" s="1"/>
      <c r="DJ868" s="1"/>
      <c r="DK868" s="1"/>
      <c r="DL868" s="1"/>
      <c r="DM868" s="1"/>
      <c r="DN868" s="1"/>
      <c r="DO868" s="1"/>
      <c r="DP868" s="1"/>
      <c r="DQ868" s="1"/>
      <c r="DR868" s="1"/>
      <c r="DS868" s="1"/>
      <c r="DT868" s="1"/>
      <c r="DU868" s="1"/>
      <c r="DV868" s="1"/>
      <c r="DW868" s="1"/>
      <c r="DX868" s="1"/>
      <c r="DY868" s="1"/>
      <c r="DZ868" s="1"/>
      <c r="EA868" s="1"/>
      <c r="EB868" s="1"/>
      <c r="EC868" s="1"/>
      <c r="ED868" s="1"/>
      <c r="EE868" s="1"/>
      <c r="EF868" s="1"/>
      <c r="EG868" s="1"/>
      <c r="EH868" s="1"/>
      <c r="EI868" s="1"/>
      <c r="EJ868" s="1"/>
      <c r="EK868" s="1"/>
      <c r="EL868" s="1"/>
      <c r="EM868" s="1"/>
      <c r="EN868" s="1"/>
      <c r="EO868" s="1"/>
      <c r="EP868" s="1"/>
      <c r="EQ868" s="1"/>
      <c r="ER868" s="1"/>
      <c r="ES868" s="1"/>
      <c r="ET868" s="1"/>
      <c r="EU868" s="1"/>
      <c r="EV868" s="1"/>
      <c r="EW868" s="1"/>
      <c r="EX868" s="1"/>
      <c r="EY868" s="1"/>
      <c r="EZ868" s="1"/>
      <c r="FA868" s="1"/>
      <c r="FB868" s="1"/>
      <c r="FC868" s="1"/>
      <c r="FD868" s="1"/>
      <c r="FE868" s="1"/>
      <c r="FF868" s="1"/>
      <c r="FG868" s="1"/>
      <c r="FH868" s="1"/>
      <c r="FI868" s="1"/>
      <c r="FJ868" s="1"/>
      <c r="FK868" s="1"/>
      <c r="FL868" s="1"/>
      <c r="FM868" s="1"/>
      <c r="FN868" s="1"/>
      <c r="FO868" s="1"/>
      <c r="FP868" s="1"/>
      <c r="FQ868" s="1"/>
      <c r="FR868" s="2"/>
      <c r="FS868" s="1"/>
    </row>
    <row r="869" spans="1:175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R869" s="1"/>
      <c r="S869" s="1"/>
      <c r="T869" s="1"/>
      <c r="U869" s="1"/>
      <c r="V869" s="1"/>
      <c r="Y869" s="1"/>
      <c r="Z869" s="2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U869" s="1"/>
      <c r="AW869" s="1"/>
      <c r="AX869" s="1"/>
      <c r="AY869" s="1"/>
      <c r="AZ869" s="1"/>
      <c r="BA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  <c r="DC869" s="1"/>
      <c r="DD869" s="1"/>
      <c r="DE869" s="1"/>
      <c r="DF869" s="1"/>
      <c r="DG869" s="1"/>
      <c r="DH869" s="1"/>
      <c r="DI869" s="1"/>
      <c r="DJ869" s="1"/>
      <c r="DK869" s="1"/>
      <c r="DL869" s="1"/>
      <c r="DM869" s="1"/>
      <c r="DN869" s="1"/>
      <c r="DO869" s="1"/>
      <c r="DP869" s="1"/>
      <c r="DQ869" s="1"/>
      <c r="DR869" s="1"/>
      <c r="DS869" s="1"/>
      <c r="DT869" s="1"/>
      <c r="DU869" s="1"/>
      <c r="DV869" s="1"/>
      <c r="DW869" s="1"/>
      <c r="DX869" s="1"/>
      <c r="DY869" s="1"/>
      <c r="DZ869" s="1"/>
      <c r="EA869" s="1"/>
      <c r="EB869" s="1"/>
      <c r="EC869" s="1"/>
      <c r="ED869" s="1"/>
      <c r="EE869" s="1"/>
      <c r="EF869" s="1"/>
      <c r="EG869" s="1"/>
      <c r="EH869" s="1"/>
      <c r="EI869" s="1"/>
      <c r="EJ869" s="1"/>
      <c r="EK869" s="1"/>
      <c r="EL869" s="1"/>
      <c r="EM869" s="1"/>
      <c r="EN869" s="1"/>
      <c r="EO869" s="1"/>
      <c r="EP869" s="1"/>
      <c r="EQ869" s="1"/>
      <c r="ER869" s="1"/>
      <c r="ES869" s="1"/>
      <c r="ET869" s="1"/>
      <c r="EU869" s="1"/>
      <c r="EV869" s="1"/>
      <c r="EW869" s="1"/>
      <c r="EX869" s="1"/>
      <c r="EY869" s="1"/>
      <c r="EZ869" s="1"/>
      <c r="FA869" s="1"/>
      <c r="FB869" s="1"/>
      <c r="FC869" s="1"/>
      <c r="FD869" s="1"/>
      <c r="FE869" s="1"/>
      <c r="FF869" s="1"/>
      <c r="FG869" s="1"/>
      <c r="FH869" s="1"/>
      <c r="FI869" s="1"/>
      <c r="FJ869" s="1"/>
      <c r="FK869" s="1"/>
      <c r="FL869" s="1"/>
      <c r="FM869" s="1"/>
      <c r="FN869" s="1"/>
      <c r="FO869" s="1"/>
      <c r="FP869" s="1"/>
      <c r="FQ869" s="1"/>
      <c r="FR869" s="2"/>
      <c r="FS869" s="1"/>
    </row>
    <row r="870" spans="1:175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R870" s="1"/>
      <c r="S870" s="1"/>
      <c r="T870" s="1"/>
      <c r="U870" s="1"/>
      <c r="V870" s="1"/>
      <c r="Y870" s="1"/>
      <c r="Z870" s="2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U870" s="1"/>
      <c r="AW870" s="1"/>
      <c r="AX870" s="1"/>
      <c r="AY870" s="1"/>
      <c r="AZ870" s="1"/>
      <c r="BA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  <c r="DB870" s="1"/>
      <c r="DC870" s="1"/>
      <c r="DD870" s="1"/>
      <c r="DE870" s="1"/>
      <c r="DF870" s="1"/>
      <c r="DG870" s="1"/>
      <c r="DH870" s="1"/>
      <c r="DI870" s="1"/>
      <c r="DJ870" s="1"/>
      <c r="DK870" s="1"/>
      <c r="DL870" s="1"/>
      <c r="DM870" s="1"/>
      <c r="DN870" s="1"/>
      <c r="DO870" s="1"/>
      <c r="DP870" s="1"/>
      <c r="DQ870" s="1"/>
      <c r="DR870" s="1"/>
      <c r="DS870" s="1"/>
      <c r="DT870" s="1"/>
      <c r="DU870" s="1"/>
      <c r="DV870" s="1"/>
      <c r="DW870" s="1"/>
      <c r="DX870" s="1"/>
      <c r="DY870" s="1"/>
      <c r="DZ870" s="1"/>
      <c r="EA870" s="1"/>
      <c r="EB870" s="1"/>
      <c r="EC870" s="1"/>
      <c r="ED870" s="1"/>
      <c r="EE870" s="1"/>
      <c r="EF870" s="1"/>
      <c r="EG870" s="1"/>
      <c r="EH870" s="1"/>
      <c r="EI870" s="1"/>
      <c r="EJ870" s="1"/>
      <c r="EK870" s="1"/>
      <c r="EL870" s="1"/>
      <c r="EM870" s="1"/>
      <c r="EN870" s="1"/>
      <c r="EO870" s="1"/>
      <c r="EP870" s="1"/>
      <c r="EQ870" s="1"/>
      <c r="ER870" s="1"/>
      <c r="ES870" s="1"/>
      <c r="ET870" s="1"/>
      <c r="EU870" s="1"/>
      <c r="EV870" s="1"/>
      <c r="EW870" s="1"/>
      <c r="EX870" s="1"/>
      <c r="EY870" s="1"/>
      <c r="EZ870" s="1"/>
      <c r="FA870" s="1"/>
      <c r="FB870" s="1"/>
      <c r="FC870" s="1"/>
      <c r="FD870" s="1"/>
      <c r="FE870" s="1"/>
      <c r="FF870" s="1"/>
      <c r="FG870" s="1"/>
      <c r="FH870" s="1"/>
      <c r="FI870" s="1"/>
      <c r="FJ870" s="1"/>
      <c r="FK870" s="1"/>
      <c r="FL870" s="1"/>
      <c r="FM870" s="1"/>
      <c r="FN870" s="1"/>
      <c r="FO870" s="1"/>
      <c r="FP870" s="1"/>
      <c r="FQ870" s="1"/>
      <c r="FR870" s="2"/>
      <c r="FS870" s="1"/>
    </row>
    <row r="871" spans="1:175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R871" s="1"/>
      <c r="S871" s="1"/>
      <c r="T871" s="1"/>
      <c r="U871" s="1"/>
      <c r="V871" s="1"/>
      <c r="Y871" s="1"/>
      <c r="Z871" s="2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U871" s="1"/>
      <c r="AW871" s="1"/>
      <c r="AX871" s="1"/>
      <c r="AY871" s="1"/>
      <c r="AZ871" s="1"/>
      <c r="BA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  <c r="DB871" s="1"/>
      <c r="DC871" s="1"/>
      <c r="DD871" s="1"/>
      <c r="DE871" s="1"/>
      <c r="DF871" s="1"/>
      <c r="DG871" s="1"/>
      <c r="DH871" s="1"/>
      <c r="DI871" s="1"/>
      <c r="DJ871" s="1"/>
      <c r="DK871" s="1"/>
      <c r="DL871" s="1"/>
      <c r="DM871" s="1"/>
      <c r="DN871" s="1"/>
      <c r="DO871" s="1"/>
      <c r="DP871" s="1"/>
      <c r="DQ871" s="1"/>
      <c r="DR871" s="1"/>
      <c r="DS871" s="1"/>
      <c r="DT871" s="1"/>
      <c r="DU871" s="1"/>
      <c r="DV871" s="1"/>
      <c r="DW871" s="1"/>
      <c r="DX871" s="1"/>
      <c r="DY871" s="1"/>
      <c r="DZ871" s="1"/>
      <c r="EA871" s="1"/>
      <c r="EB871" s="1"/>
      <c r="EC871" s="1"/>
      <c r="ED871" s="1"/>
      <c r="EE871" s="1"/>
      <c r="EF871" s="1"/>
      <c r="EG871" s="1"/>
      <c r="EH871" s="1"/>
      <c r="EI871" s="1"/>
      <c r="EJ871" s="1"/>
      <c r="EK871" s="1"/>
      <c r="EL871" s="1"/>
      <c r="EM871" s="1"/>
      <c r="EN871" s="1"/>
      <c r="EO871" s="1"/>
      <c r="EP871" s="1"/>
      <c r="EQ871" s="1"/>
      <c r="ER871" s="1"/>
      <c r="ES871" s="1"/>
      <c r="ET871" s="1"/>
      <c r="EU871" s="1"/>
      <c r="EV871" s="1"/>
      <c r="EW871" s="1"/>
      <c r="EX871" s="1"/>
      <c r="EY871" s="1"/>
      <c r="EZ871" s="1"/>
      <c r="FA871" s="1"/>
      <c r="FB871" s="1"/>
      <c r="FC871" s="1"/>
      <c r="FD871" s="1"/>
      <c r="FE871" s="1"/>
      <c r="FF871" s="1"/>
      <c r="FG871" s="1"/>
      <c r="FH871" s="1"/>
      <c r="FI871" s="1"/>
      <c r="FJ871" s="1"/>
      <c r="FK871" s="1"/>
      <c r="FL871" s="1"/>
      <c r="FM871" s="1"/>
      <c r="FN871" s="1"/>
      <c r="FO871" s="1"/>
      <c r="FP871" s="1"/>
      <c r="FQ871" s="1"/>
      <c r="FR871" s="2"/>
      <c r="FS871" s="1"/>
    </row>
    <row r="872" spans="1:175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R872" s="1"/>
      <c r="S872" s="1"/>
      <c r="T872" s="1"/>
      <c r="U872" s="1"/>
      <c r="V872" s="1"/>
      <c r="Y872" s="1"/>
      <c r="Z872" s="2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U872" s="1"/>
      <c r="AW872" s="1"/>
      <c r="AX872" s="1"/>
      <c r="AY872" s="1"/>
      <c r="AZ872" s="1"/>
      <c r="BA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  <c r="DB872" s="1"/>
      <c r="DC872" s="1"/>
      <c r="DD872" s="1"/>
      <c r="DE872" s="1"/>
      <c r="DF872" s="1"/>
      <c r="DG872" s="1"/>
      <c r="DH872" s="1"/>
      <c r="DI872" s="1"/>
      <c r="DJ872" s="1"/>
      <c r="DK872" s="1"/>
      <c r="DL872" s="1"/>
      <c r="DM872" s="1"/>
      <c r="DN872" s="1"/>
      <c r="DO872" s="1"/>
      <c r="DP872" s="1"/>
      <c r="DQ872" s="1"/>
      <c r="DR872" s="1"/>
      <c r="DS872" s="1"/>
      <c r="DT872" s="1"/>
      <c r="DU872" s="1"/>
      <c r="DV872" s="1"/>
      <c r="DW872" s="1"/>
      <c r="DX872" s="1"/>
      <c r="DY872" s="1"/>
      <c r="DZ872" s="1"/>
      <c r="EA872" s="1"/>
      <c r="EB872" s="1"/>
      <c r="EC872" s="1"/>
      <c r="ED872" s="1"/>
      <c r="EE872" s="1"/>
      <c r="EF872" s="1"/>
      <c r="EG872" s="1"/>
      <c r="EH872" s="1"/>
      <c r="EI872" s="1"/>
      <c r="EJ872" s="1"/>
      <c r="EK872" s="1"/>
      <c r="EL872" s="1"/>
      <c r="EM872" s="1"/>
      <c r="EN872" s="1"/>
      <c r="EO872" s="1"/>
      <c r="EP872" s="1"/>
      <c r="EQ872" s="1"/>
      <c r="ER872" s="1"/>
      <c r="ES872" s="1"/>
      <c r="ET872" s="1"/>
      <c r="EU872" s="1"/>
      <c r="EV872" s="1"/>
      <c r="EW872" s="1"/>
      <c r="EX872" s="1"/>
      <c r="EY872" s="1"/>
      <c r="EZ872" s="1"/>
      <c r="FA872" s="1"/>
      <c r="FB872" s="1"/>
      <c r="FC872" s="1"/>
      <c r="FD872" s="1"/>
      <c r="FE872" s="1"/>
      <c r="FF872" s="1"/>
      <c r="FG872" s="1"/>
      <c r="FH872" s="1"/>
      <c r="FI872" s="1"/>
      <c r="FJ872" s="1"/>
      <c r="FK872" s="1"/>
      <c r="FL872" s="1"/>
      <c r="FM872" s="1"/>
      <c r="FN872" s="1"/>
      <c r="FO872" s="1"/>
      <c r="FP872" s="1"/>
      <c r="FQ872" s="1"/>
      <c r="FR872" s="2"/>
      <c r="FS872" s="1"/>
    </row>
    <row r="873" spans="1:175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R873" s="1"/>
      <c r="S873" s="1"/>
      <c r="T873" s="1"/>
      <c r="U873" s="1"/>
      <c r="V873" s="1"/>
      <c r="Y873" s="1"/>
      <c r="Z873" s="2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U873" s="1"/>
      <c r="AW873" s="1"/>
      <c r="AX873" s="1"/>
      <c r="AY873" s="1"/>
      <c r="AZ873" s="1"/>
      <c r="BA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  <c r="DB873" s="1"/>
      <c r="DC873" s="1"/>
      <c r="DD873" s="1"/>
      <c r="DE873" s="1"/>
      <c r="DF873" s="1"/>
      <c r="DG873" s="1"/>
      <c r="DH873" s="1"/>
      <c r="DI873" s="1"/>
      <c r="DJ873" s="1"/>
      <c r="DK873" s="1"/>
      <c r="DL873" s="1"/>
      <c r="DM873" s="1"/>
      <c r="DN873" s="1"/>
      <c r="DO873" s="1"/>
      <c r="DP873" s="1"/>
      <c r="DQ873" s="1"/>
      <c r="DR873" s="1"/>
      <c r="DS873" s="1"/>
      <c r="DT873" s="1"/>
      <c r="DU873" s="1"/>
      <c r="DV873" s="1"/>
      <c r="DW873" s="1"/>
      <c r="DX873" s="1"/>
      <c r="DY873" s="1"/>
      <c r="DZ873" s="1"/>
      <c r="EA873" s="1"/>
      <c r="EB873" s="1"/>
      <c r="EC873" s="1"/>
      <c r="ED873" s="1"/>
      <c r="EE873" s="1"/>
      <c r="EF873" s="1"/>
      <c r="EG873" s="1"/>
      <c r="EH873" s="1"/>
      <c r="EI873" s="1"/>
      <c r="EJ873" s="1"/>
      <c r="EK873" s="1"/>
      <c r="EL873" s="1"/>
      <c r="EM873" s="1"/>
      <c r="EN873" s="1"/>
      <c r="EO873" s="1"/>
      <c r="EP873" s="1"/>
      <c r="EQ873" s="1"/>
      <c r="ER873" s="1"/>
      <c r="ES873" s="1"/>
      <c r="ET873" s="1"/>
      <c r="EU873" s="1"/>
      <c r="EV873" s="1"/>
      <c r="EW873" s="1"/>
      <c r="EX873" s="1"/>
      <c r="EY873" s="1"/>
      <c r="EZ873" s="1"/>
      <c r="FA873" s="1"/>
      <c r="FB873" s="1"/>
      <c r="FC873" s="1"/>
      <c r="FD873" s="1"/>
      <c r="FE873" s="1"/>
      <c r="FF873" s="1"/>
      <c r="FG873" s="1"/>
      <c r="FH873" s="1"/>
      <c r="FI873" s="1"/>
      <c r="FJ873" s="1"/>
      <c r="FK873" s="1"/>
      <c r="FL873" s="1"/>
      <c r="FM873" s="1"/>
      <c r="FN873" s="1"/>
      <c r="FO873" s="1"/>
      <c r="FP873" s="1"/>
      <c r="FQ873" s="1"/>
      <c r="FR873" s="2"/>
      <c r="FS873" s="1"/>
    </row>
    <row r="874" spans="1:175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R874" s="1"/>
      <c r="S874" s="1"/>
      <c r="T874" s="1"/>
      <c r="U874" s="1"/>
      <c r="V874" s="1"/>
      <c r="Y874" s="1"/>
      <c r="Z874" s="2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U874" s="1"/>
      <c r="AW874" s="1"/>
      <c r="AX874" s="1"/>
      <c r="AY874" s="1"/>
      <c r="AZ874" s="1"/>
      <c r="BA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  <c r="DB874" s="1"/>
      <c r="DC874" s="1"/>
      <c r="DD874" s="1"/>
      <c r="DE874" s="1"/>
      <c r="DF874" s="1"/>
      <c r="DG874" s="1"/>
      <c r="DH874" s="1"/>
      <c r="DI874" s="1"/>
      <c r="DJ874" s="1"/>
      <c r="DK874" s="1"/>
      <c r="DL874" s="1"/>
      <c r="DM874" s="1"/>
      <c r="DN874" s="1"/>
      <c r="DO874" s="1"/>
      <c r="DP874" s="1"/>
      <c r="DQ874" s="1"/>
      <c r="DR874" s="1"/>
      <c r="DS874" s="1"/>
      <c r="DT874" s="1"/>
      <c r="DU874" s="1"/>
      <c r="DV874" s="1"/>
      <c r="DW874" s="1"/>
      <c r="DX874" s="1"/>
      <c r="DY874" s="1"/>
      <c r="DZ874" s="1"/>
      <c r="EA874" s="1"/>
      <c r="EB874" s="1"/>
      <c r="EC874" s="1"/>
      <c r="ED874" s="1"/>
      <c r="EE874" s="1"/>
      <c r="EF874" s="1"/>
      <c r="EG874" s="1"/>
      <c r="EH874" s="1"/>
      <c r="EI874" s="1"/>
      <c r="EJ874" s="1"/>
      <c r="EK874" s="1"/>
      <c r="EL874" s="1"/>
      <c r="EM874" s="1"/>
      <c r="EN874" s="1"/>
      <c r="EO874" s="1"/>
      <c r="EP874" s="1"/>
      <c r="EQ874" s="1"/>
      <c r="ER874" s="1"/>
      <c r="ES874" s="1"/>
      <c r="ET874" s="1"/>
      <c r="EU874" s="1"/>
      <c r="EV874" s="1"/>
      <c r="EW874" s="1"/>
      <c r="EX874" s="1"/>
      <c r="EY874" s="1"/>
      <c r="EZ874" s="1"/>
      <c r="FA874" s="1"/>
      <c r="FB874" s="1"/>
      <c r="FC874" s="1"/>
      <c r="FD874" s="1"/>
      <c r="FE874" s="1"/>
      <c r="FF874" s="1"/>
      <c r="FG874" s="1"/>
      <c r="FH874" s="1"/>
      <c r="FI874" s="1"/>
      <c r="FJ874" s="1"/>
      <c r="FK874" s="1"/>
      <c r="FL874" s="1"/>
      <c r="FM874" s="1"/>
      <c r="FN874" s="1"/>
      <c r="FO874" s="1"/>
      <c r="FP874" s="1"/>
      <c r="FQ874" s="1"/>
      <c r="FR874" s="2"/>
      <c r="FS874" s="1"/>
    </row>
    <row r="875" spans="1:175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R875" s="1"/>
      <c r="S875" s="1"/>
      <c r="T875" s="1"/>
      <c r="U875" s="1"/>
      <c r="V875" s="1"/>
      <c r="Y875" s="1"/>
      <c r="Z875" s="2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U875" s="1"/>
      <c r="AW875" s="1"/>
      <c r="AX875" s="1"/>
      <c r="AY875" s="1"/>
      <c r="AZ875" s="1"/>
      <c r="BA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  <c r="DB875" s="1"/>
      <c r="DC875" s="1"/>
      <c r="DD875" s="1"/>
      <c r="DE875" s="1"/>
      <c r="DF875" s="1"/>
      <c r="DG875" s="1"/>
      <c r="DH875" s="1"/>
      <c r="DI875" s="1"/>
      <c r="DJ875" s="1"/>
      <c r="DK875" s="1"/>
      <c r="DL875" s="1"/>
      <c r="DM875" s="1"/>
      <c r="DN875" s="1"/>
      <c r="DO875" s="1"/>
      <c r="DP875" s="1"/>
      <c r="DQ875" s="1"/>
      <c r="DR875" s="1"/>
      <c r="DS875" s="1"/>
      <c r="DT875" s="1"/>
      <c r="DU875" s="1"/>
      <c r="DV875" s="1"/>
      <c r="DW875" s="1"/>
      <c r="DX875" s="1"/>
      <c r="DY875" s="1"/>
      <c r="DZ875" s="1"/>
      <c r="EA875" s="1"/>
      <c r="EB875" s="1"/>
      <c r="EC875" s="1"/>
      <c r="ED875" s="1"/>
      <c r="EE875" s="1"/>
      <c r="EF875" s="1"/>
      <c r="EG875" s="1"/>
      <c r="EH875" s="1"/>
      <c r="EI875" s="1"/>
      <c r="EJ875" s="1"/>
      <c r="EK875" s="1"/>
      <c r="EL875" s="1"/>
      <c r="EM875" s="1"/>
      <c r="EN875" s="1"/>
      <c r="EO875" s="1"/>
      <c r="EP875" s="1"/>
      <c r="EQ875" s="1"/>
      <c r="ER875" s="1"/>
      <c r="ES875" s="1"/>
      <c r="ET875" s="1"/>
      <c r="EU875" s="1"/>
      <c r="EV875" s="1"/>
      <c r="EW875" s="1"/>
      <c r="EX875" s="1"/>
      <c r="EY875" s="1"/>
      <c r="EZ875" s="1"/>
      <c r="FA875" s="1"/>
      <c r="FB875" s="1"/>
      <c r="FC875" s="1"/>
      <c r="FD875" s="1"/>
      <c r="FE875" s="1"/>
      <c r="FF875" s="1"/>
      <c r="FG875" s="1"/>
      <c r="FH875" s="1"/>
      <c r="FI875" s="1"/>
      <c r="FJ875" s="1"/>
      <c r="FK875" s="1"/>
      <c r="FL875" s="1"/>
      <c r="FM875" s="1"/>
      <c r="FN875" s="1"/>
      <c r="FO875" s="1"/>
      <c r="FP875" s="1"/>
      <c r="FQ875" s="1"/>
      <c r="FR875" s="2"/>
      <c r="FS875" s="1"/>
    </row>
    <row r="876" spans="1:175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R876" s="1"/>
      <c r="S876" s="1"/>
      <c r="T876" s="1"/>
      <c r="U876" s="1"/>
      <c r="V876" s="1"/>
      <c r="Y876" s="1"/>
      <c r="Z876" s="2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U876" s="1"/>
      <c r="AW876" s="1"/>
      <c r="AX876" s="1"/>
      <c r="AY876" s="1"/>
      <c r="AZ876" s="1"/>
      <c r="BA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  <c r="DB876" s="1"/>
      <c r="DC876" s="1"/>
      <c r="DD876" s="1"/>
      <c r="DE876" s="1"/>
      <c r="DF876" s="1"/>
      <c r="DG876" s="1"/>
      <c r="DH876" s="1"/>
      <c r="DI876" s="1"/>
      <c r="DJ876" s="1"/>
      <c r="DK876" s="1"/>
      <c r="DL876" s="1"/>
      <c r="DM876" s="1"/>
      <c r="DN876" s="1"/>
      <c r="DO876" s="1"/>
      <c r="DP876" s="1"/>
      <c r="DQ876" s="1"/>
      <c r="DR876" s="1"/>
      <c r="DS876" s="1"/>
      <c r="DT876" s="1"/>
      <c r="DU876" s="1"/>
      <c r="DV876" s="1"/>
      <c r="DW876" s="1"/>
      <c r="DX876" s="1"/>
      <c r="DY876" s="1"/>
      <c r="DZ876" s="1"/>
      <c r="EA876" s="1"/>
      <c r="EB876" s="1"/>
      <c r="EC876" s="1"/>
      <c r="ED876" s="1"/>
      <c r="EE876" s="1"/>
      <c r="EF876" s="1"/>
      <c r="EG876" s="1"/>
      <c r="EH876" s="1"/>
      <c r="EI876" s="1"/>
      <c r="EJ876" s="1"/>
      <c r="EK876" s="1"/>
      <c r="EL876" s="1"/>
      <c r="EM876" s="1"/>
      <c r="EN876" s="1"/>
      <c r="EO876" s="1"/>
      <c r="EP876" s="1"/>
      <c r="EQ876" s="1"/>
      <c r="ER876" s="1"/>
      <c r="ES876" s="1"/>
      <c r="ET876" s="1"/>
      <c r="EU876" s="1"/>
      <c r="EV876" s="1"/>
      <c r="EW876" s="1"/>
      <c r="EX876" s="1"/>
      <c r="EY876" s="1"/>
      <c r="EZ876" s="1"/>
      <c r="FA876" s="1"/>
      <c r="FB876" s="1"/>
      <c r="FC876" s="1"/>
      <c r="FD876" s="1"/>
      <c r="FE876" s="1"/>
      <c r="FF876" s="1"/>
      <c r="FG876" s="1"/>
      <c r="FH876" s="1"/>
      <c r="FI876" s="1"/>
      <c r="FJ876" s="1"/>
      <c r="FK876" s="1"/>
      <c r="FL876" s="1"/>
      <c r="FM876" s="1"/>
      <c r="FN876" s="1"/>
      <c r="FO876" s="1"/>
      <c r="FP876" s="1"/>
      <c r="FQ876" s="1"/>
      <c r="FR876" s="2"/>
      <c r="FS876" s="1"/>
    </row>
    <row r="877" spans="1:175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R877" s="1"/>
      <c r="S877" s="1"/>
      <c r="T877" s="1"/>
      <c r="U877" s="1"/>
      <c r="V877" s="1"/>
      <c r="Y877" s="1"/>
      <c r="Z877" s="2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U877" s="1"/>
      <c r="AW877" s="1"/>
      <c r="AX877" s="1"/>
      <c r="AY877" s="1"/>
      <c r="AZ877" s="1"/>
      <c r="BA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  <c r="DC877" s="1"/>
      <c r="DD877" s="1"/>
      <c r="DE877" s="1"/>
      <c r="DF877" s="1"/>
      <c r="DG877" s="1"/>
      <c r="DH877" s="1"/>
      <c r="DI877" s="1"/>
      <c r="DJ877" s="1"/>
      <c r="DK877" s="1"/>
      <c r="DL877" s="1"/>
      <c r="DM877" s="1"/>
      <c r="DN877" s="1"/>
      <c r="DO877" s="1"/>
      <c r="DP877" s="1"/>
      <c r="DQ877" s="1"/>
      <c r="DR877" s="1"/>
      <c r="DS877" s="1"/>
      <c r="DT877" s="1"/>
      <c r="DU877" s="1"/>
      <c r="DV877" s="1"/>
      <c r="DW877" s="1"/>
      <c r="DX877" s="1"/>
      <c r="DY877" s="1"/>
      <c r="DZ877" s="1"/>
      <c r="EA877" s="1"/>
      <c r="EB877" s="1"/>
      <c r="EC877" s="1"/>
      <c r="ED877" s="1"/>
      <c r="EE877" s="1"/>
      <c r="EF877" s="1"/>
      <c r="EG877" s="1"/>
      <c r="EH877" s="1"/>
      <c r="EI877" s="1"/>
      <c r="EJ877" s="1"/>
      <c r="EK877" s="1"/>
      <c r="EL877" s="1"/>
      <c r="EM877" s="1"/>
      <c r="EN877" s="1"/>
      <c r="EO877" s="1"/>
      <c r="EP877" s="1"/>
      <c r="EQ877" s="1"/>
      <c r="ER877" s="1"/>
      <c r="ES877" s="1"/>
      <c r="ET877" s="1"/>
      <c r="EU877" s="1"/>
      <c r="EV877" s="1"/>
      <c r="EW877" s="1"/>
      <c r="EX877" s="1"/>
      <c r="EY877" s="1"/>
      <c r="EZ877" s="1"/>
      <c r="FA877" s="1"/>
      <c r="FB877" s="1"/>
      <c r="FC877" s="1"/>
      <c r="FD877" s="1"/>
      <c r="FE877" s="1"/>
      <c r="FF877" s="1"/>
      <c r="FG877" s="1"/>
      <c r="FH877" s="1"/>
      <c r="FI877" s="1"/>
      <c r="FJ877" s="1"/>
      <c r="FK877" s="1"/>
      <c r="FL877" s="1"/>
      <c r="FM877" s="1"/>
      <c r="FN877" s="1"/>
      <c r="FO877" s="1"/>
      <c r="FP877" s="1"/>
      <c r="FQ877" s="1"/>
      <c r="FR877" s="2"/>
      <c r="FS877" s="1"/>
    </row>
    <row r="878" spans="1:175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R878" s="1"/>
      <c r="S878" s="1"/>
      <c r="T878" s="1"/>
      <c r="U878" s="1"/>
      <c r="V878" s="1"/>
      <c r="Y878" s="1"/>
      <c r="Z878" s="2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U878" s="1"/>
      <c r="AW878" s="1"/>
      <c r="AX878" s="1"/>
      <c r="AY878" s="1"/>
      <c r="AZ878" s="1"/>
      <c r="BA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  <c r="DB878" s="1"/>
      <c r="DC878" s="1"/>
      <c r="DD878" s="1"/>
      <c r="DE878" s="1"/>
      <c r="DF878" s="1"/>
      <c r="DG878" s="1"/>
      <c r="DH878" s="1"/>
      <c r="DI878" s="1"/>
      <c r="DJ878" s="1"/>
      <c r="DK878" s="1"/>
      <c r="DL878" s="1"/>
      <c r="DM878" s="1"/>
      <c r="DN878" s="1"/>
      <c r="DO878" s="1"/>
      <c r="DP878" s="1"/>
      <c r="DQ878" s="1"/>
      <c r="DR878" s="1"/>
      <c r="DS878" s="1"/>
      <c r="DT878" s="1"/>
      <c r="DU878" s="1"/>
      <c r="DV878" s="1"/>
      <c r="DW878" s="1"/>
      <c r="DX878" s="1"/>
      <c r="DY878" s="1"/>
      <c r="DZ878" s="1"/>
      <c r="EA878" s="1"/>
      <c r="EB878" s="1"/>
      <c r="EC878" s="1"/>
      <c r="ED878" s="1"/>
      <c r="EE878" s="1"/>
      <c r="EF878" s="1"/>
      <c r="EG878" s="1"/>
      <c r="EH878" s="1"/>
      <c r="EI878" s="1"/>
      <c r="EJ878" s="1"/>
      <c r="EK878" s="1"/>
      <c r="EL878" s="1"/>
      <c r="EM878" s="1"/>
      <c r="EN878" s="1"/>
      <c r="EO878" s="1"/>
      <c r="EP878" s="1"/>
      <c r="EQ878" s="1"/>
      <c r="ER878" s="1"/>
      <c r="ES878" s="1"/>
      <c r="ET878" s="1"/>
      <c r="EU878" s="1"/>
      <c r="EV878" s="1"/>
      <c r="EW878" s="1"/>
      <c r="EX878" s="1"/>
      <c r="EY878" s="1"/>
      <c r="EZ878" s="1"/>
      <c r="FA878" s="1"/>
      <c r="FB878" s="1"/>
      <c r="FC878" s="1"/>
      <c r="FD878" s="1"/>
      <c r="FE878" s="1"/>
      <c r="FF878" s="1"/>
      <c r="FG878" s="1"/>
      <c r="FH878" s="1"/>
      <c r="FI878" s="1"/>
      <c r="FJ878" s="1"/>
      <c r="FK878" s="1"/>
      <c r="FL878" s="1"/>
      <c r="FM878" s="1"/>
      <c r="FN878" s="1"/>
      <c r="FO878" s="1"/>
      <c r="FP878" s="1"/>
      <c r="FQ878" s="1"/>
      <c r="FR878" s="2"/>
      <c r="FS878" s="1"/>
    </row>
    <row r="879" spans="1:175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R879" s="1"/>
      <c r="S879" s="1"/>
      <c r="T879" s="1"/>
      <c r="U879" s="1"/>
      <c r="V879" s="1"/>
      <c r="Y879" s="1"/>
      <c r="Z879" s="2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U879" s="1"/>
      <c r="AW879" s="1"/>
      <c r="AX879" s="1"/>
      <c r="AY879" s="1"/>
      <c r="AZ879" s="1"/>
      <c r="BA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/>
      <c r="DC879" s="1"/>
      <c r="DD879" s="1"/>
      <c r="DE879" s="1"/>
      <c r="DF879" s="1"/>
      <c r="DG879" s="1"/>
      <c r="DH879" s="1"/>
      <c r="DI879" s="1"/>
      <c r="DJ879" s="1"/>
      <c r="DK879" s="1"/>
      <c r="DL879" s="1"/>
      <c r="DM879" s="1"/>
      <c r="DN879" s="1"/>
      <c r="DO879" s="1"/>
      <c r="DP879" s="1"/>
      <c r="DQ879" s="1"/>
      <c r="DR879" s="1"/>
      <c r="DS879" s="1"/>
      <c r="DT879" s="1"/>
      <c r="DU879" s="1"/>
      <c r="DV879" s="1"/>
      <c r="DW879" s="1"/>
      <c r="DX879" s="1"/>
      <c r="DY879" s="1"/>
      <c r="DZ879" s="1"/>
      <c r="EA879" s="1"/>
      <c r="EB879" s="1"/>
      <c r="EC879" s="1"/>
      <c r="ED879" s="1"/>
      <c r="EE879" s="1"/>
      <c r="EF879" s="1"/>
      <c r="EG879" s="1"/>
      <c r="EH879" s="1"/>
      <c r="EI879" s="1"/>
      <c r="EJ879" s="1"/>
      <c r="EK879" s="1"/>
      <c r="EL879" s="1"/>
      <c r="EM879" s="1"/>
      <c r="EN879" s="1"/>
      <c r="EO879" s="1"/>
      <c r="EP879" s="1"/>
      <c r="EQ879" s="1"/>
      <c r="ER879" s="1"/>
      <c r="ES879" s="1"/>
      <c r="ET879" s="1"/>
      <c r="EU879" s="1"/>
      <c r="EV879" s="1"/>
      <c r="EW879" s="1"/>
      <c r="EX879" s="1"/>
      <c r="EY879" s="1"/>
      <c r="EZ879" s="1"/>
      <c r="FA879" s="1"/>
      <c r="FB879" s="1"/>
      <c r="FC879" s="1"/>
      <c r="FD879" s="1"/>
      <c r="FE879" s="1"/>
      <c r="FF879" s="1"/>
      <c r="FG879" s="1"/>
      <c r="FH879" s="1"/>
      <c r="FI879" s="1"/>
      <c r="FJ879" s="1"/>
      <c r="FK879" s="1"/>
      <c r="FL879" s="1"/>
      <c r="FM879" s="1"/>
      <c r="FN879" s="1"/>
      <c r="FO879" s="1"/>
      <c r="FP879" s="1"/>
      <c r="FQ879" s="1"/>
      <c r="FR879" s="2"/>
      <c r="FS879" s="1"/>
    </row>
    <row r="880" spans="1:175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R880" s="1"/>
      <c r="S880" s="1"/>
      <c r="T880" s="1"/>
      <c r="U880" s="1"/>
      <c r="V880" s="1"/>
      <c r="Y880" s="1"/>
      <c r="Z880" s="2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U880" s="1"/>
      <c r="AW880" s="1"/>
      <c r="AX880" s="1"/>
      <c r="AY880" s="1"/>
      <c r="AZ880" s="1"/>
      <c r="BA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  <c r="DC880" s="1"/>
      <c r="DD880" s="1"/>
      <c r="DE880" s="1"/>
      <c r="DF880" s="1"/>
      <c r="DG880" s="1"/>
      <c r="DH880" s="1"/>
      <c r="DI880" s="1"/>
      <c r="DJ880" s="1"/>
      <c r="DK880" s="1"/>
      <c r="DL880" s="1"/>
      <c r="DM880" s="1"/>
      <c r="DN880" s="1"/>
      <c r="DO880" s="1"/>
      <c r="DP880" s="1"/>
      <c r="DQ880" s="1"/>
      <c r="DR880" s="1"/>
      <c r="DS880" s="1"/>
      <c r="DT880" s="1"/>
      <c r="DU880" s="1"/>
      <c r="DV880" s="1"/>
      <c r="DW880" s="1"/>
      <c r="DX880" s="1"/>
      <c r="DY880" s="1"/>
      <c r="DZ880" s="1"/>
      <c r="EA880" s="1"/>
      <c r="EB880" s="1"/>
      <c r="EC880" s="1"/>
      <c r="ED880" s="1"/>
      <c r="EE880" s="1"/>
      <c r="EF880" s="1"/>
      <c r="EG880" s="1"/>
      <c r="EH880" s="1"/>
      <c r="EI880" s="1"/>
      <c r="EJ880" s="1"/>
      <c r="EK880" s="1"/>
      <c r="EL880" s="1"/>
      <c r="EM880" s="1"/>
      <c r="EN880" s="1"/>
      <c r="EO880" s="1"/>
      <c r="EP880" s="1"/>
      <c r="EQ880" s="1"/>
      <c r="ER880" s="1"/>
      <c r="ES880" s="1"/>
      <c r="ET880" s="1"/>
      <c r="EU880" s="1"/>
      <c r="EV880" s="1"/>
      <c r="EW880" s="1"/>
      <c r="EX880" s="1"/>
      <c r="EY880" s="1"/>
      <c r="EZ880" s="1"/>
      <c r="FA880" s="1"/>
      <c r="FB880" s="1"/>
      <c r="FC880" s="1"/>
      <c r="FD880" s="1"/>
      <c r="FE880" s="1"/>
      <c r="FF880" s="1"/>
      <c r="FG880" s="1"/>
      <c r="FH880" s="1"/>
      <c r="FI880" s="1"/>
      <c r="FJ880" s="1"/>
      <c r="FK880" s="1"/>
      <c r="FL880" s="1"/>
      <c r="FM880" s="1"/>
      <c r="FN880" s="1"/>
      <c r="FO880" s="1"/>
      <c r="FP880" s="1"/>
      <c r="FQ880" s="1"/>
      <c r="FR880" s="2"/>
      <c r="FS880" s="1"/>
    </row>
    <row r="881" spans="1:175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R881" s="1"/>
      <c r="S881" s="1"/>
      <c r="T881" s="1"/>
      <c r="U881" s="1"/>
      <c r="V881" s="1"/>
      <c r="Y881" s="1"/>
      <c r="Z881" s="2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U881" s="1"/>
      <c r="AW881" s="1"/>
      <c r="AX881" s="1"/>
      <c r="AY881" s="1"/>
      <c r="AZ881" s="1"/>
      <c r="BA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  <c r="DC881" s="1"/>
      <c r="DD881" s="1"/>
      <c r="DE881" s="1"/>
      <c r="DF881" s="1"/>
      <c r="DG881" s="1"/>
      <c r="DH881" s="1"/>
      <c r="DI881" s="1"/>
      <c r="DJ881" s="1"/>
      <c r="DK881" s="1"/>
      <c r="DL881" s="1"/>
      <c r="DM881" s="1"/>
      <c r="DN881" s="1"/>
      <c r="DO881" s="1"/>
      <c r="DP881" s="1"/>
      <c r="DQ881" s="1"/>
      <c r="DR881" s="1"/>
      <c r="DS881" s="1"/>
      <c r="DT881" s="1"/>
      <c r="DU881" s="1"/>
      <c r="DV881" s="1"/>
      <c r="DW881" s="1"/>
      <c r="DX881" s="1"/>
      <c r="DY881" s="1"/>
      <c r="DZ881" s="1"/>
      <c r="EA881" s="1"/>
      <c r="EB881" s="1"/>
      <c r="EC881" s="1"/>
      <c r="ED881" s="1"/>
      <c r="EE881" s="1"/>
      <c r="EF881" s="1"/>
      <c r="EG881" s="1"/>
      <c r="EH881" s="1"/>
      <c r="EI881" s="1"/>
      <c r="EJ881" s="1"/>
      <c r="EK881" s="1"/>
      <c r="EL881" s="1"/>
      <c r="EM881" s="1"/>
      <c r="EN881" s="1"/>
      <c r="EO881" s="1"/>
      <c r="EP881" s="1"/>
      <c r="EQ881" s="1"/>
      <c r="ER881" s="1"/>
      <c r="ES881" s="1"/>
      <c r="ET881" s="1"/>
      <c r="EU881" s="1"/>
      <c r="EV881" s="1"/>
      <c r="EW881" s="1"/>
      <c r="EX881" s="1"/>
      <c r="EY881" s="1"/>
      <c r="EZ881" s="1"/>
      <c r="FA881" s="1"/>
      <c r="FB881" s="1"/>
      <c r="FC881" s="1"/>
      <c r="FD881" s="1"/>
      <c r="FE881" s="1"/>
      <c r="FF881" s="1"/>
      <c r="FG881" s="1"/>
      <c r="FH881" s="1"/>
      <c r="FI881" s="1"/>
      <c r="FJ881" s="1"/>
      <c r="FK881" s="1"/>
      <c r="FL881" s="1"/>
      <c r="FM881" s="1"/>
      <c r="FN881" s="1"/>
      <c r="FO881" s="1"/>
      <c r="FP881" s="1"/>
      <c r="FQ881" s="1"/>
      <c r="FR881" s="2"/>
      <c r="FS881" s="1"/>
    </row>
    <row r="882" spans="1:175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R882" s="1"/>
      <c r="S882" s="1"/>
      <c r="T882" s="1"/>
      <c r="U882" s="1"/>
      <c r="V882" s="1"/>
      <c r="Y882" s="1"/>
      <c r="Z882" s="2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U882" s="1"/>
      <c r="AW882" s="1"/>
      <c r="AX882" s="1"/>
      <c r="AY882" s="1"/>
      <c r="AZ882" s="1"/>
      <c r="BA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  <c r="DB882" s="1"/>
      <c r="DC882" s="1"/>
      <c r="DD882" s="1"/>
      <c r="DE882" s="1"/>
      <c r="DF882" s="1"/>
      <c r="DG882" s="1"/>
      <c r="DH882" s="1"/>
      <c r="DI882" s="1"/>
      <c r="DJ882" s="1"/>
      <c r="DK882" s="1"/>
      <c r="DL882" s="1"/>
      <c r="DM882" s="1"/>
      <c r="DN882" s="1"/>
      <c r="DO882" s="1"/>
      <c r="DP882" s="1"/>
      <c r="DQ882" s="1"/>
      <c r="DR882" s="1"/>
      <c r="DS882" s="1"/>
      <c r="DT882" s="1"/>
      <c r="DU882" s="1"/>
      <c r="DV882" s="1"/>
      <c r="DW882" s="1"/>
      <c r="DX882" s="1"/>
      <c r="DY882" s="1"/>
      <c r="DZ882" s="1"/>
      <c r="EA882" s="1"/>
      <c r="EB882" s="1"/>
      <c r="EC882" s="1"/>
      <c r="ED882" s="1"/>
      <c r="EE882" s="1"/>
      <c r="EF882" s="1"/>
      <c r="EG882" s="1"/>
      <c r="EH882" s="1"/>
      <c r="EI882" s="1"/>
      <c r="EJ882" s="1"/>
      <c r="EK882" s="1"/>
      <c r="EL882" s="1"/>
      <c r="EM882" s="1"/>
      <c r="EN882" s="1"/>
      <c r="EO882" s="1"/>
      <c r="EP882" s="1"/>
      <c r="EQ882" s="1"/>
      <c r="ER882" s="1"/>
      <c r="ES882" s="1"/>
      <c r="ET882" s="1"/>
      <c r="EU882" s="1"/>
      <c r="EV882" s="1"/>
      <c r="EW882" s="1"/>
      <c r="EX882" s="1"/>
      <c r="EY882" s="1"/>
      <c r="EZ882" s="1"/>
      <c r="FA882" s="1"/>
      <c r="FB882" s="1"/>
      <c r="FC882" s="1"/>
      <c r="FD882" s="1"/>
      <c r="FE882" s="1"/>
      <c r="FF882" s="1"/>
      <c r="FG882" s="1"/>
      <c r="FH882" s="1"/>
      <c r="FI882" s="1"/>
      <c r="FJ882" s="1"/>
      <c r="FK882" s="1"/>
      <c r="FL882" s="1"/>
      <c r="FM882" s="1"/>
      <c r="FN882" s="1"/>
      <c r="FO882" s="1"/>
      <c r="FP882" s="1"/>
      <c r="FQ882" s="1"/>
      <c r="FR882" s="2"/>
      <c r="FS882" s="1"/>
    </row>
    <row r="883" spans="1:175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R883" s="1"/>
      <c r="S883" s="1"/>
      <c r="T883" s="1"/>
      <c r="U883" s="1"/>
      <c r="V883" s="1"/>
      <c r="Y883" s="1"/>
      <c r="Z883" s="2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U883" s="1"/>
      <c r="AW883" s="1"/>
      <c r="AX883" s="1"/>
      <c r="AY883" s="1"/>
      <c r="AZ883" s="1"/>
      <c r="BA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/>
      <c r="DC883" s="1"/>
      <c r="DD883" s="1"/>
      <c r="DE883" s="1"/>
      <c r="DF883" s="1"/>
      <c r="DG883" s="1"/>
      <c r="DH883" s="1"/>
      <c r="DI883" s="1"/>
      <c r="DJ883" s="1"/>
      <c r="DK883" s="1"/>
      <c r="DL883" s="1"/>
      <c r="DM883" s="1"/>
      <c r="DN883" s="1"/>
      <c r="DO883" s="1"/>
      <c r="DP883" s="1"/>
      <c r="DQ883" s="1"/>
      <c r="DR883" s="1"/>
      <c r="DS883" s="1"/>
      <c r="DT883" s="1"/>
      <c r="DU883" s="1"/>
      <c r="DV883" s="1"/>
      <c r="DW883" s="1"/>
      <c r="DX883" s="1"/>
      <c r="DY883" s="1"/>
      <c r="DZ883" s="1"/>
      <c r="EA883" s="1"/>
      <c r="EB883" s="1"/>
      <c r="EC883" s="1"/>
      <c r="ED883" s="1"/>
      <c r="EE883" s="1"/>
      <c r="EF883" s="1"/>
      <c r="EG883" s="1"/>
      <c r="EH883" s="1"/>
      <c r="EI883" s="1"/>
      <c r="EJ883" s="1"/>
      <c r="EK883" s="1"/>
      <c r="EL883" s="1"/>
      <c r="EM883" s="1"/>
      <c r="EN883" s="1"/>
      <c r="EO883" s="1"/>
      <c r="EP883" s="1"/>
      <c r="EQ883" s="1"/>
      <c r="ER883" s="1"/>
      <c r="ES883" s="1"/>
      <c r="ET883" s="1"/>
      <c r="EU883" s="1"/>
      <c r="EV883" s="1"/>
      <c r="EW883" s="1"/>
      <c r="EX883" s="1"/>
      <c r="EY883" s="1"/>
      <c r="EZ883" s="1"/>
      <c r="FA883" s="1"/>
      <c r="FB883" s="1"/>
      <c r="FC883" s="1"/>
      <c r="FD883" s="1"/>
      <c r="FE883" s="1"/>
      <c r="FF883" s="1"/>
      <c r="FG883" s="1"/>
      <c r="FH883" s="1"/>
      <c r="FI883" s="1"/>
      <c r="FJ883" s="1"/>
      <c r="FK883" s="1"/>
      <c r="FL883" s="1"/>
      <c r="FM883" s="1"/>
      <c r="FN883" s="1"/>
      <c r="FO883" s="1"/>
      <c r="FP883" s="1"/>
      <c r="FQ883" s="1"/>
      <c r="FR883" s="2"/>
      <c r="FS883" s="1"/>
    </row>
    <row r="884" spans="1:175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R884" s="1"/>
      <c r="S884" s="1"/>
      <c r="T884" s="1"/>
      <c r="U884" s="1"/>
      <c r="V884" s="1"/>
      <c r="Y884" s="1"/>
      <c r="Z884" s="2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U884" s="1"/>
      <c r="AW884" s="1"/>
      <c r="AX884" s="1"/>
      <c r="AY884" s="1"/>
      <c r="AZ884" s="1"/>
      <c r="BA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/>
      <c r="DC884" s="1"/>
      <c r="DD884" s="1"/>
      <c r="DE884" s="1"/>
      <c r="DF884" s="1"/>
      <c r="DG884" s="1"/>
      <c r="DH884" s="1"/>
      <c r="DI884" s="1"/>
      <c r="DJ884" s="1"/>
      <c r="DK884" s="1"/>
      <c r="DL884" s="1"/>
      <c r="DM884" s="1"/>
      <c r="DN884" s="1"/>
      <c r="DO884" s="1"/>
      <c r="DP884" s="1"/>
      <c r="DQ884" s="1"/>
      <c r="DR884" s="1"/>
      <c r="DS884" s="1"/>
      <c r="DT884" s="1"/>
      <c r="DU884" s="1"/>
      <c r="DV884" s="1"/>
      <c r="DW884" s="1"/>
      <c r="DX884" s="1"/>
      <c r="DY884" s="1"/>
      <c r="DZ884" s="1"/>
      <c r="EA884" s="1"/>
      <c r="EB884" s="1"/>
      <c r="EC884" s="1"/>
      <c r="ED884" s="1"/>
      <c r="EE884" s="1"/>
      <c r="EF884" s="1"/>
      <c r="EG884" s="1"/>
      <c r="EH884" s="1"/>
      <c r="EI884" s="1"/>
      <c r="EJ884" s="1"/>
      <c r="EK884" s="1"/>
      <c r="EL884" s="1"/>
      <c r="EM884" s="1"/>
      <c r="EN884" s="1"/>
      <c r="EO884" s="1"/>
      <c r="EP884" s="1"/>
      <c r="EQ884" s="1"/>
      <c r="ER884" s="1"/>
      <c r="ES884" s="1"/>
      <c r="ET884" s="1"/>
      <c r="EU884" s="1"/>
      <c r="EV884" s="1"/>
      <c r="EW884" s="1"/>
      <c r="EX884" s="1"/>
      <c r="EY884" s="1"/>
      <c r="EZ884" s="1"/>
      <c r="FA884" s="1"/>
      <c r="FB884" s="1"/>
      <c r="FC884" s="1"/>
      <c r="FD884" s="1"/>
      <c r="FE884" s="1"/>
      <c r="FF884" s="1"/>
      <c r="FG884" s="1"/>
      <c r="FH884" s="1"/>
      <c r="FI884" s="1"/>
      <c r="FJ884" s="1"/>
      <c r="FK884" s="1"/>
      <c r="FL884" s="1"/>
      <c r="FM884" s="1"/>
      <c r="FN884" s="1"/>
      <c r="FO884" s="1"/>
      <c r="FP884" s="1"/>
      <c r="FQ884" s="1"/>
      <c r="FR884" s="2"/>
      <c r="FS884" s="1"/>
    </row>
    <row r="885" spans="1:175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R885" s="1"/>
      <c r="S885" s="1"/>
      <c r="T885" s="1"/>
      <c r="U885" s="1"/>
      <c r="V885" s="1"/>
      <c r="Y885" s="1"/>
      <c r="Z885" s="2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U885" s="1"/>
      <c r="AW885" s="1"/>
      <c r="AX885" s="1"/>
      <c r="AY885" s="1"/>
      <c r="AZ885" s="1"/>
      <c r="BA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  <c r="DC885" s="1"/>
      <c r="DD885" s="1"/>
      <c r="DE885" s="1"/>
      <c r="DF885" s="1"/>
      <c r="DG885" s="1"/>
      <c r="DH885" s="1"/>
      <c r="DI885" s="1"/>
      <c r="DJ885" s="1"/>
      <c r="DK885" s="1"/>
      <c r="DL885" s="1"/>
      <c r="DM885" s="1"/>
      <c r="DN885" s="1"/>
      <c r="DO885" s="1"/>
      <c r="DP885" s="1"/>
      <c r="DQ885" s="1"/>
      <c r="DR885" s="1"/>
      <c r="DS885" s="1"/>
      <c r="DT885" s="1"/>
      <c r="DU885" s="1"/>
      <c r="DV885" s="1"/>
      <c r="DW885" s="1"/>
      <c r="DX885" s="1"/>
      <c r="DY885" s="1"/>
      <c r="DZ885" s="1"/>
      <c r="EA885" s="1"/>
      <c r="EB885" s="1"/>
      <c r="EC885" s="1"/>
      <c r="ED885" s="1"/>
      <c r="EE885" s="1"/>
      <c r="EF885" s="1"/>
      <c r="EG885" s="1"/>
      <c r="EH885" s="1"/>
      <c r="EI885" s="1"/>
      <c r="EJ885" s="1"/>
      <c r="EK885" s="1"/>
      <c r="EL885" s="1"/>
      <c r="EM885" s="1"/>
      <c r="EN885" s="1"/>
      <c r="EO885" s="1"/>
      <c r="EP885" s="1"/>
      <c r="EQ885" s="1"/>
      <c r="ER885" s="1"/>
      <c r="ES885" s="1"/>
      <c r="ET885" s="1"/>
      <c r="EU885" s="1"/>
      <c r="EV885" s="1"/>
      <c r="EW885" s="1"/>
      <c r="EX885" s="1"/>
      <c r="EY885" s="1"/>
      <c r="EZ885" s="1"/>
      <c r="FA885" s="1"/>
      <c r="FB885" s="1"/>
      <c r="FC885" s="1"/>
      <c r="FD885" s="1"/>
      <c r="FE885" s="1"/>
      <c r="FF885" s="1"/>
      <c r="FG885" s="1"/>
      <c r="FH885" s="1"/>
      <c r="FI885" s="1"/>
      <c r="FJ885" s="1"/>
      <c r="FK885" s="1"/>
      <c r="FL885" s="1"/>
      <c r="FM885" s="1"/>
      <c r="FN885" s="1"/>
      <c r="FO885" s="1"/>
      <c r="FP885" s="1"/>
      <c r="FQ885" s="1"/>
      <c r="FR885" s="2"/>
      <c r="FS885" s="1"/>
    </row>
    <row r="886" spans="1:175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R886" s="1"/>
      <c r="S886" s="1"/>
      <c r="T886" s="1"/>
      <c r="U886" s="1"/>
      <c r="V886" s="1"/>
      <c r="Y886" s="1"/>
      <c r="Z886" s="2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U886" s="1"/>
      <c r="AW886" s="1"/>
      <c r="AX886" s="1"/>
      <c r="AY886" s="1"/>
      <c r="AZ886" s="1"/>
      <c r="BA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  <c r="DB886" s="1"/>
      <c r="DC886" s="1"/>
      <c r="DD886" s="1"/>
      <c r="DE886" s="1"/>
      <c r="DF886" s="1"/>
      <c r="DG886" s="1"/>
      <c r="DH886" s="1"/>
      <c r="DI886" s="1"/>
      <c r="DJ886" s="1"/>
      <c r="DK886" s="1"/>
      <c r="DL886" s="1"/>
      <c r="DM886" s="1"/>
      <c r="DN886" s="1"/>
      <c r="DO886" s="1"/>
      <c r="DP886" s="1"/>
      <c r="DQ886" s="1"/>
      <c r="DR886" s="1"/>
      <c r="DS886" s="1"/>
      <c r="DT886" s="1"/>
      <c r="DU886" s="1"/>
      <c r="DV886" s="1"/>
      <c r="DW886" s="1"/>
      <c r="DX886" s="1"/>
      <c r="DY886" s="1"/>
      <c r="DZ886" s="1"/>
      <c r="EA886" s="1"/>
      <c r="EB886" s="1"/>
      <c r="EC886" s="1"/>
      <c r="ED886" s="1"/>
      <c r="EE886" s="1"/>
      <c r="EF886" s="1"/>
      <c r="EG886" s="1"/>
      <c r="EH886" s="1"/>
      <c r="EI886" s="1"/>
      <c r="EJ886" s="1"/>
      <c r="EK886" s="1"/>
      <c r="EL886" s="1"/>
      <c r="EM886" s="1"/>
      <c r="EN886" s="1"/>
      <c r="EO886" s="1"/>
      <c r="EP886" s="1"/>
      <c r="EQ886" s="1"/>
      <c r="ER886" s="1"/>
      <c r="ES886" s="1"/>
      <c r="ET886" s="1"/>
      <c r="EU886" s="1"/>
      <c r="EV886" s="1"/>
      <c r="EW886" s="1"/>
      <c r="EX886" s="1"/>
      <c r="EY886" s="1"/>
      <c r="EZ886" s="1"/>
      <c r="FA886" s="1"/>
      <c r="FB886" s="1"/>
      <c r="FC886" s="1"/>
      <c r="FD886" s="1"/>
      <c r="FE886" s="1"/>
      <c r="FF886" s="1"/>
      <c r="FG886" s="1"/>
      <c r="FH886" s="1"/>
      <c r="FI886" s="1"/>
      <c r="FJ886" s="1"/>
      <c r="FK886" s="1"/>
      <c r="FL886" s="1"/>
      <c r="FM886" s="1"/>
      <c r="FN886" s="1"/>
      <c r="FO886" s="1"/>
      <c r="FP886" s="1"/>
      <c r="FQ886" s="1"/>
      <c r="FR886" s="2"/>
      <c r="FS886" s="1"/>
    </row>
    <row r="887" spans="1:175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R887" s="1"/>
      <c r="S887" s="1"/>
      <c r="T887" s="1"/>
      <c r="U887" s="1"/>
      <c r="V887" s="1"/>
      <c r="Y887" s="1"/>
      <c r="Z887" s="2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U887" s="1"/>
      <c r="AW887" s="1"/>
      <c r="AX887" s="1"/>
      <c r="AY887" s="1"/>
      <c r="AZ887" s="1"/>
      <c r="BA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  <c r="DB887" s="1"/>
      <c r="DC887" s="1"/>
      <c r="DD887" s="1"/>
      <c r="DE887" s="1"/>
      <c r="DF887" s="1"/>
      <c r="DG887" s="1"/>
      <c r="DH887" s="1"/>
      <c r="DI887" s="1"/>
      <c r="DJ887" s="1"/>
      <c r="DK887" s="1"/>
      <c r="DL887" s="1"/>
      <c r="DM887" s="1"/>
      <c r="DN887" s="1"/>
      <c r="DO887" s="1"/>
      <c r="DP887" s="1"/>
      <c r="DQ887" s="1"/>
      <c r="DR887" s="1"/>
      <c r="DS887" s="1"/>
      <c r="DT887" s="1"/>
      <c r="DU887" s="1"/>
      <c r="DV887" s="1"/>
      <c r="DW887" s="1"/>
      <c r="DX887" s="1"/>
      <c r="DY887" s="1"/>
      <c r="DZ887" s="1"/>
      <c r="EA887" s="1"/>
      <c r="EB887" s="1"/>
      <c r="EC887" s="1"/>
      <c r="ED887" s="1"/>
      <c r="EE887" s="1"/>
      <c r="EF887" s="1"/>
      <c r="EG887" s="1"/>
      <c r="EH887" s="1"/>
      <c r="EI887" s="1"/>
      <c r="EJ887" s="1"/>
      <c r="EK887" s="1"/>
      <c r="EL887" s="1"/>
      <c r="EM887" s="1"/>
      <c r="EN887" s="1"/>
      <c r="EO887" s="1"/>
      <c r="EP887" s="1"/>
      <c r="EQ887" s="1"/>
      <c r="ER887" s="1"/>
      <c r="ES887" s="1"/>
      <c r="ET887" s="1"/>
      <c r="EU887" s="1"/>
      <c r="EV887" s="1"/>
      <c r="EW887" s="1"/>
      <c r="EX887" s="1"/>
      <c r="EY887" s="1"/>
      <c r="EZ887" s="1"/>
      <c r="FA887" s="1"/>
      <c r="FB887" s="1"/>
      <c r="FC887" s="1"/>
      <c r="FD887" s="1"/>
      <c r="FE887" s="1"/>
      <c r="FF887" s="1"/>
      <c r="FG887" s="1"/>
      <c r="FH887" s="1"/>
      <c r="FI887" s="1"/>
      <c r="FJ887" s="1"/>
      <c r="FK887" s="1"/>
      <c r="FL887" s="1"/>
      <c r="FM887" s="1"/>
      <c r="FN887" s="1"/>
      <c r="FO887" s="1"/>
      <c r="FP887" s="1"/>
      <c r="FQ887" s="1"/>
      <c r="FR887" s="2"/>
      <c r="FS887" s="1"/>
    </row>
    <row r="888" spans="1:175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R888" s="1"/>
      <c r="S888" s="1"/>
      <c r="T888" s="1"/>
      <c r="U888" s="1"/>
      <c r="V888" s="1"/>
      <c r="Y888" s="1"/>
      <c r="Z888" s="2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U888" s="1"/>
      <c r="AW888" s="1"/>
      <c r="AX888" s="1"/>
      <c r="AY888" s="1"/>
      <c r="AZ888" s="1"/>
      <c r="BA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  <c r="DB888" s="1"/>
      <c r="DC888" s="1"/>
      <c r="DD888" s="1"/>
      <c r="DE888" s="1"/>
      <c r="DF888" s="1"/>
      <c r="DG888" s="1"/>
      <c r="DH888" s="1"/>
      <c r="DI888" s="1"/>
      <c r="DJ888" s="1"/>
      <c r="DK888" s="1"/>
      <c r="DL888" s="1"/>
      <c r="DM888" s="1"/>
      <c r="DN888" s="1"/>
      <c r="DO888" s="1"/>
      <c r="DP888" s="1"/>
      <c r="DQ888" s="1"/>
      <c r="DR888" s="1"/>
      <c r="DS888" s="1"/>
      <c r="DT888" s="1"/>
      <c r="DU888" s="1"/>
      <c r="DV888" s="1"/>
      <c r="DW888" s="1"/>
      <c r="DX888" s="1"/>
      <c r="DY888" s="1"/>
      <c r="DZ888" s="1"/>
      <c r="EA888" s="1"/>
      <c r="EB888" s="1"/>
      <c r="EC888" s="1"/>
      <c r="ED888" s="1"/>
      <c r="EE888" s="1"/>
      <c r="EF888" s="1"/>
      <c r="EG888" s="1"/>
      <c r="EH888" s="1"/>
      <c r="EI888" s="1"/>
      <c r="EJ888" s="1"/>
      <c r="EK888" s="1"/>
      <c r="EL888" s="1"/>
      <c r="EM888" s="1"/>
      <c r="EN888" s="1"/>
      <c r="EO888" s="1"/>
      <c r="EP888" s="1"/>
      <c r="EQ888" s="1"/>
      <c r="ER888" s="1"/>
      <c r="ES888" s="1"/>
      <c r="ET888" s="1"/>
      <c r="EU888" s="1"/>
      <c r="EV888" s="1"/>
      <c r="EW888" s="1"/>
      <c r="EX888" s="1"/>
      <c r="EY888" s="1"/>
      <c r="EZ888" s="1"/>
      <c r="FA888" s="1"/>
      <c r="FB888" s="1"/>
      <c r="FC888" s="1"/>
      <c r="FD888" s="1"/>
      <c r="FE888" s="1"/>
      <c r="FF888" s="1"/>
      <c r="FG888" s="1"/>
      <c r="FH888" s="1"/>
      <c r="FI888" s="1"/>
      <c r="FJ888" s="1"/>
      <c r="FK888" s="1"/>
      <c r="FL888" s="1"/>
      <c r="FM888" s="1"/>
      <c r="FN888" s="1"/>
      <c r="FO888" s="1"/>
      <c r="FP888" s="1"/>
      <c r="FQ888" s="1"/>
      <c r="FR888" s="2"/>
      <c r="FS888" s="1"/>
    </row>
    <row r="889" spans="1:175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R889" s="1"/>
      <c r="S889" s="1"/>
      <c r="T889" s="1"/>
      <c r="U889" s="1"/>
      <c r="V889" s="1"/>
      <c r="Y889" s="1"/>
      <c r="Z889" s="2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U889" s="1"/>
      <c r="AW889" s="1"/>
      <c r="AX889" s="1"/>
      <c r="AY889" s="1"/>
      <c r="AZ889" s="1"/>
      <c r="BA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  <c r="DC889" s="1"/>
      <c r="DD889" s="1"/>
      <c r="DE889" s="1"/>
      <c r="DF889" s="1"/>
      <c r="DG889" s="1"/>
      <c r="DH889" s="1"/>
      <c r="DI889" s="1"/>
      <c r="DJ889" s="1"/>
      <c r="DK889" s="1"/>
      <c r="DL889" s="1"/>
      <c r="DM889" s="1"/>
      <c r="DN889" s="1"/>
      <c r="DO889" s="1"/>
      <c r="DP889" s="1"/>
      <c r="DQ889" s="1"/>
      <c r="DR889" s="1"/>
      <c r="DS889" s="1"/>
      <c r="DT889" s="1"/>
      <c r="DU889" s="1"/>
      <c r="DV889" s="1"/>
      <c r="DW889" s="1"/>
      <c r="DX889" s="1"/>
      <c r="DY889" s="1"/>
      <c r="DZ889" s="1"/>
      <c r="EA889" s="1"/>
      <c r="EB889" s="1"/>
      <c r="EC889" s="1"/>
      <c r="ED889" s="1"/>
      <c r="EE889" s="1"/>
      <c r="EF889" s="1"/>
      <c r="EG889" s="1"/>
      <c r="EH889" s="1"/>
      <c r="EI889" s="1"/>
      <c r="EJ889" s="1"/>
      <c r="EK889" s="1"/>
      <c r="EL889" s="1"/>
      <c r="EM889" s="1"/>
      <c r="EN889" s="1"/>
      <c r="EO889" s="1"/>
      <c r="EP889" s="1"/>
      <c r="EQ889" s="1"/>
      <c r="ER889" s="1"/>
      <c r="ES889" s="1"/>
      <c r="ET889" s="1"/>
      <c r="EU889" s="1"/>
      <c r="EV889" s="1"/>
      <c r="EW889" s="1"/>
      <c r="EX889" s="1"/>
      <c r="EY889" s="1"/>
      <c r="EZ889" s="1"/>
      <c r="FA889" s="1"/>
      <c r="FB889" s="1"/>
      <c r="FC889" s="1"/>
      <c r="FD889" s="1"/>
      <c r="FE889" s="1"/>
      <c r="FF889" s="1"/>
      <c r="FG889" s="1"/>
      <c r="FH889" s="1"/>
      <c r="FI889" s="1"/>
      <c r="FJ889" s="1"/>
      <c r="FK889" s="1"/>
      <c r="FL889" s="1"/>
      <c r="FM889" s="1"/>
      <c r="FN889" s="1"/>
      <c r="FO889" s="1"/>
      <c r="FP889" s="1"/>
      <c r="FQ889" s="1"/>
      <c r="FR889" s="2"/>
      <c r="FS889" s="1"/>
    </row>
    <row r="890" spans="1:175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R890" s="1"/>
      <c r="S890" s="1"/>
      <c r="T890" s="1"/>
      <c r="U890" s="1"/>
      <c r="V890" s="1"/>
      <c r="Y890" s="1"/>
      <c r="Z890" s="2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U890" s="1"/>
      <c r="AW890" s="1"/>
      <c r="AX890" s="1"/>
      <c r="AY890" s="1"/>
      <c r="AZ890" s="1"/>
      <c r="BA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  <c r="DC890" s="1"/>
      <c r="DD890" s="1"/>
      <c r="DE890" s="1"/>
      <c r="DF890" s="1"/>
      <c r="DG890" s="1"/>
      <c r="DH890" s="1"/>
      <c r="DI890" s="1"/>
      <c r="DJ890" s="1"/>
      <c r="DK890" s="1"/>
      <c r="DL890" s="1"/>
      <c r="DM890" s="1"/>
      <c r="DN890" s="1"/>
      <c r="DO890" s="1"/>
      <c r="DP890" s="1"/>
      <c r="DQ890" s="1"/>
      <c r="DR890" s="1"/>
      <c r="DS890" s="1"/>
      <c r="DT890" s="1"/>
      <c r="DU890" s="1"/>
      <c r="DV890" s="1"/>
      <c r="DW890" s="1"/>
      <c r="DX890" s="1"/>
      <c r="DY890" s="1"/>
      <c r="DZ890" s="1"/>
      <c r="EA890" s="1"/>
      <c r="EB890" s="1"/>
      <c r="EC890" s="1"/>
      <c r="ED890" s="1"/>
      <c r="EE890" s="1"/>
      <c r="EF890" s="1"/>
      <c r="EG890" s="1"/>
      <c r="EH890" s="1"/>
      <c r="EI890" s="1"/>
      <c r="EJ890" s="1"/>
      <c r="EK890" s="1"/>
      <c r="EL890" s="1"/>
      <c r="EM890" s="1"/>
      <c r="EN890" s="1"/>
      <c r="EO890" s="1"/>
      <c r="EP890" s="1"/>
      <c r="EQ890" s="1"/>
      <c r="ER890" s="1"/>
      <c r="ES890" s="1"/>
      <c r="ET890" s="1"/>
      <c r="EU890" s="1"/>
      <c r="EV890" s="1"/>
      <c r="EW890" s="1"/>
      <c r="EX890" s="1"/>
      <c r="EY890" s="1"/>
      <c r="EZ890" s="1"/>
      <c r="FA890" s="1"/>
      <c r="FB890" s="1"/>
      <c r="FC890" s="1"/>
      <c r="FD890" s="1"/>
      <c r="FE890" s="1"/>
      <c r="FF890" s="1"/>
      <c r="FG890" s="1"/>
      <c r="FH890" s="1"/>
      <c r="FI890" s="1"/>
      <c r="FJ890" s="1"/>
      <c r="FK890" s="1"/>
      <c r="FL890" s="1"/>
      <c r="FM890" s="1"/>
      <c r="FN890" s="1"/>
      <c r="FO890" s="1"/>
      <c r="FP890" s="1"/>
      <c r="FQ890" s="1"/>
      <c r="FR890" s="2"/>
      <c r="FS890" s="1"/>
    </row>
    <row r="891" spans="1:175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R891" s="1"/>
      <c r="S891" s="1"/>
      <c r="T891" s="1"/>
      <c r="U891" s="1"/>
      <c r="V891" s="1"/>
      <c r="Y891" s="1"/>
      <c r="Z891" s="2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U891" s="1"/>
      <c r="AW891" s="1"/>
      <c r="AX891" s="1"/>
      <c r="AY891" s="1"/>
      <c r="AZ891" s="1"/>
      <c r="BA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  <c r="DB891" s="1"/>
      <c r="DC891" s="1"/>
      <c r="DD891" s="1"/>
      <c r="DE891" s="1"/>
      <c r="DF891" s="1"/>
      <c r="DG891" s="1"/>
      <c r="DH891" s="1"/>
      <c r="DI891" s="1"/>
      <c r="DJ891" s="1"/>
      <c r="DK891" s="1"/>
      <c r="DL891" s="1"/>
      <c r="DM891" s="1"/>
      <c r="DN891" s="1"/>
      <c r="DO891" s="1"/>
      <c r="DP891" s="1"/>
      <c r="DQ891" s="1"/>
      <c r="DR891" s="1"/>
      <c r="DS891" s="1"/>
      <c r="DT891" s="1"/>
      <c r="DU891" s="1"/>
      <c r="DV891" s="1"/>
      <c r="DW891" s="1"/>
      <c r="DX891" s="1"/>
      <c r="DY891" s="1"/>
      <c r="DZ891" s="1"/>
      <c r="EA891" s="1"/>
      <c r="EB891" s="1"/>
      <c r="EC891" s="1"/>
      <c r="ED891" s="1"/>
      <c r="EE891" s="1"/>
      <c r="EF891" s="1"/>
      <c r="EG891" s="1"/>
      <c r="EH891" s="1"/>
      <c r="EI891" s="1"/>
      <c r="EJ891" s="1"/>
      <c r="EK891" s="1"/>
      <c r="EL891" s="1"/>
      <c r="EM891" s="1"/>
      <c r="EN891" s="1"/>
      <c r="EO891" s="1"/>
      <c r="EP891" s="1"/>
      <c r="EQ891" s="1"/>
      <c r="ER891" s="1"/>
      <c r="ES891" s="1"/>
      <c r="ET891" s="1"/>
      <c r="EU891" s="1"/>
      <c r="EV891" s="1"/>
      <c r="EW891" s="1"/>
      <c r="EX891" s="1"/>
      <c r="EY891" s="1"/>
      <c r="EZ891" s="1"/>
      <c r="FA891" s="1"/>
      <c r="FB891" s="1"/>
      <c r="FC891" s="1"/>
      <c r="FD891" s="1"/>
      <c r="FE891" s="1"/>
      <c r="FF891" s="1"/>
      <c r="FG891" s="1"/>
      <c r="FH891" s="1"/>
      <c r="FI891" s="1"/>
      <c r="FJ891" s="1"/>
      <c r="FK891" s="1"/>
      <c r="FL891" s="1"/>
      <c r="FM891" s="1"/>
      <c r="FN891" s="1"/>
      <c r="FO891" s="1"/>
      <c r="FP891" s="1"/>
      <c r="FQ891" s="1"/>
      <c r="FR891" s="2"/>
      <c r="FS891" s="1"/>
    </row>
    <row r="892" spans="1:175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R892" s="1"/>
      <c r="S892" s="1"/>
      <c r="T892" s="1"/>
      <c r="U892" s="1"/>
      <c r="V892" s="1"/>
      <c r="Y892" s="1"/>
      <c r="Z892" s="2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U892" s="1"/>
      <c r="AW892" s="1"/>
      <c r="AX892" s="1"/>
      <c r="AY892" s="1"/>
      <c r="AZ892" s="1"/>
      <c r="BA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  <c r="DB892" s="1"/>
      <c r="DC892" s="1"/>
      <c r="DD892" s="1"/>
      <c r="DE892" s="1"/>
      <c r="DF892" s="1"/>
      <c r="DG892" s="1"/>
      <c r="DH892" s="1"/>
      <c r="DI892" s="1"/>
      <c r="DJ892" s="1"/>
      <c r="DK892" s="1"/>
      <c r="DL892" s="1"/>
      <c r="DM892" s="1"/>
      <c r="DN892" s="1"/>
      <c r="DO892" s="1"/>
      <c r="DP892" s="1"/>
      <c r="DQ892" s="1"/>
      <c r="DR892" s="1"/>
      <c r="DS892" s="1"/>
      <c r="DT892" s="1"/>
      <c r="DU892" s="1"/>
      <c r="DV892" s="1"/>
      <c r="DW892" s="1"/>
      <c r="DX892" s="1"/>
      <c r="DY892" s="1"/>
      <c r="DZ892" s="1"/>
      <c r="EA892" s="1"/>
      <c r="EB892" s="1"/>
      <c r="EC892" s="1"/>
      <c r="ED892" s="1"/>
      <c r="EE892" s="1"/>
      <c r="EF892" s="1"/>
      <c r="EG892" s="1"/>
      <c r="EH892" s="1"/>
      <c r="EI892" s="1"/>
      <c r="EJ892" s="1"/>
      <c r="EK892" s="1"/>
      <c r="EL892" s="1"/>
      <c r="EM892" s="1"/>
      <c r="EN892" s="1"/>
      <c r="EO892" s="1"/>
      <c r="EP892" s="1"/>
      <c r="EQ892" s="1"/>
      <c r="ER892" s="1"/>
      <c r="ES892" s="1"/>
      <c r="ET892" s="1"/>
      <c r="EU892" s="1"/>
      <c r="EV892" s="1"/>
      <c r="EW892" s="1"/>
      <c r="EX892" s="1"/>
      <c r="EY892" s="1"/>
      <c r="EZ892" s="1"/>
      <c r="FA892" s="1"/>
      <c r="FB892" s="1"/>
      <c r="FC892" s="1"/>
      <c r="FD892" s="1"/>
      <c r="FE892" s="1"/>
      <c r="FF892" s="1"/>
      <c r="FG892" s="1"/>
      <c r="FH892" s="1"/>
      <c r="FI892" s="1"/>
      <c r="FJ892" s="1"/>
      <c r="FK892" s="1"/>
      <c r="FL892" s="1"/>
      <c r="FM892" s="1"/>
      <c r="FN892" s="1"/>
      <c r="FO892" s="1"/>
      <c r="FP892" s="1"/>
      <c r="FQ892" s="1"/>
      <c r="FR892" s="2"/>
      <c r="FS892" s="1"/>
    </row>
    <row r="893" spans="1:175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R893" s="1"/>
      <c r="S893" s="1"/>
      <c r="T893" s="1"/>
      <c r="U893" s="1"/>
      <c r="V893" s="1"/>
      <c r="Y893" s="1"/>
      <c r="Z893" s="2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U893" s="1"/>
      <c r="AW893" s="1"/>
      <c r="AX893" s="1"/>
      <c r="AY893" s="1"/>
      <c r="AZ893" s="1"/>
      <c r="BA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  <c r="DB893" s="1"/>
      <c r="DC893" s="1"/>
      <c r="DD893" s="1"/>
      <c r="DE893" s="1"/>
      <c r="DF893" s="1"/>
      <c r="DG893" s="1"/>
      <c r="DH893" s="1"/>
      <c r="DI893" s="1"/>
      <c r="DJ893" s="1"/>
      <c r="DK893" s="1"/>
      <c r="DL893" s="1"/>
      <c r="DM893" s="1"/>
      <c r="DN893" s="1"/>
      <c r="DO893" s="1"/>
      <c r="DP893" s="1"/>
      <c r="DQ893" s="1"/>
      <c r="DR893" s="1"/>
      <c r="DS893" s="1"/>
      <c r="DT893" s="1"/>
      <c r="DU893" s="1"/>
      <c r="DV893" s="1"/>
      <c r="DW893" s="1"/>
      <c r="DX893" s="1"/>
      <c r="DY893" s="1"/>
      <c r="DZ893" s="1"/>
      <c r="EA893" s="1"/>
      <c r="EB893" s="1"/>
      <c r="EC893" s="1"/>
      <c r="ED893" s="1"/>
      <c r="EE893" s="1"/>
      <c r="EF893" s="1"/>
      <c r="EG893" s="1"/>
      <c r="EH893" s="1"/>
      <c r="EI893" s="1"/>
      <c r="EJ893" s="1"/>
      <c r="EK893" s="1"/>
      <c r="EL893" s="1"/>
      <c r="EM893" s="1"/>
      <c r="EN893" s="1"/>
      <c r="EO893" s="1"/>
      <c r="EP893" s="1"/>
      <c r="EQ893" s="1"/>
      <c r="ER893" s="1"/>
      <c r="ES893" s="1"/>
      <c r="ET893" s="1"/>
      <c r="EU893" s="1"/>
      <c r="EV893" s="1"/>
      <c r="EW893" s="1"/>
      <c r="EX893" s="1"/>
      <c r="EY893" s="1"/>
      <c r="EZ893" s="1"/>
      <c r="FA893" s="1"/>
      <c r="FB893" s="1"/>
      <c r="FC893" s="1"/>
      <c r="FD893" s="1"/>
      <c r="FE893" s="1"/>
      <c r="FF893" s="1"/>
      <c r="FG893" s="1"/>
      <c r="FH893" s="1"/>
      <c r="FI893" s="1"/>
      <c r="FJ893" s="1"/>
      <c r="FK893" s="1"/>
      <c r="FL893" s="1"/>
      <c r="FM893" s="1"/>
      <c r="FN893" s="1"/>
      <c r="FO893" s="1"/>
      <c r="FP893" s="1"/>
      <c r="FQ893" s="1"/>
      <c r="FR893" s="2"/>
      <c r="FS893" s="1"/>
    </row>
    <row r="894" spans="1:175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R894" s="1"/>
      <c r="S894" s="1"/>
      <c r="T894" s="1"/>
      <c r="U894" s="1"/>
      <c r="V894" s="1"/>
      <c r="Y894" s="1"/>
      <c r="Z894" s="2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U894" s="1"/>
      <c r="AW894" s="1"/>
      <c r="AX894" s="1"/>
      <c r="AY894" s="1"/>
      <c r="AZ894" s="1"/>
      <c r="BA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  <c r="DB894" s="1"/>
      <c r="DC894" s="1"/>
      <c r="DD894" s="1"/>
      <c r="DE894" s="1"/>
      <c r="DF894" s="1"/>
      <c r="DG894" s="1"/>
      <c r="DH894" s="1"/>
      <c r="DI894" s="1"/>
      <c r="DJ894" s="1"/>
      <c r="DK894" s="1"/>
      <c r="DL894" s="1"/>
      <c r="DM894" s="1"/>
      <c r="DN894" s="1"/>
      <c r="DO894" s="1"/>
      <c r="DP894" s="1"/>
      <c r="DQ894" s="1"/>
      <c r="DR894" s="1"/>
      <c r="DS894" s="1"/>
      <c r="DT894" s="1"/>
      <c r="DU894" s="1"/>
      <c r="DV894" s="1"/>
      <c r="DW894" s="1"/>
      <c r="DX894" s="1"/>
      <c r="DY894" s="1"/>
      <c r="DZ894" s="1"/>
      <c r="EA894" s="1"/>
      <c r="EB894" s="1"/>
      <c r="EC894" s="1"/>
      <c r="ED894" s="1"/>
      <c r="EE894" s="1"/>
      <c r="EF894" s="1"/>
      <c r="EG894" s="1"/>
      <c r="EH894" s="1"/>
      <c r="EI894" s="1"/>
      <c r="EJ894" s="1"/>
      <c r="EK894" s="1"/>
      <c r="EL894" s="1"/>
      <c r="EM894" s="1"/>
      <c r="EN894" s="1"/>
      <c r="EO894" s="1"/>
      <c r="EP894" s="1"/>
      <c r="EQ894" s="1"/>
      <c r="ER894" s="1"/>
      <c r="ES894" s="1"/>
      <c r="ET894" s="1"/>
      <c r="EU894" s="1"/>
      <c r="EV894" s="1"/>
      <c r="EW894" s="1"/>
      <c r="EX894" s="1"/>
      <c r="EY894" s="1"/>
      <c r="EZ894" s="1"/>
      <c r="FA894" s="1"/>
      <c r="FB894" s="1"/>
      <c r="FC894" s="1"/>
      <c r="FD894" s="1"/>
      <c r="FE894" s="1"/>
      <c r="FF894" s="1"/>
      <c r="FG894" s="1"/>
      <c r="FH894" s="1"/>
      <c r="FI894" s="1"/>
      <c r="FJ894" s="1"/>
      <c r="FK894" s="1"/>
      <c r="FL894" s="1"/>
      <c r="FM894" s="1"/>
      <c r="FN894" s="1"/>
      <c r="FO894" s="1"/>
      <c r="FP894" s="1"/>
      <c r="FQ894" s="1"/>
      <c r="FR894" s="2"/>
      <c r="FS894" s="1"/>
    </row>
    <row r="895" spans="1:175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R895" s="1"/>
      <c r="S895" s="1"/>
      <c r="T895" s="1"/>
      <c r="U895" s="1"/>
      <c r="V895" s="1"/>
      <c r="Y895" s="1"/>
      <c r="Z895" s="2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U895" s="1"/>
      <c r="AW895" s="1"/>
      <c r="AX895" s="1"/>
      <c r="AY895" s="1"/>
      <c r="AZ895" s="1"/>
      <c r="BA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  <c r="DB895" s="1"/>
      <c r="DC895" s="1"/>
      <c r="DD895" s="1"/>
      <c r="DE895" s="1"/>
      <c r="DF895" s="1"/>
      <c r="DG895" s="1"/>
      <c r="DH895" s="1"/>
      <c r="DI895" s="1"/>
      <c r="DJ895" s="1"/>
      <c r="DK895" s="1"/>
      <c r="DL895" s="1"/>
      <c r="DM895" s="1"/>
      <c r="DN895" s="1"/>
      <c r="DO895" s="1"/>
      <c r="DP895" s="1"/>
      <c r="DQ895" s="1"/>
      <c r="DR895" s="1"/>
      <c r="DS895" s="1"/>
      <c r="DT895" s="1"/>
      <c r="DU895" s="1"/>
      <c r="DV895" s="1"/>
      <c r="DW895" s="1"/>
      <c r="DX895" s="1"/>
      <c r="DY895" s="1"/>
      <c r="DZ895" s="1"/>
      <c r="EA895" s="1"/>
      <c r="EB895" s="1"/>
      <c r="EC895" s="1"/>
      <c r="ED895" s="1"/>
      <c r="EE895" s="1"/>
      <c r="EF895" s="1"/>
      <c r="EG895" s="1"/>
      <c r="EH895" s="1"/>
      <c r="EI895" s="1"/>
      <c r="EJ895" s="1"/>
      <c r="EK895" s="1"/>
      <c r="EL895" s="1"/>
      <c r="EM895" s="1"/>
      <c r="EN895" s="1"/>
      <c r="EO895" s="1"/>
      <c r="EP895" s="1"/>
      <c r="EQ895" s="1"/>
      <c r="ER895" s="1"/>
      <c r="ES895" s="1"/>
      <c r="ET895" s="1"/>
      <c r="EU895" s="1"/>
      <c r="EV895" s="1"/>
      <c r="EW895" s="1"/>
      <c r="EX895" s="1"/>
      <c r="EY895" s="1"/>
      <c r="EZ895" s="1"/>
      <c r="FA895" s="1"/>
      <c r="FB895" s="1"/>
      <c r="FC895" s="1"/>
      <c r="FD895" s="1"/>
      <c r="FE895" s="1"/>
      <c r="FF895" s="1"/>
      <c r="FG895" s="1"/>
      <c r="FH895" s="1"/>
      <c r="FI895" s="1"/>
      <c r="FJ895" s="1"/>
      <c r="FK895" s="1"/>
      <c r="FL895" s="1"/>
      <c r="FM895" s="1"/>
      <c r="FN895" s="1"/>
      <c r="FO895" s="1"/>
      <c r="FP895" s="1"/>
      <c r="FQ895" s="1"/>
      <c r="FR895" s="2"/>
      <c r="FS895" s="1"/>
    </row>
    <row r="896" spans="1:175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R896" s="1"/>
      <c r="S896" s="1"/>
      <c r="T896" s="1"/>
      <c r="U896" s="1"/>
      <c r="V896" s="1"/>
      <c r="Y896" s="1"/>
      <c r="Z896" s="2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U896" s="1"/>
      <c r="AW896" s="1"/>
      <c r="AX896" s="1"/>
      <c r="AY896" s="1"/>
      <c r="AZ896" s="1"/>
      <c r="BA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  <c r="DB896" s="1"/>
      <c r="DC896" s="1"/>
      <c r="DD896" s="1"/>
      <c r="DE896" s="1"/>
      <c r="DF896" s="1"/>
      <c r="DG896" s="1"/>
      <c r="DH896" s="1"/>
      <c r="DI896" s="1"/>
      <c r="DJ896" s="1"/>
      <c r="DK896" s="1"/>
      <c r="DL896" s="1"/>
      <c r="DM896" s="1"/>
      <c r="DN896" s="1"/>
      <c r="DO896" s="1"/>
      <c r="DP896" s="1"/>
      <c r="DQ896" s="1"/>
      <c r="DR896" s="1"/>
      <c r="DS896" s="1"/>
      <c r="DT896" s="1"/>
      <c r="DU896" s="1"/>
      <c r="DV896" s="1"/>
      <c r="DW896" s="1"/>
      <c r="DX896" s="1"/>
      <c r="DY896" s="1"/>
      <c r="DZ896" s="1"/>
      <c r="EA896" s="1"/>
      <c r="EB896" s="1"/>
      <c r="EC896" s="1"/>
      <c r="ED896" s="1"/>
      <c r="EE896" s="1"/>
      <c r="EF896" s="1"/>
      <c r="EG896" s="1"/>
      <c r="EH896" s="1"/>
      <c r="EI896" s="1"/>
      <c r="EJ896" s="1"/>
      <c r="EK896" s="1"/>
      <c r="EL896" s="1"/>
      <c r="EM896" s="1"/>
      <c r="EN896" s="1"/>
      <c r="EO896" s="1"/>
      <c r="EP896" s="1"/>
      <c r="EQ896" s="1"/>
      <c r="ER896" s="1"/>
      <c r="ES896" s="1"/>
      <c r="ET896" s="1"/>
      <c r="EU896" s="1"/>
      <c r="EV896" s="1"/>
      <c r="EW896" s="1"/>
      <c r="EX896" s="1"/>
      <c r="EY896" s="1"/>
      <c r="EZ896" s="1"/>
      <c r="FA896" s="1"/>
      <c r="FB896" s="1"/>
      <c r="FC896" s="1"/>
      <c r="FD896" s="1"/>
      <c r="FE896" s="1"/>
      <c r="FF896" s="1"/>
      <c r="FG896" s="1"/>
      <c r="FH896" s="1"/>
      <c r="FI896" s="1"/>
      <c r="FJ896" s="1"/>
      <c r="FK896" s="1"/>
      <c r="FL896" s="1"/>
      <c r="FM896" s="1"/>
      <c r="FN896" s="1"/>
      <c r="FO896" s="1"/>
      <c r="FP896" s="1"/>
      <c r="FQ896" s="1"/>
      <c r="FR896" s="2"/>
      <c r="FS896" s="1"/>
    </row>
    <row r="897" spans="1:175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R897" s="1"/>
      <c r="S897" s="1"/>
      <c r="T897" s="1"/>
      <c r="U897" s="1"/>
      <c r="V897" s="1"/>
      <c r="Y897" s="1"/>
      <c r="Z897" s="2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U897" s="1"/>
      <c r="AW897" s="1"/>
      <c r="AX897" s="1"/>
      <c r="AY897" s="1"/>
      <c r="AZ897" s="1"/>
      <c r="BA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  <c r="DB897" s="1"/>
      <c r="DC897" s="1"/>
      <c r="DD897" s="1"/>
      <c r="DE897" s="1"/>
      <c r="DF897" s="1"/>
      <c r="DG897" s="1"/>
      <c r="DH897" s="1"/>
      <c r="DI897" s="1"/>
      <c r="DJ897" s="1"/>
      <c r="DK897" s="1"/>
      <c r="DL897" s="1"/>
      <c r="DM897" s="1"/>
      <c r="DN897" s="1"/>
      <c r="DO897" s="1"/>
      <c r="DP897" s="1"/>
      <c r="DQ897" s="1"/>
      <c r="DR897" s="1"/>
      <c r="DS897" s="1"/>
      <c r="DT897" s="1"/>
      <c r="DU897" s="1"/>
      <c r="DV897" s="1"/>
      <c r="DW897" s="1"/>
      <c r="DX897" s="1"/>
      <c r="DY897" s="1"/>
      <c r="DZ897" s="1"/>
      <c r="EA897" s="1"/>
      <c r="EB897" s="1"/>
      <c r="EC897" s="1"/>
      <c r="ED897" s="1"/>
      <c r="EE897" s="1"/>
      <c r="EF897" s="1"/>
      <c r="EG897" s="1"/>
      <c r="EH897" s="1"/>
      <c r="EI897" s="1"/>
      <c r="EJ897" s="1"/>
      <c r="EK897" s="1"/>
      <c r="EL897" s="1"/>
      <c r="EM897" s="1"/>
      <c r="EN897" s="1"/>
      <c r="EO897" s="1"/>
      <c r="EP897" s="1"/>
      <c r="EQ897" s="1"/>
      <c r="ER897" s="1"/>
      <c r="ES897" s="1"/>
      <c r="ET897" s="1"/>
      <c r="EU897" s="1"/>
      <c r="EV897" s="1"/>
      <c r="EW897" s="1"/>
      <c r="EX897" s="1"/>
      <c r="EY897" s="1"/>
      <c r="EZ897" s="1"/>
      <c r="FA897" s="1"/>
      <c r="FB897" s="1"/>
      <c r="FC897" s="1"/>
      <c r="FD897" s="1"/>
      <c r="FE897" s="1"/>
      <c r="FF897" s="1"/>
      <c r="FG897" s="1"/>
      <c r="FH897" s="1"/>
      <c r="FI897" s="1"/>
      <c r="FJ897" s="1"/>
      <c r="FK897" s="1"/>
      <c r="FL897" s="1"/>
      <c r="FM897" s="1"/>
      <c r="FN897" s="1"/>
      <c r="FO897" s="1"/>
      <c r="FP897" s="1"/>
      <c r="FQ897" s="1"/>
      <c r="FR897" s="2"/>
      <c r="FS897" s="1"/>
    </row>
    <row r="898" spans="1:175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R898" s="1"/>
      <c r="S898" s="1"/>
      <c r="T898" s="1"/>
      <c r="U898" s="1"/>
      <c r="V898" s="1"/>
      <c r="Y898" s="1"/>
      <c r="Z898" s="2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U898" s="1"/>
      <c r="AW898" s="1"/>
      <c r="AX898" s="1"/>
      <c r="AY898" s="1"/>
      <c r="AZ898" s="1"/>
      <c r="BA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  <c r="DB898" s="1"/>
      <c r="DC898" s="1"/>
      <c r="DD898" s="1"/>
      <c r="DE898" s="1"/>
      <c r="DF898" s="1"/>
      <c r="DG898" s="1"/>
      <c r="DH898" s="1"/>
      <c r="DI898" s="1"/>
      <c r="DJ898" s="1"/>
      <c r="DK898" s="1"/>
      <c r="DL898" s="1"/>
      <c r="DM898" s="1"/>
      <c r="DN898" s="1"/>
      <c r="DO898" s="1"/>
      <c r="DP898" s="1"/>
      <c r="DQ898" s="1"/>
      <c r="DR898" s="1"/>
      <c r="DS898" s="1"/>
      <c r="DT898" s="1"/>
      <c r="DU898" s="1"/>
      <c r="DV898" s="1"/>
      <c r="DW898" s="1"/>
      <c r="DX898" s="1"/>
      <c r="DY898" s="1"/>
      <c r="DZ898" s="1"/>
      <c r="EA898" s="1"/>
      <c r="EB898" s="1"/>
      <c r="EC898" s="1"/>
      <c r="ED898" s="1"/>
      <c r="EE898" s="1"/>
      <c r="EF898" s="1"/>
      <c r="EG898" s="1"/>
      <c r="EH898" s="1"/>
      <c r="EI898" s="1"/>
      <c r="EJ898" s="1"/>
      <c r="EK898" s="1"/>
      <c r="EL898" s="1"/>
      <c r="EM898" s="1"/>
      <c r="EN898" s="1"/>
      <c r="EO898" s="1"/>
      <c r="EP898" s="1"/>
      <c r="EQ898" s="1"/>
      <c r="ER898" s="1"/>
      <c r="ES898" s="1"/>
      <c r="ET898" s="1"/>
      <c r="EU898" s="1"/>
      <c r="EV898" s="1"/>
      <c r="EW898" s="1"/>
      <c r="EX898" s="1"/>
      <c r="EY898" s="1"/>
      <c r="EZ898" s="1"/>
      <c r="FA898" s="1"/>
      <c r="FB898" s="1"/>
      <c r="FC898" s="1"/>
      <c r="FD898" s="1"/>
      <c r="FE898" s="1"/>
      <c r="FF898" s="1"/>
      <c r="FG898" s="1"/>
      <c r="FH898" s="1"/>
      <c r="FI898" s="1"/>
      <c r="FJ898" s="1"/>
      <c r="FK898" s="1"/>
      <c r="FL898" s="1"/>
      <c r="FM898" s="1"/>
      <c r="FN898" s="1"/>
      <c r="FO898" s="1"/>
      <c r="FP898" s="1"/>
      <c r="FQ898" s="1"/>
      <c r="FR898" s="2"/>
      <c r="FS898" s="1"/>
    </row>
    <row r="899" spans="1:175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R899" s="1"/>
      <c r="S899" s="1"/>
      <c r="T899" s="1"/>
      <c r="U899" s="1"/>
      <c r="V899" s="1"/>
      <c r="Y899" s="1"/>
      <c r="Z899" s="2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U899" s="1"/>
      <c r="AW899" s="1"/>
      <c r="AX899" s="1"/>
      <c r="AY899" s="1"/>
      <c r="AZ899" s="1"/>
      <c r="BA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  <c r="DB899" s="1"/>
      <c r="DC899" s="1"/>
      <c r="DD899" s="1"/>
      <c r="DE899" s="1"/>
      <c r="DF899" s="1"/>
      <c r="DG899" s="1"/>
      <c r="DH899" s="1"/>
      <c r="DI899" s="1"/>
      <c r="DJ899" s="1"/>
      <c r="DK899" s="1"/>
      <c r="DL899" s="1"/>
      <c r="DM899" s="1"/>
      <c r="DN899" s="1"/>
      <c r="DO899" s="1"/>
      <c r="DP899" s="1"/>
      <c r="DQ899" s="1"/>
      <c r="DR899" s="1"/>
      <c r="DS899" s="1"/>
      <c r="DT899" s="1"/>
      <c r="DU899" s="1"/>
      <c r="DV899" s="1"/>
      <c r="DW899" s="1"/>
      <c r="DX899" s="1"/>
      <c r="DY899" s="1"/>
      <c r="DZ899" s="1"/>
      <c r="EA899" s="1"/>
      <c r="EB899" s="1"/>
      <c r="EC899" s="1"/>
      <c r="ED899" s="1"/>
      <c r="EE899" s="1"/>
      <c r="EF899" s="1"/>
      <c r="EG899" s="1"/>
      <c r="EH899" s="1"/>
      <c r="EI899" s="1"/>
      <c r="EJ899" s="1"/>
      <c r="EK899" s="1"/>
      <c r="EL899" s="1"/>
      <c r="EM899" s="1"/>
      <c r="EN899" s="1"/>
      <c r="EO899" s="1"/>
      <c r="EP899" s="1"/>
      <c r="EQ899" s="1"/>
      <c r="ER899" s="1"/>
      <c r="ES899" s="1"/>
      <c r="ET899" s="1"/>
      <c r="EU899" s="1"/>
      <c r="EV899" s="1"/>
      <c r="EW899" s="1"/>
      <c r="EX899" s="1"/>
      <c r="EY899" s="1"/>
      <c r="EZ899" s="1"/>
      <c r="FA899" s="1"/>
      <c r="FB899" s="1"/>
      <c r="FC899" s="1"/>
      <c r="FD899" s="1"/>
      <c r="FE899" s="1"/>
      <c r="FF899" s="1"/>
      <c r="FG899" s="1"/>
      <c r="FH899" s="1"/>
      <c r="FI899" s="1"/>
      <c r="FJ899" s="1"/>
      <c r="FK899" s="1"/>
      <c r="FL899" s="1"/>
      <c r="FM899" s="1"/>
      <c r="FN899" s="1"/>
      <c r="FO899" s="1"/>
      <c r="FP899" s="1"/>
      <c r="FQ899" s="1"/>
      <c r="FR899" s="2"/>
      <c r="FS899" s="1"/>
    </row>
    <row r="900" spans="1:175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R900" s="1"/>
      <c r="S900" s="1"/>
      <c r="T900" s="1"/>
      <c r="U900" s="1"/>
      <c r="V900" s="1"/>
      <c r="Y900" s="1"/>
      <c r="Z900" s="2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U900" s="1"/>
      <c r="AW900" s="1"/>
      <c r="AX900" s="1"/>
      <c r="AY900" s="1"/>
      <c r="AZ900" s="1"/>
      <c r="BA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  <c r="DB900" s="1"/>
      <c r="DC900" s="1"/>
      <c r="DD900" s="1"/>
      <c r="DE900" s="1"/>
      <c r="DF900" s="1"/>
      <c r="DG900" s="1"/>
      <c r="DH900" s="1"/>
      <c r="DI900" s="1"/>
      <c r="DJ900" s="1"/>
      <c r="DK900" s="1"/>
      <c r="DL900" s="1"/>
      <c r="DM900" s="1"/>
      <c r="DN900" s="1"/>
      <c r="DO900" s="1"/>
      <c r="DP900" s="1"/>
      <c r="DQ900" s="1"/>
      <c r="DR900" s="1"/>
      <c r="DS900" s="1"/>
      <c r="DT900" s="1"/>
      <c r="DU900" s="1"/>
      <c r="DV900" s="1"/>
      <c r="DW900" s="1"/>
      <c r="DX900" s="1"/>
      <c r="DY900" s="1"/>
      <c r="DZ900" s="1"/>
      <c r="EA900" s="1"/>
      <c r="EB900" s="1"/>
      <c r="EC900" s="1"/>
      <c r="ED900" s="1"/>
      <c r="EE900" s="1"/>
      <c r="EF900" s="1"/>
      <c r="EG900" s="1"/>
      <c r="EH900" s="1"/>
      <c r="EI900" s="1"/>
      <c r="EJ900" s="1"/>
      <c r="EK900" s="1"/>
      <c r="EL900" s="1"/>
      <c r="EM900" s="1"/>
      <c r="EN900" s="1"/>
      <c r="EO900" s="1"/>
      <c r="EP900" s="1"/>
      <c r="EQ900" s="1"/>
      <c r="ER900" s="1"/>
      <c r="ES900" s="1"/>
      <c r="ET900" s="1"/>
      <c r="EU900" s="1"/>
      <c r="EV900" s="1"/>
      <c r="EW900" s="1"/>
      <c r="EX900" s="1"/>
      <c r="EY900" s="1"/>
      <c r="EZ900" s="1"/>
      <c r="FA900" s="1"/>
      <c r="FB900" s="1"/>
      <c r="FC900" s="1"/>
      <c r="FD900" s="1"/>
      <c r="FE900" s="1"/>
      <c r="FF900" s="1"/>
      <c r="FG900" s="1"/>
      <c r="FH900" s="1"/>
      <c r="FI900" s="1"/>
      <c r="FJ900" s="1"/>
      <c r="FK900" s="1"/>
      <c r="FL900" s="1"/>
      <c r="FM900" s="1"/>
      <c r="FN900" s="1"/>
      <c r="FO900" s="1"/>
      <c r="FP900" s="1"/>
      <c r="FQ900" s="1"/>
      <c r="FR900" s="2"/>
      <c r="FS900" s="1"/>
    </row>
    <row r="901" spans="1:175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R901" s="1"/>
      <c r="S901" s="1"/>
      <c r="T901" s="1"/>
      <c r="U901" s="1"/>
      <c r="V901" s="1"/>
      <c r="Y901" s="1"/>
      <c r="Z901" s="2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U901" s="1"/>
      <c r="AW901" s="1"/>
      <c r="AX901" s="1"/>
      <c r="AY901" s="1"/>
      <c r="AZ901" s="1"/>
      <c r="BA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  <c r="DB901" s="1"/>
      <c r="DC901" s="1"/>
      <c r="DD901" s="1"/>
      <c r="DE901" s="1"/>
      <c r="DF901" s="1"/>
      <c r="DG901" s="1"/>
      <c r="DH901" s="1"/>
      <c r="DI901" s="1"/>
      <c r="DJ901" s="1"/>
      <c r="DK901" s="1"/>
      <c r="DL901" s="1"/>
      <c r="DM901" s="1"/>
      <c r="DN901" s="1"/>
      <c r="DO901" s="1"/>
      <c r="DP901" s="1"/>
      <c r="DQ901" s="1"/>
      <c r="DR901" s="1"/>
      <c r="DS901" s="1"/>
      <c r="DT901" s="1"/>
      <c r="DU901" s="1"/>
      <c r="DV901" s="1"/>
      <c r="DW901" s="1"/>
      <c r="DX901" s="1"/>
      <c r="DY901" s="1"/>
      <c r="DZ901" s="1"/>
      <c r="EA901" s="1"/>
      <c r="EB901" s="1"/>
      <c r="EC901" s="1"/>
      <c r="ED901" s="1"/>
      <c r="EE901" s="1"/>
      <c r="EF901" s="1"/>
      <c r="EG901" s="1"/>
      <c r="EH901" s="1"/>
      <c r="EI901" s="1"/>
      <c r="EJ901" s="1"/>
      <c r="EK901" s="1"/>
      <c r="EL901" s="1"/>
      <c r="EM901" s="1"/>
      <c r="EN901" s="1"/>
      <c r="EO901" s="1"/>
      <c r="EP901" s="1"/>
      <c r="EQ901" s="1"/>
      <c r="ER901" s="1"/>
      <c r="ES901" s="1"/>
      <c r="ET901" s="1"/>
      <c r="EU901" s="1"/>
      <c r="EV901" s="1"/>
      <c r="EW901" s="1"/>
      <c r="EX901" s="1"/>
      <c r="EY901" s="1"/>
      <c r="EZ901" s="1"/>
      <c r="FA901" s="1"/>
      <c r="FB901" s="1"/>
      <c r="FC901" s="1"/>
      <c r="FD901" s="1"/>
      <c r="FE901" s="1"/>
      <c r="FF901" s="1"/>
      <c r="FG901" s="1"/>
      <c r="FH901" s="1"/>
      <c r="FI901" s="1"/>
      <c r="FJ901" s="1"/>
      <c r="FK901" s="1"/>
      <c r="FL901" s="1"/>
      <c r="FM901" s="1"/>
      <c r="FN901" s="1"/>
      <c r="FO901" s="1"/>
      <c r="FP901" s="1"/>
      <c r="FQ901" s="1"/>
      <c r="FR901" s="2"/>
      <c r="FS901" s="1"/>
    </row>
    <row r="902" spans="1:175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R902" s="1"/>
      <c r="S902" s="1"/>
      <c r="T902" s="1"/>
      <c r="U902" s="1"/>
      <c r="V902" s="1"/>
      <c r="Y902" s="1"/>
      <c r="Z902" s="2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U902" s="1"/>
      <c r="AW902" s="1"/>
      <c r="AX902" s="1"/>
      <c r="AY902" s="1"/>
      <c r="AZ902" s="1"/>
      <c r="BA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  <c r="DB902" s="1"/>
      <c r="DC902" s="1"/>
      <c r="DD902" s="1"/>
      <c r="DE902" s="1"/>
      <c r="DF902" s="1"/>
      <c r="DG902" s="1"/>
      <c r="DH902" s="1"/>
      <c r="DI902" s="1"/>
      <c r="DJ902" s="1"/>
      <c r="DK902" s="1"/>
      <c r="DL902" s="1"/>
      <c r="DM902" s="1"/>
      <c r="DN902" s="1"/>
      <c r="DO902" s="1"/>
      <c r="DP902" s="1"/>
      <c r="DQ902" s="1"/>
      <c r="DR902" s="1"/>
      <c r="DS902" s="1"/>
      <c r="DT902" s="1"/>
      <c r="DU902" s="1"/>
      <c r="DV902" s="1"/>
      <c r="DW902" s="1"/>
      <c r="DX902" s="1"/>
      <c r="DY902" s="1"/>
      <c r="DZ902" s="1"/>
      <c r="EA902" s="1"/>
      <c r="EB902" s="1"/>
      <c r="EC902" s="1"/>
      <c r="ED902" s="1"/>
      <c r="EE902" s="1"/>
      <c r="EF902" s="1"/>
      <c r="EG902" s="1"/>
      <c r="EH902" s="1"/>
      <c r="EI902" s="1"/>
      <c r="EJ902" s="1"/>
      <c r="EK902" s="1"/>
      <c r="EL902" s="1"/>
      <c r="EM902" s="1"/>
      <c r="EN902" s="1"/>
      <c r="EO902" s="1"/>
      <c r="EP902" s="1"/>
      <c r="EQ902" s="1"/>
      <c r="ER902" s="1"/>
      <c r="ES902" s="1"/>
      <c r="ET902" s="1"/>
      <c r="EU902" s="1"/>
      <c r="EV902" s="1"/>
      <c r="EW902" s="1"/>
      <c r="EX902" s="1"/>
      <c r="EY902" s="1"/>
      <c r="EZ902" s="1"/>
      <c r="FA902" s="1"/>
      <c r="FB902" s="1"/>
      <c r="FC902" s="1"/>
      <c r="FD902" s="1"/>
      <c r="FE902" s="1"/>
      <c r="FF902" s="1"/>
      <c r="FG902" s="1"/>
      <c r="FH902" s="1"/>
      <c r="FI902" s="1"/>
      <c r="FJ902" s="1"/>
      <c r="FK902" s="1"/>
      <c r="FL902" s="1"/>
      <c r="FM902" s="1"/>
      <c r="FN902" s="1"/>
      <c r="FO902" s="1"/>
      <c r="FP902" s="1"/>
      <c r="FQ902" s="1"/>
      <c r="FR902" s="2"/>
      <c r="FS902" s="1"/>
    </row>
    <row r="903" spans="1:175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R903" s="1"/>
      <c r="S903" s="1"/>
      <c r="T903" s="1"/>
      <c r="U903" s="1"/>
      <c r="V903" s="1"/>
      <c r="Y903" s="1"/>
      <c r="Z903" s="2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U903" s="1"/>
      <c r="AW903" s="1"/>
      <c r="AX903" s="1"/>
      <c r="AY903" s="1"/>
      <c r="AZ903" s="1"/>
      <c r="BA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  <c r="DB903" s="1"/>
      <c r="DC903" s="1"/>
      <c r="DD903" s="1"/>
      <c r="DE903" s="1"/>
      <c r="DF903" s="1"/>
      <c r="DG903" s="1"/>
      <c r="DH903" s="1"/>
      <c r="DI903" s="1"/>
      <c r="DJ903" s="1"/>
      <c r="DK903" s="1"/>
      <c r="DL903" s="1"/>
      <c r="DM903" s="1"/>
      <c r="DN903" s="1"/>
      <c r="DO903" s="1"/>
      <c r="DP903" s="1"/>
      <c r="DQ903" s="1"/>
      <c r="DR903" s="1"/>
      <c r="DS903" s="1"/>
      <c r="DT903" s="1"/>
      <c r="DU903" s="1"/>
      <c r="DV903" s="1"/>
      <c r="DW903" s="1"/>
      <c r="DX903" s="1"/>
      <c r="DY903" s="1"/>
      <c r="DZ903" s="1"/>
      <c r="EA903" s="1"/>
      <c r="EB903" s="1"/>
      <c r="EC903" s="1"/>
      <c r="ED903" s="1"/>
      <c r="EE903" s="1"/>
      <c r="EF903" s="1"/>
      <c r="EG903" s="1"/>
      <c r="EH903" s="1"/>
      <c r="EI903" s="1"/>
      <c r="EJ903" s="1"/>
      <c r="EK903" s="1"/>
      <c r="EL903" s="1"/>
      <c r="EM903" s="1"/>
      <c r="EN903" s="1"/>
      <c r="EO903" s="1"/>
      <c r="EP903" s="1"/>
      <c r="EQ903" s="1"/>
      <c r="ER903" s="1"/>
      <c r="ES903" s="1"/>
      <c r="ET903" s="1"/>
      <c r="EU903" s="1"/>
      <c r="EV903" s="1"/>
      <c r="EW903" s="1"/>
      <c r="EX903" s="1"/>
      <c r="EY903" s="1"/>
      <c r="EZ903" s="1"/>
      <c r="FA903" s="1"/>
      <c r="FB903" s="1"/>
      <c r="FC903" s="1"/>
      <c r="FD903" s="1"/>
      <c r="FE903" s="1"/>
      <c r="FF903" s="1"/>
      <c r="FG903" s="1"/>
      <c r="FH903" s="1"/>
      <c r="FI903" s="1"/>
      <c r="FJ903" s="1"/>
      <c r="FK903" s="1"/>
      <c r="FL903" s="1"/>
      <c r="FM903" s="1"/>
      <c r="FN903" s="1"/>
      <c r="FO903" s="1"/>
      <c r="FP903" s="1"/>
      <c r="FQ903" s="1"/>
      <c r="FR903" s="2"/>
      <c r="FS903" s="1"/>
    </row>
    <row r="904" spans="1:175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R904" s="1"/>
      <c r="S904" s="1"/>
      <c r="T904" s="1"/>
      <c r="U904" s="1"/>
      <c r="V904" s="1"/>
      <c r="Y904" s="1"/>
      <c r="Z904" s="2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U904" s="1"/>
      <c r="AW904" s="1"/>
      <c r="AX904" s="1"/>
      <c r="AY904" s="1"/>
      <c r="AZ904" s="1"/>
      <c r="BA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  <c r="DB904" s="1"/>
      <c r="DC904" s="1"/>
      <c r="DD904" s="1"/>
      <c r="DE904" s="1"/>
      <c r="DF904" s="1"/>
      <c r="DG904" s="1"/>
      <c r="DH904" s="1"/>
      <c r="DI904" s="1"/>
      <c r="DJ904" s="1"/>
      <c r="DK904" s="1"/>
      <c r="DL904" s="1"/>
      <c r="DM904" s="1"/>
      <c r="DN904" s="1"/>
      <c r="DO904" s="1"/>
      <c r="DP904" s="1"/>
      <c r="DQ904" s="1"/>
      <c r="DR904" s="1"/>
      <c r="DS904" s="1"/>
      <c r="DT904" s="1"/>
      <c r="DU904" s="1"/>
      <c r="DV904" s="1"/>
      <c r="DW904" s="1"/>
      <c r="DX904" s="1"/>
      <c r="DY904" s="1"/>
      <c r="DZ904" s="1"/>
      <c r="EA904" s="1"/>
      <c r="EB904" s="1"/>
      <c r="EC904" s="1"/>
      <c r="ED904" s="1"/>
      <c r="EE904" s="1"/>
      <c r="EF904" s="1"/>
      <c r="EG904" s="1"/>
      <c r="EH904" s="1"/>
      <c r="EI904" s="1"/>
      <c r="EJ904" s="1"/>
      <c r="EK904" s="1"/>
      <c r="EL904" s="1"/>
      <c r="EM904" s="1"/>
      <c r="EN904" s="1"/>
      <c r="EO904" s="1"/>
      <c r="EP904" s="1"/>
      <c r="EQ904" s="1"/>
      <c r="ER904" s="1"/>
      <c r="ES904" s="1"/>
      <c r="ET904" s="1"/>
      <c r="EU904" s="1"/>
      <c r="EV904" s="1"/>
      <c r="EW904" s="1"/>
      <c r="EX904" s="1"/>
      <c r="EY904" s="1"/>
      <c r="EZ904" s="1"/>
      <c r="FA904" s="1"/>
      <c r="FB904" s="1"/>
      <c r="FC904" s="1"/>
      <c r="FD904" s="1"/>
      <c r="FE904" s="1"/>
      <c r="FF904" s="1"/>
      <c r="FG904" s="1"/>
      <c r="FH904" s="1"/>
      <c r="FI904" s="1"/>
      <c r="FJ904" s="1"/>
      <c r="FK904" s="1"/>
      <c r="FL904" s="1"/>
      <c r="FM904" s="1"/>
      <c r="FN904" s="1"/>
      <c r="FO904" s="1"/>
      <c r="FP904" s="1"/>
      <c r="FQ904" s="1"/>
      <c r="FR904" s="2"/>
      <c r="FS904" s="1"/>
    </row>
    <row r="905" spans="1:175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R905" s="1"/>
      <c r="S905" s="1"/>
      <c r="T905" s="1"/>
      <c r="U905" s="1"/>
      <c r="V905" s="1"/>
      <c r="Y905" s="1"/>
      <c r="Z905" s="2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U905" s="1"/>
      <c r="AW905" s="1"/>
      <c r="AX905" s="1"/>
      <c r="AY905" s="1"/>
      <c r="AZ905" s="1"/>
      <c r="BA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  <c r="DB905" s="1"/>
      <c r="DC905" s="1"/>
      <c r="DD905" s="1"/>
      <c r="DE905" s="1"/>
      <c r="DF905" s="1"/>
      <c r="DG905" s="1"/>
      <c r="DH905" s="1"/>
      <c r="DI905" s="1"/>
      <c r="DJ905" s="1"/>
      <c r="DK905" s="1"/>
      <c r="DL905" s="1"/>
      <c r="DM905" s="1"/>
      <c r="DN905" s="1"/>
      <c r="DO905" s="1"/>
      <c r="DP905" s="1"/>
      <c r="DQ905" s="1"/>
      <c r="DR905" s="1"/>
      <c r="DS905" s="1"/>
      <c r="DT905" s="1"/>
      <c r="DU905" s="1"/>
      <c r="DV905" s="1"/>
      <c r="DW905" s="1"/>
      <c r="DX905" s="1"/>
      <c r="DY905" s="1"/>
      <c r="DZ905" s="1"/>
      <c r="EA905" s="1"/>
      <c r="EB905" s="1"/>
      <c r="EC905" s="1"/>
      <c r="ED905" s="1"/>
      <c r="EE905" s="1"/>
      <c r="EF905" s="1"/>
      <c r="EG905" s="1"/>
      <c r="EH905" s="1"/>
      <c r="EI905" s="1"/>
      <c r="EJ905" s="1"/>
      <c r="EK905" s="1"/>
      <c r="EL905" s="1"/>
      <c r="EM905" s="1"/>
      <c r="EN905" s="1"/>
      <c r="EO905" s="1"/>
      <c r="EP905" s="1"/>
      <c r="EQ905" s="1"/>
      <c r="ER905" s="1"/>
      <c r="ES905" s="1"/>
      <c r="ET905" s="1"/>
      <c r="EU905" s="1"/>
      <c r="EV905" s="1"/>
      <c r="EW905" s="1"/>
      <c r="EX905" s="1"/>
      <c r="EY905" s="1"/>
      <c r="EZ905" s="1"/>
      <c r="FA905" s="1"/>
      <c r="FB905" s="1"/>
      <c r="FC905" s="1"/>
      <c r="FD905" s="1"/>
      <c r="FE905" s="1"/>
      <c r="FF905" s="1"/>
      <c r="FG905" s="1"/>
      <c r="FH905" s="1"/>
      <c r="FI905" s="1"/>
      <c r="FJ905" s="1"/>
      <c r="FK905" s="1"/>
      <c r="FL905" s="1"/>
      <c r="FM905" s="1"/>
      <c r="FN905" s="1"/>
      <c r="FO905" s="1"/>
      <c r="FP905" s="1"/>
      <c r="FQ905" s="1"/>
      <c r="FR905" s="2"/>
      <c r="FS905" s="1"/>
    </row>
    <row r="906" spans="1:175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R906" s="1"/>
      <c r="S906" s="1"/>
      <c r="T906" s="1"/>
      <c r="U906" s="1"/>
      <c r="V906" s="1"/>
      <c r="Y906" s="1"/>
      <c r="Z906" s="2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U906" s="1"/>
      <c r="AW906" s="1"/>
      <c r="AX906" s="1"/>
      <c r="AY906" s="1"/>
      <c r="AZ906" s="1"/>
      <c r="BA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  <c r="DB906" s="1"/>
      <c r="DC906" s="1"/>
      <c r="DD906" s="1"/>
      <c r="DE906" s="1"/>
      <c r="DF906" s="1"/>
      <c r="DG906" s="1"/>
      <c r="DH906" s="1"/>
      <c r="DI906" s="1"/>
      <c r="DJ906" s="1"/>
      <c r="DK906" s="1"/>
      <c r="DL906" s="1"/>
      <c r="DM906" s="1"/>
      <c r="DN906" s="1"/>
      <c r="DO906" s="1"/>
      <c r="DP906" s="1"/>
      <c r="DQ906" s="1"/>
      <c r="DR906" s="1"/>
      <c r="DS906" s="1"/>
      <c r="DT906" s="1"/>
      <c r="DU906" s="1"/>
      <c r="DV906" s="1"/>
      <c r="DW906" s="1"/>
      <c r="DX906" s="1"/>
      <c r="DY906" s="1"/>
      <c r="DZ906" s="1"/>
      <c r="EA906" s="1"/>
      <c r="EB906" s="1"/>
      <c r="EC906" s="1"/>
      <c r="ED906" s="1"/>
      <c r="EE906" s="1"/>
      <c r="EF906" s="1"/>
      <c r="EG906" s="1"/>
      <c r="EH906" s="1"/>
      <c r="EI906" s="1"/>
      <c r="EJ906" s="1"/>
      <c r="EK906" s="1"/>
      <c r="EL906" s="1"/>
      <c r="EM906" s="1"/>
      <c r="EN906" s="1"/>
      <c r="EO906" s="1"/>
      <c r="EP906" s="1"/>
      <c r="EQ906" s="1"/>
      <c r="ER906" s="1"/>
      <c r="ES906" s="1"/>
      <c r="ET906" s="1"/>
      <c r="EU906" s="1"/>
      <c r="EV906" s="1"/>
      <c r="EW906" s="1"/>
      <c r="EX906" s="1"/>
      <c r="EY906" s="1"/>
      <c r="EZ906" s="1"/>
      <c r="FA906" s="1"/>
      <c r="FB906" s="1"/>
      <c r="FC906" s="1"/>
      <c r="FD906" s="1"/>
      <c r="FE906" s="1"/>
      <c r="FF906" s="1"/>
      <c r="FG906" s="1"/>
      <c r="FH906" s="1"/>
      <c r="FI906" s="1"/>
      <c r="FJ906" s="1"/>
      <c r="FK906" s="1"/>
      <c r="FL906" s="1"/>
      <c r="FM906" s="1"/>
      <c r="FN906" s="1"/>
      <c r="FO906" s="1"/>
      <c r="FP906" s="1"/>
      <c r="FQ906" s="1"/>
      <c r="FR906" s="2"/>
      <c r="FS906" s="1"/>
    </row>
    <row r="907" spans="1:175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R907" s="1"/>
      <c r="S907" s="1"/>
      <c r="T907" s="1"/>
      <c r="U907" s="1"/>
      <c r="V907" s="1"/>
      <c r="Y907" s="1"/>
      <c r="Z907" s="2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U907" s="1"/>
      <c r="AW907" s="1"/>
      <c r="AX907" s="1"/>
      <c r="AY907" s="1"/>
      <c r="AZ907" s="1"/>
      <c r="BA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  <c r="DB907" s="1"/>
      <c r="DC907" s="1"/>
      <c r="DD907" s="1"/>
      <c r="DE907" s="1"/>
      <c r="DF907" s="1"/>
      <c r="DG907" s="1"/>
      <c r="DH907" s="1"/>
      <c r="DI907" s="1"/>
      <c r="DJ907" s="1"/>
      <c r="DK907" s="1"/>
      <c r="DL907" s="1"/>
      <c r="DM907" s="1"/>
      <c r="DN907" s="1"/>
      <c r="DO907" s="1"/>
      <c r="DP907" s="1"/>
      <c r="DQ907" s="1"/>
      <c r="DR907" s="1"/>
      <c r="DS907" s="1"/>
      <c r="DT907" s="1"/>
      <c r="DU907" s="1"/>
      <c r="DV907" s="1"/>
      <c r="DW907" s="1"/>
      <c r="DX907" s="1"/>
      <c r="DY907" s="1"/>
      <c r="DZ907" s="1"/>
      <c r="EA907" s="1"/>
      <c r="EB907" s="1"/>
      <c r="EC907" s="1"/>
      <c r="ED907" s="1"/>
      <c r="EE907" s="1"/>
      <c r="EF907" s="1"/>
      <c r="EG907" s="1"/>
      <c r="EH907" s="1"/>
      <c r="EI907" s="1"/>
      <c r="EJ907" s="1"/>
      <c r="EK907" s="1"/>
      <c r="EL907" s="1"/>
      <c r="EM907" s="1"/>
      <c r="EN907" s="1"/>
      <c r="EO907" s="1"/>
      <c r="EP907" s="1"/>
      <c r="EQ907" s="1"/>
      <c r="ER907" s="1"/>
      <c r="ES907" s="1"/>
      <c r="ET907" s="1"/>
      <c r="EU907" s="1"/>
      <c r="EV907" s="1"/>
      <c r="EW907" s="1"/>
      <c r="EX907" s="1"/>
      <c r="EY907" s="1"/>
      <c r="EZ907" s="1"/>
      <c r="FA907" s="1"/>
      <c r="FB907" s="1"/>
      <c r="FC907" s="1"/>
      <c r="FD907" s="1"/>
      <c r="FE907" s="1"/>
      <c r="FF907" s="1"/>
      <c r="FG907" s="1"/>
      <c r="FH907" s="1"/>
      <c r="FI907" s="1"/>
      <c r="FJ907" s="1"/>
      <c r="FK907" s="1"/>
      <c r="FL907" s="1"/>
      <c r="FM907" s="1"/>
      <c r="FN907" s="1"/>
      <c r="FO907" s="1"/>
      <c r="FP907" s="1"/>
      <c r="FQ907" s="1"/>
      <c r="FR907" s="2"/>
      <c r="FS907" s="1"/>
    </row>
    <row r="908" spans="1:175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R908" s="1"/>
      <c r="S908" s="1"/>
      <c r="T908" s="1"/>
      <c r="U908" s="1"/>
      <c r="V908" s="1"/>
      <c r="Y908" s="1"/>
      <c r="Z908" s="2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U908" s="1"/>
      <c r="AW908" s="1"/>
      <c r="AX908" s="1"/>
      <c r="AY908" s="1"/>
      <c r="AZ908" s="1"/>
      <c r="BA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  <c r="DB908" s="1"/>
      <c r="DC908" s="1"/>
      <c r="DD908" s="1"/>
      <c r="DE908" s="1"/>
      <c r="DF908" s="1"/>
      <c r="DG908" s="1"/>
      <c r="DH908" s="1"/>
      <c r="DI908" s="1"/>
      <c r="DJ908" s="1"/>
      <c r="DK908" s="1"/>
      <c r="DL908" s="1"/>
      <c r="DM908" s="1"/>
      <c r="DN908" s="1"/>
      <c r="DO908" s="1"/>
      <c r="DP908" s="1"/>
      <c r="DQ908" s="1"/>
      <c r="DR908" s="1"/>
      <c r="DS908" s="1"/>
      <c r="DT908" s="1"/>
      <c r="DU908" s="1"/>
      <c r="DV908" s="1"/>
      <c r="DW908" s="1"/>
      <c r="DX908" s="1"/>
      <c r="DY908" s="1"/>
      <c r="DZ908" s="1"/>
      <c r="EA908" s="1"/>
      <c r="EB908" s="1"/>
      <c r="EC908" s="1"/>
      <c r="ED908" s="1"/>
      <c r="EE908" s="1"/>
      <c r="EF908" s="1"/>
      <c r="EG908" s="1"/>
      <c r="EH908" s="1"/>
      <c r="EI908" s="1"/>
      <c r="EJ908" s="1"/>
      <c r="EK908" s="1"/>
      <c r="EL908" s="1"/>
      <c r="EM908" s="1"/>
      <c r="EN908" s="1"/>
      <c r="EO908" s="1"/>
      <c r="EP908" s="1"/>
      <c r="EQ908" s="1"/>
      <c r="ER908" s="1"/>
      <c r="ES908" s="1"/>
      <c r="ET908" s="1"/>
      <c r="EU908" s="1"/>
      <c r="EV908" s="1"/>
      <c r="EW908" s="1"/>
      <c r="EX908" s="1"/>
      <c r="EY908" s="1"/>
      <c r="EZ908" s="1"/>
      <c r="FA908" s="1"/>
      <c r="FB908" s="1"/>
      <c r="FC908" s="1"/>
      <c r="FD908" s="1"/>
      <c r="FE908" s="1"/>
      <c r="FF908" s="1"/>
      <c r="FG908" s="1"/>
      <c r="FH908" s="1"/>
      <c r="FI908" s="1"/>
      <c r="FJ908" s="1"/>
      <c r="FK908" s="1"/>
      <c r="FL908" s="1"/>
      <c r="FM908" s="1"/>
      <c r="FN908" s="1"/>
      <c r="FO908" s="1"/>
      <c r="FP908" s="1"/>
      <c r="FQ908" s="1"/>
      <c r="FR908" s="2"/>
      <c r="FS908" s="1"/>
    </row>
    <row r="909" spans="1:175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R909" s="1"/>
      <c r="S909" s="1"/>
      <c r="T909" s="1"/>
      <c r="U909" s="1"/>
      <c r="V909" s="1"/>
      <c r="Y909" s="1"/>
      <c r="Z909" s="2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U909" s="1"/>
      <c r="AW909" s="1"/>
      <c r="AX909" s="1"/>
      <c r="AY909" s="1"/>
      <c r="AZ909" s="1"/>
      <c r="BA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  <c r="DB909" s="1"/>
      <c r="DC909" s="1"/>
      <c r="DD909" s="1"/>
      <c r="DE909" s="1"/>
      <c r="DF909" s="1"/>
      <c r="DG909" s="1"/>
      <c r="DH909" s="1"/>
      <c r="DI909" s="1"/>
      <c r="DJ909" s="1"/>
      <c r="DK909" s="1"/>
      <c r="DL909" s="1"/>
      <c r="DM909" s="1"/>
      <c r="DN909" s="1"/>
      <c r="DO909" s="1"/>
      <c r="DP909" s="1"/>
      <c r="DQ909" s="1"/>
      <c r="DR909" s="1"/>
      <c r="DS909" s="1"/>
      <c r="DT909" s="1"/>
      <c r="DU909" s="1"/>
      <c r="DV909" s="1"/>
      <c r="DW909" s="1"/>
      <c r="DX909" s="1"/>
      <c r="DY909" s="1"/>
      <c r="DZ909" s="1"/>
      <c r="EA909" s="1"/>
      <c r="EB909" s="1"/>
      <c r="EC909" s="1"/>
      <c r="ED909" s="1"/>
      <c r="EE909" s="1"/>
      <c r="EF909" s="1"/>
      <c r="EG909" s="1"/>
      <c r="EH909" s="1"/>
      <c r="EI909" s="1"/>
      <c r="EJ909" s="1"/>
      <c r="EK909" s="1"/>
      <c r="EL909" s="1"/>
      <c r="EM909" s="1"/>
      <c r="EN909" s="1"/>
      <c r="EO909" s="1"/>
      <c r="EP909" s="1"/>
      <c r="EQ909" s="1"/>
      <c r="ER909" s="1"/>
      <c r="ES909" s="1"/>
      <c r="ET909" s="1"/>
      <c r="EU909" s="1"/>
      <c r="EV909" s="1"/>
      <c r="EW909" s="1"/>
      <c r="EX909" s="1"/>
      <c r="EY909" s="1"/>
      <c r="EZ909" s="1"/>
      <c r="FA909" s="1"/>
      <c r="FB909" s="1"/>
      <c r="FC909" s="1"/>
      <c r="FD909" s="1"/>
      <c r="FE909" s="1"/>
      <c r="FF909" s="1"/>
      <c r="FG909" s="1"/>
      <c r="FH909" s="1"/>
      <c r="FI909" s="1"/>
      <c r="FJ909" s="1"/>
      <c r="FK909" s="1"/>
      <c r="FL909" s="1"/>
      <c r="FM909" s="1"/>
      <c r="FN909" s="1"/>
      <c r="FO909" s="1"/>
      <c r="FP909" s="1"/>
      <c r="FQ909" s="1"/>
      <c r="FR909" s="2"/>
      <c r="FS909" s="1"/>
    </row>
    <row r="910" spans="1:175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R910" s="1"/>
      <c r="S910" s="1"/>
      <c r="T910" s="1"/>
      <c r="U910" s="1"/>
      <c r="V910" s="1"/>
      <c r="Y910" s="1"/>
      <c r="Z910" s="2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U910" s="1"/>
      <c r="AW910" s="1"/>
      <c r="AX910" s="1"/>
      <c r="AY910" s="1"/>
      <c r="AZ910" s="1"/>
      <c r="BA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  <c r="DB910" s="1"/>
      <c r="DC910" s="1"/>
      <c r="DD910" s="1"/>
      <c r="DE910" s="1"/>
      <c r="DF910" s="1"/>
      <c r="DG910" s="1"/>
      <c r="DH910" s="1"/>
      <c r="DI910" s="1"/>
      <c r="DJ910" s="1"/>
      <c r="DK910" s="1"/>
      <c r="DL910" s="1"/>
      <c r="DM910" s="1"/>
      <c r="DN910" s="1"/>
      <c r="DO910" s="1"/>
      <c r="DP910" s="1"/>
      <c r="DQ910" s="1"/>
      <c r="DR910" s="1"/>
      <c r="DS910" s="1"/>
      <c r="DT910" s="1"/>
      <c r="DU910" s="1"/>
      <c r="DV910" s="1"/>
      <c r="DW910" s="1"/>
      <c r="DX910" s="1"/>
      <c r="DY910" s="1"/>
      <c r="DZ910" s="1"/>
      <c r="EA910" s="1"/>
      <c r="EB910" s="1"/>
      <c r="EC910" s="1"/>
      <c r="ED910" s="1"/>
      <c r="EE910" s="1"/>
      <c r="EF910" s="1"/>
      <c r="EG910" s="1"/>
      <c r="EH910" s="1"/>
      <c r="EI910" s="1"/>
      <c r="EJ910" s="1"/>
      <c r="EK910" s="1"/>
      <c r="EL910" s="1"/>
      <c r="EM910" s="1"/>
      <c r="EN910" s="1"/>
      <c r="EO910" s="1"/>
      <c r="EP910" s="1"/>
      <c r="EQ910" s="1"/>
      <c r="ER910" s="1"/>
      <c r="ES910" s="1"/>
      <c r="ET910" s="1"/>
      <c r="EU910" s="1"/>
      <c r="EV910" s="1"/>
      <c r="EW910" s="1"/>
      <c r="EX910" s="1"/>
      <c r="EY910" s="1"/>
      <c r="EZ910" s="1"/>
      <c r="FA910" s="1"/>
      <c r="FB910" s="1"/>
      <c r="FC910" s="1"/>
      <c r="FD910" s="1"/>
      <c r="FE910" s="1"/>
      <c r="FF910" s="1"/>
      <c r="FG910" s="1"/>
      <c r="FH910" s="1"/>
      <c r="FI910" s="1"/>
      <c r="FJ910" s="1"/>
      <c r="FK910" s="1"/>
      <c r="FL910" s="1"/>
      <c r="FM910" s="1"/>
      <c r="FN910" s="1"/>
      <c r="FO910" s="1"/>
      <c r="FP910" s="1"/>
      <c r="FQ910" s="1"/>
      <c r="FR910" s="2"/>
      <c r="FS910" s="1"/>
    </row>
    <row r="911" spans="1:175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R911" s="1"/>
      <c r="S911" s="1"/>
      <c r="T911" s="1"/>
      <c r="U911" s="1"/>
      <c r="V911" s="1"/>
      <c r="Y911" s="1"/>
      <c r="Z911" s="2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U911" s="1"/>
      <c r="AW911" s="1"/>
      <c r="AX911" s="1"/>
      <c r="AY911" s="1"/>
      <c r="AZ911" s="1"/>
      <c r="BA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  <c r="DB911" s="1"/>
      <c r="DC911" s="1"/>
      <c r="DD911" s="1"/>
      <c r="DE911" s="1"/>
      <c r="DF911" s="1"/>
      <c r="DG911" s="1"/>
      <c r="DH911" s="1"/>
      <c r="DI911" s="1"/>
      <c r="DJ911" s="1"/>
      <c r="DK911" s="1"/>
      <c r="DL911" s="1"/>
      <c r="DM911" s="1"/>
      <c r="DN911" s="1"/>
      <c r="DO911" s="1"/>
      <c r="DP911" s="1"/>
      <c r="DQ911" s="1"/>
      <c r="DR911" s="1"/>
      <c r="DS911" s="1"/>
      <c r="DT911" s="1"/>
      <c r="DU911" s="1"/>
      <c r="DV911" s="1"/>
      <c r="DW911" s="1"/>
      <c r="DX911" s="1"/>
      <c r="DY911" s="1"/>
      <c r="DZ911" s="1"/>
      <c r="EA911" s="1"/>
      <c r="EB911" s="1"/>
      <c r="EC911" s="1"/>
      <c r="ED911" s="1"/>
      <c r="EE911" s="1"/>
      <c r="EF911" s="1"/>
      <c r="EG911" s="1"/>
      <c r="EH911" s="1"/>
      <c r="EI911" s="1"/>
      <c r="EJ911" s="1"/>
      <c r="EK911" s="1"/>
      <c r="EL911" s="1"/>
      <c r="EM911" s="1"/>
      <c r="EN911" s="1"/>
      <c r="EO911" s="1"/>
      <c r="EP911" s="1"/>
      <c r="EQ911" s="1"/>
      <c r="ER911" s="1"/>
      <c r="ES911" s="1"/>
      <c r="ET911" s="1"/>
      <c r="EU911" s="1"/>
      <c r="EV911" s="1"/>
      <c r="EW911" s="1"/>
      <c r="EX911" s="1"/>
      <c r="EY911" s="1"/>
      <c r="EZ911" s="1"/>
      <c r="FA911" s="1"/>
      <c r="FB911" s="1"/>
      <c r="FC911" s="1"/>
      <c r="FD911" s="1"/>
      <c r="FE911" s="1"/>
      <c r="FF911" s="1"/>
      <c r="FG911" s="1"/>
      <c r="FH911" s="1"/>
      <c r="FI911" s="1"/>
      <c r="FJ911" s="1"/>
      <c r="FK911" s="1"/>
      <c r="FL911" s="1"/>
      <c r="FM911" s="1"/>
      <c r="FN911" s="1"/>
      <c r="FO911" s="1"/>
      <c r="FP911" s="1"/>
      <c r="FQ911" s="1"/>
      <c r="FR911" s="2"/>
      <c r="FS911" s="1"/>
    </row>
    <row r="912" spans="1:175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R912" s="1"/>
      <c r="S912" s="1"/>
      <c r="T912" s="1"/>
      <c r="U912" s="1"/>
      <c r="V912" s="1"/>
      <c r="Y912" s="1"/>
      <c r="Z912" s="2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U912" s="1"/>
      <c r="AW912" s="1"/>
      <c r="AX912" s="1"/>
      <c r="AY912" s="1"/>
      <c r="AZ912" s="1"/>
      <c r="BA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  <c r="DB912" s="1"/>
      <c r="DC912" s="1"/>
      <c r="DD912" s="1"/>
      <c r="DE912" s="1"/>
      <c r="DF912" s="1"/>
      <c r="DG912" s="1"/>
      <c r="DH912" s="1"/>
      <c r="DI912" s="1"/>
      <c r="DJ912" s="1"/>
      <c r="DK912" s="1"/>
      <c r="DL912" s="1"/>
      <c r="DM912" s="1"/>
      <c r="DN912" s="1"/>
      <c r="DO912" s="1"/>
      <c r="DP912" s="1"/>
      <c r="DQ912" s="1"/>
      <c r="DR912" s="1"/>
      <c r="DS912" s="1"/>
      <c r="DT912" s="1"/>
      <c r="DU912" s="1"/>
      <c r="DV912" s="1"/>
      <c r="DW912" s="1"/>
      <c r="DX912" s="1"/>
      <c r="DY912" s="1"/>
      <c r="DZ912" s="1"/>
      <c r="EA912" s="1"/>
      <c r="EB912" s="1"/>
      <c r="EC912" s="1"/>
      <c r="ED912" s="1"/>
      <c r="EE912" s="1"/>
      <c r="EF912" s="1"/>
      <c r="EG912" s="1"/>
      <c r="EH912" s="1"/>
      <c r="EI912" s="1"/>
      <c r="EJ912" s="1"/>
      <c r="EK912" s="1"/>
      <c r="EL912" s="1"/>
      <c r="EM912" s="1"/>
      <c r="EN912" s="1"/>
      <c r="EO912" s="1"/>
      <c r="EP912" s="1"/>
      <c r="EQ912" s="1"/>
      <c r="ER912" s="1"/>
      <c r="ES912" s="1"/>
      <c r="ET912" s="1"/>
      <c r="EU912" s="1"/>
      <c r="EV912" s="1"/>
      <c r="EW912" s="1"/>
      <c r="EX912" s="1"/>
      <c r="EY912" s="1"/>
      <c r="EZ912" s="1"/>
      <c r="FA912" s="1"/>
      <c r="FB912" s="1"/>
      <c r="FC912" s="1"/>
      <c r="FD912" s="1"/>
      <c r="FE912" s="1"/>
      <c r="FF912" s="1"/>
      <c r="FG912" s="1"/>
      <c r="FH912" s="1"/>
      <c r="FI912" s="1"/>
      <c r="FJ912" s="1"/>
      <c r="FK912" s="1"/>
      <c r="FL912" s="1"/>
      <c r="FM912" s="1"/>
      <c r="FN912" s="1"/>
      <c r="FO912" s="1"/>
      <c r="FP912" s="1"/>
      <c r="FQ912" s="1"/>
      <c r="FR912" s="2"/>
      <c r="FS912" s="1"/>
    </row>
    <row r="913" spans="1:175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R913" s="1"/>
      <c r="S913" s="1"/>
      <c r="T913" s="1"/>
      <c r="U913" s="1"/>
      <c r="V913" s="1"/>
      <c r="Y913" s="1"/>
      <c r="Z913" s="2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U913" s="1"/>
      <c r="AW913" s="1"/>
      <c r="AX913" s="1"/>
      <c r="AY913" s="1"/>
      <c r="AZ913" s="1"/>
      <c r="BA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  <c r="DB913" s="1"/>
      <c r="DC913" s="1"/>
      <c r="DD913" s="1"/>
      <c r="DE913" s="1"/>
      <c r="DF913" s="1"/>
      <c r="DG913" s="1"/>
      <c r="DH913" s="1"/>
      <c r="DI913" s="1"/>
      <c r="DJ913" s="1"/>
      <c r="DK913" s="1"/>
      <c r="DL913" s="1"/>
      <c r="DM913" s="1"/>
      <c r="DN913" s="1"/>
      <c r="DO913" s="1"/>
      <c r="DP913" s="1"/>
      <c r="DQ913" s="1"/>
      <c r="DR913" s="1"/>
      <c r="DS913" s="1"/>
      <c r="DT913" s="1"/>
      <c r="DU913" s="1"/>
      <c r="DV913" s="1"/>
      <c r="DW913" s="1"/>
      <c r="DX913" s="1"/>
      <c r="DY913" s="1"/>
      <c r="DZ913" s="1"/>
      <c r="EA913" s="1"/>
      <c r="EB913" s="1"/>
      <c r="EC913" s="1"/>
      <c r="ED913" s="1"/>
      <c r="EE913" s="1"/>
      <c r="EF913" s="1"/>
      <c r="EG913" s="1"/>
      <c r="EH913" s="1"/>
      <c r="EI913" s="1"/>
      <c r="EJ913" s="1"/>
      <c r="EK913" s="1"/>
      <c r="EL913" s="1"/>
      <c r="EM913" s="1"/>
      <c r="EN913" s="1"/>
      <c r="EO913" s="1"/>
      <c r="EP913" s="1"/>
      <c r="EQ913" s="1"/>
      <c r="ER913" s="1"/>
      <c r="ES913" s="1"/>
      <c r="ET913" s="1"/>
      <c r="EU913" s="1"/>
      <c r="EV913" s="1"/>
      <c r="EW913" s="1"/>
      <c r="EX913" s="1"/>
      <c r="EY913" s="1"/>
      <c r="EZ913" s="1"/>
      <c r="FA913" s="1"/>
      <c r="FB913" s="1"/>
      <c r="FC913" s="1"/>
      <c r="FD913" s="1"/>
      <c r="FE913" s="1"/>
      <c r="FF913" s="1"/>
      <c r="FG913" s="1"/>
      <c r="FH913" s="1"/>
      <c r="FI913" s="1"/>
      <c r="FJ913" s="1"/>
      <c r="FK913" s="1"/>
      <c r="FL913" s="1"/>
      <c r="FM913" s="1"/>
      <c r="FN913" s="1"/>
      <c r="FO913" s="1"/>
      <c r="FP913" s="1"/>
      <c r="FQ913" s="1"/>
      <c r="FR913" s="2"/>
      <c r="FS913" s="1"/>
    </row>
    <row r="914" spans="1:175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R914" s="1"/>
      <c r="S914" s="1"/>
      <c r="T914" s="1"/>
      <c r="U914" s="1"/>
      <c r="V914" s="1"/>
      <c r="Y914" s="1"/>
      <c r="Z914" s="2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U914" s="1"/>
      <c r="AW914" s="1"/>
      <c r="AX914" s="1"/>
      <c r="AY914" s="1"/>
      <c r="AZ914" s="1"/>
      <c r="BA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  <c r="DB914" s="1"/>
      <c r="DC914" s="1"/>
      <c r="DD914" s="1"/>
      <c r="DE914" s="1"/>
      <c r="DF914" s="1"/>
      <c r="DG914" s="1"/>
      <c r="DH914" s="1"/>
      <c r="DI914" s="1"/>
      <c r="DJ914" s="1"/>
      <c r="DK914" s="1"/>
      <c r="DL914" s="1"/>
      <c r="DM914" s="1"/>
      <c r="DN914" s="1"/>
      <c r="DO914" s="1"/>
      <c r="DP914" s="1"/>
      <c r="DQ914" s="1"/>
      <c r="DR914" s="1"/>
      <c r="DS914" s="1"/>
      <c r="DT914" s="1"/>
      <c r="DU914" s="1"/>
      <c r="DV914" s="1"/>
      <c r="DW914" s="1"/>
      <c r="DX914" s="1"/>
      <c r="DY914" s="1"/>
      <c r="DZ914" s="1"/>
      <c r="EA914" s="1"/>
      <c r="EB914" s="1"/>
      <c r="EC914" s="1"/>
      <c r="ED914" s="1"/>
      <c r="EE914" s="1"/>
      <c r="EF914" s="1"/>
      <c r="EG914" s="1"/>
      <c r="EH914" s="1"/>
      <c r="EI914" s="1"/>
      <c r="EJ914" s="1"/>
      <c r="EK914" s="1"/>
      <c r="EL914" s="1"/>
      <c r="EM914" s="1"/>
      <c r="EN914" s="1"/>
      <c r="EO914" s="1"/>
      <c r="EP914" s="1"/>
      <c r="EQ914" s="1"/>
      <c r="ER914" s="1"/>
      <c r="ES914" s="1"/>
      <c r="ET914" s="1"/>
      <c r="EU914" s="1"/>
      <c r="EV914" s="1"/>
      <c r="EW914" s="1"/>
      <c r="EX914" s="1"/>
      <c r="EY914" s="1"/>
      <c r="EZ914" s="1"/>
      <c r="FA914" s="1"/>
      <c r="FB914" s="1"/>
      <c r="FC914" s="1"/>
      <c r="FD914" s="1"/>
      <c r="FE914" s="1"/>
      <c r="FF914" s="1"/>
      <c r="FG914" s="1"/>
      <c r="FH914" s="1"/>
      <c r="FI914" s="1"/>
      <c r="FJ914" s="1"/>
      <c r="FK914" s="1"/>
      <c r="FL914" s="1"/>
      <c r="FM914" s="1"/>
      <c r="FN914" s="1"/>
      <c r="FO914" s="1"/>
      <c r="FP914" s="1"/>
      <c r="FQ914" s="1"/>
      <c r="FR914" s="2"/>
      <c r="FS914" s="1"/>
    </row>
    <row r="915" spans="1:175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R915" s="1"/>
      <c r="S915" s="1"/>
      <c r="T915" s="1"/>
      <c r="U915" s="1"/>
      <c r="V915" s="1"/>
      <c r="Y915" s="1"/>
      <c r="Z915" s="2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U915" s="1"/>
      <c r="AW915" s="1"/>
      <c r="AX915" s="1"/>
      <c r="AY915" s="1"/>
      <c r="AZ915" s="1"/>
      <c r="BA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  <c r="DB915" s="1"/>
      <c r="DC915" s="1"/>
      <c r="DD915" s="1"/>
      <c r="DE915" s="1"/>
      <c r="DF915" s="1"/>
      <c r="DG915" s="1"/>
      <c r="DH915" s="1"/>
      <c r="DI915" s="1"/>
      <c r="DJ915" s="1"/>
      <c r="DK915" s="1"/>
      <c r="DL915" s="1"/>
      <c r="DM915" s="1"/>
      <c r="DN915" s="1"/>
      <c r="DO915" s="1"/>
      <c r="DP915" s="1"/>
      <c r="DQ915" s="1"/>
      <c r="DR915" s="1"/>
      <c r="DS915" s="1"/>
      <c r="DT915" s="1"/>
      <c r="DU915" s="1"/>
      <c r="DV915" s="1"/>
      <c r="DW915" s="1"/>
      <c r="DX915" s="1"/>
      <c r="DY915" s="1"/>
      <c r="DZ915" s="1"/>
      <c r="EA915" s="1"/>
      <c r="EB915" s="1"/>
      <c r="EC915" s="1"/>
      <c r="ED915" s="1"/>
      <c r="EE915" s="1"/>
      <c r="EF915" s="1"/>
      <c r="EG915" s="1"/>
      <c r="EH915" s="1"/>
      <c r="EI915" s="1"/>
      <c r="EJ915" s="1"/>
      <c r="EK915" s="1"/>
      <c r="EL915" s="1"/>
      <c r="EM915" s="1"/>
      <c r="EN915" s="1"/>
      <c r="EO915" s="1"/>
      <c r="EP915" s="1"/>
      <c r="EQ915" s="1"/>
      <c r="ER915" s="1"/>
      <c r="ES915" s="1"/>
      <c r="ET915" s="1"/>
      <c r="EU915" s="1"/>
      <c r="EV915" s="1"/>
      <c r="EW915" s="1"/>
      <c r="EX915" s="1"/>
      <c r="EY915" s="1"/>
      <c r="EZ915" s="1"/>
      <c r="FA915" s="1"/>
      <c r="FB915" s="1"/>
      <c r="FC915" s="1"/>
      <c r="FD915" s="1"/>
      <c r="FE915" s="1"/>
      <c r="FF915" s="1"/>
      <c r="FG915" s="1"/>
      <c r="FH915" s="1"/>
      <c r="FI915" s="1"/>
      <c r="FJ915" s="1"/>
      <c r="FK915" s="1"/>
      <c r="FL915" s="1"/>
      <c r="FM915" s="1"/>
      <c r="FN915" s="1"/>
      <c r="FO915" s="1"/>
      <c r="FP915" s="1"/>
      <c r="FQ915" s="1"/>
      <c r="FR915" s="2"/>
      <c r="FS915" s="1"/>
    </row>
    <row r="916" spans="1:175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R916" s="1"/>
      <c r="S916" s="1"/>
      <c r="T916" s="1"/>
      <c r="U916" s="1"/>
      <c r="V916" s="1"/>
      <c r="Y916" s="1"/>
      <c r="Z916" s="2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U916" s="1"/>
      <c r="AW916" s="1"/>
      <c r="AX916" s="1"/>
      <c r="AY916" s="1"/>
      <c r="AZ916" s="1"/>
      <c r="BA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  <c r="DB916" s="1"/>
      <c r="DC916" s="1"/>
      <c r="DD916" s="1"/>
      <c r="DE916" s="1"/>
      <c r="DF916" s="1"/>
      <c r="DG916" s="1"/>
      <c r="DH916" s="1"/>
      <c r="DI916" s="1"/>
      <c r="DJ916" s="1"/>
      <c r="DK916" s="1"/>
      <c r="DL916" s="1"/>
      <c r="DM916" s="1"/>
      <c r="DN916" s="1"/>
      <c r="DO916" s="1"/>
      <c r="DP916" s="1"/>
      <c r="DQ916" s="1"/>
      <c r="DR916" s="1"/>
      <c r="DS916" s="1"/>
      <c r="DT916" s="1"/>
      <c r="DU916" s="1"/>
      <c r="DV916" s="1"/>
      <c r="DW916" s="1"/>
      <c r="DX916" s="1"/>
      <c r="DY916" s="1"/>
      <c r="DZ916" s="1"/>
      <c r="EA916" s="1"/>
      <c r="EB916" s="1"/>
      <c r="EC916" s="1"/>
      <c r="ED916" s="1"/>
      <c r="EE916" s="1"/>
      <c r="EF916" s="1"/>
      <c r="EG916" s="1"/>
      <c r="EH916" s="1"/>
      <c r="EI916" s="1"/>
      <c r="EJ916" s="1"/>
      <c r="EK916" s="1"/>
      <c r="EL916" s="1"/>
      <c r="EM916" s="1"/>
      <c r="EN916" s="1"/>
      <c r="EO916" s="1"/>
      <c r="EP916" s="1"/>
      <c r="EQ916" s="1"/>
      <c r="ER916" s="1"/>
      <c r="ES916" s="1"/>
      <c r="ET916" s="1"/>
      <c r="EU916" s="1"/>
      <c r="EV916" s="1"/>
      <c r="EW916" s="1"/>
      <c r="EX916" s="1"/>
      <c r="EY916" s="1"/>
      <c r="EZ916" s="1"/>
      <c r="FA916" s="1"/>
      <c r="FB916" s="1"/>
      <c r="FC916" s="1"/>
      <c r="FD916" s="1"/>
      <c r="FE916" s="1"/>
      <c r="FF916" s="1"/>
      <c r="FG916" s="1"/>
      <c r="FH916" s="1"/>
      <c r="FI916" s="1"/>
      <c r="FJ916" s="1"/>
      <c r="FK916" s="1"/>
      <c r="FL916" s="1"/>
      <c r="FM916" s="1"/>
      <c r="FN916" s="1"/>
      <c r="FO916" s="1"/>
      <c r="FP916" s="1"/>
      <c r="FQ916" s="1"/>
      <c r="FR916" s="2"/>
      <c r="FS916" s="1"/>
    </row>
    <row r="917" spans="1:175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R917" s="1"/>
      <c r="S917" s="1"/>
      <c r="T917" s="1"/>
      <c r="U917" s="1"/>
      <c r="V917" s="1"/>
      <c r="Y917" s="1"/>
      <c r="Z917" s="2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U917" s="1"/>
      <c r="AW917" s="1"/>
      <c r="AX917" s="1"/>
      <c r="AY917" s="1"/>
      <c r="AZ917" s="1"/>
      <c r="BA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  <c r="DB917" s="1"/>
      <c r="DC917" s="1"/>
      <c r="DD917" s="1"/>
      <c r="DE917" s="1"/>
      <c r="DF917" s="1"/>
      <c r="DG917" s="1"/>
      <c r="DH917" s="1"/>
      <c r="DI917" s="1"/>
      <c r="DJ917" s="1"/>
      <c r="DK917" s="1"/>
      <c r="DL917" s="1"/>
      <c r="DM917" s="1"/>
      <c r="DN917" s="1"/>
      <c r="DO917" s="1"/>
      <c r="DP917" s="1"/>
      <c r="DQ917" s="1"/>
      <c r="DR917" s="1"/>
      <c r="DS917" s="1"/>
      <c r="DT917" s="1"/>
      <c r="DU917" s="1"/>
      <c r="DV917" s="1"/>
      <c r="DW917" s="1"/>
      <c r="DX917" s="1"/>
      <c r="DY917" s="1"/>
      <c r="DZ917" s="1"/>
      <c r="EA917" s="1"/>
      <c r="EB917" s="1"/>
      <c r="EC917" s="1"/>
      <c r="ED917" s="1"/>
      <c r="EE917" s="1"/>
      <c r="EF917" s="1"/>
      <c r="EG917" s="1"/>
      <c r="EH917" s="1"/>
      <c r="EI917" s="1"/>
      <c r="EJ917" s="1"/>
      <c r="EK917" s="1"/>
      <c r="EL917" s="1"/>
      <c r="EM917" s="1"/>
      <c r="EN917" s="1"/>
      <c r="EO917" s="1"/>
      <c r="EP917" s="1"/>
      <c r="EQ917" s="1"/>
      <c r="ER917" s="1"/>
      <c r="ES917" s="1"/>
      <c r="ET917" s="1"/>
      <c r="EU917" s="1"/>
      <c r="EV917" s="1"/>
      <c r="EW917" s="1"/>
      <c r="EX917" s="1"/>
      <c r="EY917" s="1"/>
      <c r="EZ917" s="1"/>
      <c r="FA917" s="1"/>
      <c r="FB917" s="1"/>
      <c r="FC917" s="1"/>
      <c r="FD917" s="1"/>
      <c r="FE917" s="1"/>
      <c r="FF917" s="1"/>
      <c r="FG917" s="1"/>
      <c r="FH917" s="1"/>
      <c r="FI917" s="1"/>
      <c r="FJ917" s="1"/>
      <c r="FK917" s="1"/>
      <c r="FL917" s="1"/>
      <c r="FM917" s="1"/>
      <c r="FN917" s="1"/>
      <c r="FO917" s="1"/>
      <c r="FP917" s="1"/>
      <c r="FQ917" s="1"/>
      <c r="FR917" s="2"/>
      <c r="FS917" s="1"/>
    </row>
    <row r="918" spans="1:175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R918" s="1"/>
      <c r="S918" s="1"/>
      <c r="T918" s="1"/>
      <c r="U918" s="1"/>
      <c r="V918" s="1"/>
      <c r="Y918" s="1"/>
      <c r="Z918" s="2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U918" s="1"/>
      <c r="AW918" s="1"/>
      <c r="AX918" s="1"/>
      <c r="AY918" s="1"/>
      <c r="AZ918" s="1"/>
      <c r="BA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  <c r="DB918" s="1"/>
      <c r="DC918" s="1"/>
      <c r="DD918" s="1"/>
      <c r="DE918" s="1"/>
      <c r="DF918" s="1"/>
      <c r="DG918" s="1"/>
      <c r="DH918" s="1"/>
      <c r="DI918" s="1"/>
      <c r="DJ918" s="1"/>
      <c r="DK918" s="1"/>
      <c r="DL918" s="1"/>
      <c r="DM918" s="1"/>
      <c r="DN918" s="1"/>
      <c r="DO918" s="1"/>
      <c r="DP918" s="1"/>
      <c r="DQ918" s="1"/>
      <c r="DR918" s="1"/>
      <c r="DS918" s="1"/>
      <c r="DT918" s="1"/>
      <c r="DU918" s="1"/>
      <c r="DV918" s="1"/>
      <c r="DW918" s="1"/>
      <c r="DX918" s="1"/>
      <c r="DY918" s="1"/>
      <c r="DZ918" s="1"/>
      <c r="EA918" s="1"/>
      <c r="EB918" s="1"/>
      <c r="EC918" s="1"/>
      <c r="ED918" s="1"/>
      <c r="EE918" s="1"/>
      <c r="EF918" s="1"/>
      <c r="EG918" s="1"/>
      <c r="EH918" s="1"/>
      <c r="EI918" s="1"/>
      <c r="EJ918" s="1"/>
      <c r="EK918" s="1"/>
      <c r="EL918" s="1"/>
      <c r="EM918" s="1"/>
      <c r="EN918" s="1"/>
      <c r="EO918" s="1"/>
      <c r="EP918" s="1"/>
      <c r="EQ918" s="1"/>
      <c r="ER918" s="1"/>
      <c r="ES918" s="1"/>
      <c r="ET918" s="1"/>
      <c r="EU918" s="1"/>
      <c r="EV918" s="1"/>
      <c r="EW918" s="1"/>
      <c r="EX918" s="1"/>
      <c r="EY918" s="1"/>
      <c r="EZ918" s="1"/>
      <c r="FA918" s="1"/>
      <c r="FB918" s="1"/>
      <c r="FC918" s="1"/>
      <c r="FD918" s="1"/>
      <c r="FE918" s="1"/>
      <c r="FF918" s="1"/>
      <c r="FG918" s="1"/>
      <c r="FH918" s="1"/>
      <c r="FI918" s="1"/>
      <c r="FJ918" s="1"/>
      <c r="FK918" s="1"/>
      <c r="FL918" s="1"/>
      <c r="FM918" s="1"/>
      <c r="FN918" s="1"/>
      <c r="FO918" s="1"/>
      <c r="FP918" s="1"/>
      <c r="FQ918" s="1"/>
      <c r="FR918" s="2"/>
      <c r="FS918" s="1"/>
    </row>
    <row r="919" spans="1:175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R919" s="1"/>
      <c r="S919" s="1"/>
      <c r="T919" s="1"/>
      <c r="U919" s="1"/>
      <c r="V919" s="1"/>
      <c r="Y919" s="1"/>
      <c r="Z919" s="2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U919" s="1"/>
      <c r="AW919" s="1"/>
      <c r="AX919" s="1"/>
      <c r="AY919" s="1"/>
      <c r="AZ919" s="1"/>
      <c r="BA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  <c r="DB919" s="1"/>
      <c r="DC919" s="1"/>
      <c r="DD919" s="1"/>
      <c r="DE919" s="1"/>
      <c r="DF919" s="1"/>
      <c r="DG919" s="1"/>
      <c r="DH919" s="1"/>
      <c r="DI919" s="1"/>
      <c r="DJ919" s="1"/>
      <c r="DK919" s="1"/>
      <c r="DL919" s="1"/>
      <c r="DM919" s="1"/>
      <c r="DN919" s="1"/>
      <c r="DO919" s="1"/>
      <c r="DP919" s="1"/>
      <c r="DQ919" s="1"/>
      <c r="DR919" s="1"/>
      <c r="DS919" s="1"/>
      <c r="DT919" s="1"/>
      <c r="DU919" s="1"/>
      <c r="DV919" s="1"/>
      <c r="DW919" s="1"/>
      <c r="DX919" s="1"/>
      <c r="DY919" s="1"/>
      <c r="DZ919" s="1"/>
      <c r="EA919" s="1"/>
      <c r="EB919" s="1"/>
      <c r="EC919" s="1"/>
      <c r="ED919" s="1"/>
      <c r="EE919" s="1"/>
      <c r="EF919" s="1"/>
      <c r="EG919" s="1"/>
      <c r="EH919" s="1"/>
      <c r="EI919" s="1"/>
      <c r="EJ919" s="1"/>
      <c r="EK919" s="1"/>
      <c r="EL919" s="1"/>
      <c r="EM919" s="1"/>
      <c r="EN919" s="1"/>
      <c r="EO919" s="1"/>
      <c r="EP919" s="1"/>
      <c r="EQ919" s="1"/>
      <c r="ER919" s="1"/>
      <c r="ES919" s="1"/>
      <c r="ET919" s="1"/>
      <c r="EU919" s="1"/>
      <c r="EV919" s="1"/>
      <c r="EW919" s="1"/>
      <c r="EX919" s="1"/>
      <c r="EY919" s="1"/>
      <c r="EZ919" s="1"/>
      <c r="FA919" s="1"/>
      <c r="FB919" s="1"/>
      <c r="FC919" s="1"/>
      <c r="FD919" s="1"/>
      <c r="FE919" s="1"/>
      <c r="FF919" s="1"/>
      <c r="FG919" s="1"/>
      <c r="FH919" s="1"/>
      <c r="FI919" s="1"/>
      <c r="FJ919" s="1"/>
      <c r="FK919" s="1"/>
      <c r="FL919" s="1"/>
      <c r="FM919" s="1"/>
      <c r="FN919" s="1"/>
      <c r="FO919" s="1"/>
      <c r="FP919" s="1"/>
      <c r="FQ919" s="1"/>
      <c r="FR919" s="2"/>
      <c r="FS919" s="1"/>
    </row>
    <row r="920" spans="1:175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R920" s="1"/>
      <c r="S920" s="1"/>
      <c r="T920" s="1"/>
      <c r="U920" s="1"/>
      <c r="V920" s="1"/>
      <c r="Y920" s="1"/>
      <c r="Z920" s="2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U920" s="1"/>
      <c r="AW920" s="1"/>
      <c r="AX920" s="1"/>
      <c r="AY920" s="1"/>
      <c r="AZ920" s="1"/>
      <c r="BA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  <c r="DB920" s="1"/>
      <c r="DC920" s="1"/>
      <c r="DD920" s="1"/>
      <c r="DE920" s="1"/>
      <c r="DF920" s="1"/>
      <c r="DG920" s="1"/>
      <c r="DH920" s="1"/>
      <c r="DI920" s="1"/>
      <c r="DJ920" s="1"/>
      <c r="DK920" s="1"/>
      <c r="DL920" s="1"/>
      <c r="DM920" s="1"/>
      <c r="DN920" s="1"/>
      <c r="DO920" s="1"/>
      <c r="DP920" s="1"/>
      <c r="DQ920" s="1"/>
      <c r="DR920" s="1"/>
      <c r="DS920" s="1"/>
      <c r="DT920" s="1"/>
      <c r="DU920" s="1"/>
      <c r="DV920" s="1"/>
      <c r="DW920" s="1"/>
      <c r="DX920" s="1"/>
      <c r="DY920" s="1"/>
      <c r="DZ920" s="1"/>
      <c r="EA920" s="1"/>
      <c r="EB920" s="1"/>
      <c r="EC920" s="1"/>
      <c r="ED920" s="1"/>
      <c r="EE920" s="1"/>
      <c r="EF920" s="1"/>
      <c r="EG920" s="1"/>
      <c r="EH920" s="1"/>
      <c r="EI920" s="1"/>
      <c r="EJ920" s="1"/>
      <c r="EK920" s="1"/>
      <c r="EL920" s="1"/>
      <c r="EM920" s="1"/>
      <c r="EN920" s="1"/>
      <c r="EO920" s="1"/>
      <c r="EP920" s="1"/>
      <c r="EQ920" s="1"/>
      <c r="ER920" s="1"/>
      <c r="ES920" s="1"/>
      <c r="ET920" s="1"/>
      <c r="EU920" s="1"/>
      <c r="EV920" s="1"/>
      <c r="EW920" s="1"/>
      <c r="EX920" s="1"/>
      <c r="EY920" s="1"/>
      <c r="EZ920" s="1"/>
      <c r="FA920" s="1"/>
      <c r="FB920" s="1"/>
      <c r="FC920" s="1"/>
      <c r="FD920" s="1"/>
      <c r="FE920" s="1"/>
      <c r="FF920" s="1"/>
      <c r="FG920" s="1"/>
      <c r="FH920" s="1"/>
      <c r="FI920" s="1"/>
      <c r="FJ920" s="1"/>
      <c r="FK920" s="1"/>
      <c r="FL920" s="1"/>
      <c r="FM920" s="1"/>
      <c r="FN920" s="1"/>
      <c r="FO920" s="1"/>
      <c r="FP920" s="1"/>
      <c r="FQ920" s="1"/>
      <c r="FR920" s="2"/>
      <c r="FS920" s="1"/>
    </row>
    <row r="921" spans="1:175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R921" s="1"/>
      <c r="S921" s="1"/>
      <c r="T921" s="1"/>
      <c r="U921" s="1"/>
      <c r="V921" s="1"/>
      <c r="Y921" s="1"/>
      <c r="Z921" s="2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U921" s="1"/>
      <c r="AW921" s="1"/>
      <c r="AX921" s="1"/>
      <c r="AY921" s="1"/>
      <c r="AZ921" s="1"/>
      <c r="BA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  <c r="DB921" s="1"/>
      <c r="DC921" s="1"/>
      <c r="DD921" s="1"/>
      <c r="DE921" s="1"/>
      <c r="DF921" s="1"/>
      <c r="DG921" s="1"/>
      <c r="DH921" s="1"/>
      <c r="DI921" s="1"/>
      <c r="DJ921" s="1"/>
      <c r="DK921" s="1"/>
      <c r="DL921" s="1"/>
      <c r="DM921" s="1"/>
      <c r="DN921" s="1"/>
      <c r="DO921" s="1"/>
      <c r="DP921" s="1"/>
      <c r="DQ921" s="1"/>
      <c r="DR921" s="1"/>
      <c r="DS921" s="1"/>
      <c r="DT921" s="1"/>
      <c r="DU921" s="1"/>
      <c r="DV921" s="1"/>
      <c r="DW921" s="1"/>
      <c r="DX921" s="1"/>
      <c r="DY921" s="1"/>
      <c r="DZ921" s="1"/>
      <c r="EA921" s="1"/>
      <c r="EB921" s="1"/>
      <c r="EC921" s="1"/>
      <c r="ED921" s="1"/>
      <c r="EE921" s="1"/>
      <c r="EF921" s="1"/>
      <c r="EG921" s="1"/>
      <c r="EH921" s="1"/>
      <c r="EI921" s="1"/>
      <c r="EJ921" s="1"/>
      <c r="EK921" s="1"/>
      <c r="EL921" s="1"/>
      <c r="EM921" s="1"/>
      <c r="EN921" s="1"/>
      <c r="EO921" s="1"/>
      <c r="EP921" s="1"/>
      <c r="EQ921" s="1"/>
      <c r="ER921" s="1"/>
      <c r="ES921" s="1"/>
      <c r="ET921" s="1"/>
      <c r="EU921" s="1"/>
      <c r="EV921" s="1"/>
      <c r="EW921" s="1"/>
      <c r="EX921" s="1"/>
      <c r="EY921" s="1"/>
      <c r="EZ921" s="1"/>
      <c r="FA921" s="1"/>
      <c r="FB921" s="1"/>
      <c r="FC921" s="1"/>
      <c r="FD921" s="1"/>
      <c r="FE921" s="1"/>
      <c r="FF921" s="1"/>
      <c r="FG921" s="1"/>
      <c r="FH921" s="1"/>
      <c r="FI921" s="1"/>
      <c r="FJ921" s="1"/>
      <c r="FK921" s="1"/>
      <c r="FL921" s="1"/>
      <c r="FM921" s="1"/>
      <c r="FN921" s="1"/>
      <c r="FO921" s="1"/>
      <c r="FP921" s="1"/>
      <c r="FQ921" s="1"/>
      <c r="FR921" s="2"/>
      <c r="FS921" s="1"/>
    </row>
    <row r="922" spans="1:175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R922" s="1"/>
      <c r="S922" s="1"/>
      <c r="T922" s="1"/>
      <c r="U922" s="1"/>
      <c r="V922" s="1"/>
      <c r="Y922" s="1"/>
      <c r="Z922" s="2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U922" s="1"/>
      <c r="AW922" s="1"/>
      <c r="AX922" s="1"/>
      <c r="AY922" s="1"/>
      <c r="AZ922" s="1"/>
      <c r="BA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  <c r="DB922" s="1"/>
      <c r="DC922" s="1"/>
      <c r="DD922" s="1"/>
      <c r="DE922" s="1"/>
      <c r="DF922" s="1"/>
      <c r="DG922" s="1"/>
      <c r="DH922" s="1"/>
      <c r="DI922" s="1"/>
      <c r="DJ922" s="1"/>
      <c r="DK922" s="1"/>
      <c r="DL922" s="1"/>
      <c r="DM922" s="1"/>
      <c r="DN922" s="1"/>
      <c r="DO922" s="1"/>
      <c r="DP922" s="1"/>
      <c r="DQ922" s="1"/>
      <c r="DR922" s="1"/>
      <c r="DS922" s="1"/>
      <c r="DT922" s="1"/>
      <c r="DU922" s="1"/>
      <c r="DV922" s="1"/>
      <c r="DW922" s="1"/>
      <c r="DX922" s="1"/>
      <c r="DY922" s="1"/>
      <c r="DZ922" s="1"/>
      <c r="EA922" s="1"/>
      <c r="EB922" s="1"/>
      <c r="EC922" s="1"/>
      <c r="ED922" s="1"/>
      <c r="EE922" s="1"/>
      <c r="EF922" s="1"/>
      <c r="EG922" s="1"/>
      <c r="EH922" s="1"/>
      <c r="EI922" s="1"/>
      <c r="EJ922" s="1"/>
      <c r="EK922" s="1"/>
      <c r="EL922" s="1"/>
      <c r="EM922" s="1"/>
      <c r="EN922" s="1"/>
      <c r="EO922" s="1"/>
      <c r="EP922" s="1"/>
      <c r="EQ922" s="1"/>
      <c r="ER922" s="1"/>
      <c r="ES922" s="1"/>
      <c r="ET922" s="1"/>
      <c r="EU922" s="1"/>
      <c r="EV922" s="1"/>
      <c r="EW922" s="1"/>
      <c r="EX922" s="1"/>
      <c r="EY922" s="1"/>
      <c r="EZ922" s="1"/>
      <c r="FA922" s="1"/>
      <c r="FB922" s="1"/>
      <c r="FC922" s="1"/>
      <c r="FD922" s="1"/>
      <c r="FE922" s="1"/>
      <c r="FF922" s="1"/>
      <c r="FG922" s="1"/>
      <c r="FH922" s="1"/>
      <c r="FI922" s="1"/>
      <c r="FJ922" s="1"/>
      <c r="FK922" s="1"/>
      <c r="FL922" s="1"/>
      <c r="FM922" s="1"/>
      <c r="FN922" s="1"/>
      <c r="FO922" s="1"/>
      <c r="FP922" s="1"/>
      <c r="FQ922" s="1"/>
      <c r="FR922" s="2"/>
      <c r="FS922" s="1"/>
    </row>
    <row r="923" spans="1:175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R923" s="1"/>
      <c r="S923" s="1"/>
      <c r="T923" s="1"/>
      <c r="U923" s="1"/>
      <c r="V923" s="1"/>
      <c r="Y923" s="1"/>
      <c r="Z923" s="2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U923" s="1"/>
      <c r="AW923" s="1"/>
      <c r="AX923" s="1"/>
      <c r="AY923" s="1"/>
      <c r="AZ923" s="1"/>
      <c r="BA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  <c r="DB923" s="1"/>
      <c r="DC923" s="1"/>
      <c r="DD923" s="1"/>
      <c r="DE923" s="1"/>
      <c r="DF923" s="1"/>
      <c r="DG923" s="1"/>
      <c r="DH923" s="1"/>
      <c r="DI923" s="1"/>
      <c r="DJ923" s="1"/>
      <c r="DK923" s="1"/>
      <c r="DL923" s="1"/>
      <c r="DM923" s="1"/>
      <c r="DN923" s="1"/>
      <c r="DO923" s="1"/>
      <c r="DP923" s="1"/>
      <c r="DQ923" s="1"/>
      <c r="DR923" s="1"/>
      <c r="DS923" s="1"/>
      <c r="DT923" s="1"/>
      <c r="DU923" s="1"/>
      <c r="DV923" s="1"/>
      <c r="DW923" s="1"/>
      <c r="DX923" s="1"/>
      <c r="DY923" s="1"/>
      <c r="DZ923" s="1"/>
      <c r="EA923" s="1"/>
      <c r="EB923" s="1"/>
      <c r="EC923" s="1"/>
      <c r="ED923" s="1"/>
      <c r="EE923" s="1"/>
      <c r="EF923" s="1"/>
      <c r="EG923" s="1"/>
      <c r="EH923" s="1"/>
      <c r="EI923" s="1"/>
      <c r="EJ923" s="1"/>
      <c r="EK923" s="1"/>
      <c r="EL923" s="1"/>
      <c r="EM923" s="1"/>
      <c r="EN923" s="1"/>
      <c r="EO923" s="1"/>
      <c r="EP923" s="1"/>
      <c r="EQ923" s="1"/>
      <c r="ER923" s="1"/>
      <c r="ES923" s="1"/>
      <c r="ET923" s="1"/>
      <c r="EU923" s="1"/>
      <c r="EV923" s="1"/>
      <c r="EW923" s="1"/>
      <c r="EX923" s="1"/>
      <c r="EY923" s="1"/>
      <c r="EZ923" s="1"/>
      <c r="FA923" s="1"/>
      <c r="FB923" s="1"/>
      <c r="FC923" s="1"/>
      <c r="FD923" s="1"/>
      <c r="FE923" s="1"/>
      <c r="FF923" s="1"/>
      <c r="FG923" s="1"/>
      <c r="FH923" s="1"/>
      <c r="FI923" s="1"/>
      <c r="FJ923" s="1"/>
      <c r="FK923" s="1"/>
      <c r="FL923" s="1"/>
      <c r="FM923" s="1"/>
      <c r="FN923" s="1"/>
      <c r="FO923" s="1"/>
      <c r="FP923" s="1"/>
      <c r="FQ923" s="1"/>
      <c r="FR923" s="2"/>
      <c r="FS923" s="1"/>
    </row>
    <row r="924" spans="1:175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R924" s="1"/>
      <c r="S924" s="1"/>
      <c r="T924" s="1"/>
      <c r="U924" s="1"/>
      <c r="V924" s="1"/>
      <c r="Y924" s="1"/>
      <c r="Z924" s="2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U924" s="1"/>
      <c r="AW924" s="1"/>
      <c r="AX924" s="1"/>
      <c r="AY924" s="1"/>
      <c r="AZ924" s="1"/>
      <c r="BA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  <c r="DB924" s="1"/>
      <c r="DC924" s="1"/>
      <c r="DD924" s="1"/>
      <c r="DE924" s="1"/>
      <c r="DF924" s="1"/>
      <c r="DG924" s="1"/>
      <c r="DH924" s="1"/>
      <c r="DI924" s="1"/>
      <c r="DJ924" s="1"/>
      <c r="DK924" s="1"/>
      <c r="DL924" s="1"/>
      <c r="DM924" s="1"/>
      <c r="DN924" s="1"/>
      <c r="DO924" s="1"/>
      <c r="DP924" s="1"/>
      <c r="DQ924" s="1"/>
      <c r="DR924" s="1"/>
      <c r="DS924" s="1"/>
      <c r="DT924" s="1"/>
      <c r="DU924" s="1"/>
      <c r="DV924" s="1"/>
      <c r="DW924" s="1"/>
      <c r="DX924" s="1"/>
      <c r="DY924" s="1"/>
      <c r="DZ924" s="1"/>
      <c r="EA924" s="1"/>
      <c r="EB924" s="1"/>
      <c r="EC924" s="1"/>
      <c r="ED924" s="1"/>
      <c r="EE924" s="1"/>
      <c r="EF924" s="1"/>
      <c r="EG924" s="1"/>
      <c r="EH924" s="1"/>
      <c r="EI924" s="1"/>
      <c r="EJ924" s="1"/>
      <c r="EK924" s="1"/>
      <c r="EL924" s="1"/>
      <c r="EM924" s="1"/>
      <c r="EN924" s="1"/>
      <c r="EO924" s="1"/>
      <c r="EP924" s="1"/>
      <c r="EQ924" s="1"/>
      <c r="ER924" s="1"/>
      <c r="ES924" s="1"/>
      <c r="ET924" s="1"/>
      <c r="EU924" s="1"/>
      <c r="EV924" s="1"/>
      <c r="EW924" s="1"/>
      <c r="EX924" s="1"/>
      <c r="EY924" s="1"/>
      <c r="EZ924" s="1"/>
      <c r="FA924" s="1"/>
      <c r="FB924" s="1"/>
      <c r="FC924" s="1"/>
      <c r="FD924" s="1"/>
      <c r="FE924" s="1"/>
      <c r="FF924" s="1"/>
      <c r="FG924" s="1"/>
      <c r="FH924" s="1"/>
      <c r="FI924" s="1"/>
      <c r="FJ924" s="1"/>
      <c r="FK924" s="1"/>
      <c r="FL924" s="1"/>
      <c r="FM924" s="1"/>
      <c r="FN924" s="1"/>
      <c r="FO924" s="1"/>
      <c r="FP924" s="1"/>
      <c r="FQ924" s="1"/>
      <c r="FR924" s="2"/>
      <c r="FS924" s="1"/>
    </row>
    <row r="925" spans="1:175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R925" s="1"/>
      <c r="S925" s="1"/>
      <c r="T925" s="1"/>
      <c r="U925" s="1"/>
      <c r="V925" s="1"/>
      <c r="Y925" s="1"/>
      <c r="Z925" s="2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U925" s="1"/>
      <c r="AW925" s="1"/>
      <c r="AX925" s="1"/>
      <c r="AY925" s="1"/>
      <c r="AZ925" s="1"/>
      <c r="BA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  <c r="DB925" s="1"/>
      <c r="DC925" s="1"/>
      <c r="DD925" s="1"/>
      <c r="DE925" s="1"/>
      <c r="DF925" s="1"/>
      <c r="DG925" s="1"/>
      <c r="DH925" s="1"/>
      <c r="DI925" s="1"/>
      <c r="DJ925" s="1"/>
      <c r="DK925" s="1"/>
      <c r="DL925" s="1"/>
      <c r="DM925" s="1"/>
      <c r="DN925" s="1"/>
      <c r="DO925" s="1"/>
      <c r="DP925" s="1"/>
      <c r="DQ925" s="1"/>
      <c r="DR925" s="1"/>
      <c r="DS925" s="1"/>
      <c r="DT925" s="1"/>
      <c r="DU925" s="1"/>
      <c r="DV925" s="1"/>
      <c r="DW925" s="1"/>
      <c r="DX925" s="1"/>
      <c r="DY925" s="1"/>
      <c r="DZ925" s="1"/>
      <c r="EA925" s="1"/>
      <c r="EB925" s="1"/>
      <c r="EC925" s="1"/>
      <c r="ED925" s="1"/>
      <c r="EE925" s="1"/>
      <c r="EF925" s="1"/>
      <c r="EG925" s="1"/>
      <c r="EH925" s="1"/>
      <c r="EI925" s="1"/>
      <c r="EJ925" s="1"/>
      <c r="EK925" s="1"/>
      <c r="EL925" s="1"/>
      <c r="EM925" s="1"/>
      <c r="EN925" s="1"/>
      <c r="EO925" s="1"/>
      <c r="EP925" s="1"/>
      <c r="EQ925" s="1"/>
      <c r="ER925" s="1"/>
      <c r="ES925" s="1"/>
      <c r="ET925" s="1"/>
      <c r="EU925" s="1"/>
      <c r="EV925" s="1"/>
      <c r="EW925" s="1"/>
      <c r="EX925" s="1"/>
      <c r="EY925" s="1"/>
      <c r="EZ925" s="1"/>
      <c r="FA925" s="1"/>
      <c r="FB925" s="1"/>
      <c r="FC925" s="1"/>
      <c r="FD925" s="1"/>
      <c r="FE925" s="1"/>
      <c r="FF925" s="1"/>
      <c r="FG925" s="1"/>
      <c r="FH925" s="1"/>
      <c r="FI925" s="1"/>
      <c r="FJ925" s="1"/>
      <c r="FK925" s="1"/>
      <c r="FL925" s="1"/>
      <c r="FM925" s="1"/>
      <c r="FN925" s="1"/>
      <c r="FO925" s="1"/>
      <c r="FP925" s="1"/>
      <c r="FQ925" s="1"/>
      <c r="FR925" s="2"/>
      <c r="FS925" s="1"/>
    </row>
    <row r="926" spans="1:175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R926" s="1"/>
      <c r="S926" s="1"/>
      <c r="T926" s="1"/>
      <c r="U926" s="1"/>
      <c r="V926" s="1"/>
      <c r="Y926" s="1"/>
      <c r="Z926" s="2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U926" s="1"/>
      <c r="AW926" s="1"/>
      <c r="AX926" s="1"/>
      <c r="AY926" s="1"/>
      <c r="AZ926" s="1"/>
      <c r="BA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  <c r="DB926" s="1"/>
      <c r="DC926" s="1"/>
      <c r="DD926" s="1"/>
      <c r="DE926" s="1"/>
      <c r="DF926" s="1"/>
      <c r="DG926" s="1"/>
      <c r="DH926" s="1"/>
      <c r="DI926" s="1"/>
      <c r="DJ926" s="1"/>
      <c r="DK926" s="1"/>
      <c r="DL926" s="1"/>
      <c r="DM926" s="1"/>
      <c r="DN926" s="1"/>
      <c r="DO926" s="1"/>
      <c r="DP926" s="1"/>
      <c r="DQ926" s="1"/>
      <c r="DR926" s="1"/>
      <c r="DS926" s="1"/>
      <c r="DT926" s="1"/>
      <c r="DU926" s="1"/>
      <c r="DV926" s="1"/>
      <c r="DW926" s="1"/>
      <c r="DX926" s="1"/>
      <c r="DY926" s="1"/>
      <c r="DZ926" s="1"/>
      <c r="EA926" s="1"/>
      <c r="EB926" s="1"/>
      <c r="EC926" s="1"/>
      <c r="ED926" s="1"/>
      <c r="EE926" s="1"/>
      <c r="EF926" s="1"/>
      <c r="EG926" s="1"/>
      <c r="EH926" s="1"/>
      <c r="EI926" s="1"/>
      <c r="EJ926" s="1"/>
      <c r="EK926" s="1"/>
      <c r="EL926" s="1"/>
      <c r="EM926" s="1"/>
      <c r="EN926" s="1"/>
      <c r="EO926" s="1"/>
      <c r="EP926" s="1"/>
      <c r="EQ926" s="1"/>
      <c r="ER926" s="1"/>
      <c r="ES926" s="1"/>
      <c r="ET926" s="1"/>
      <c r="EU926" s="1"/>
      <c r="EV926" s="1"/>
      <c r="EW926" s="1"/>
      <c r="EX926" s="1"/>
      <c r="EY926" s="1"/>
      <c r="EZ926" s="1"/>
      <c r="FA926" s="1"/>
      <c r="FB926" s="1"/>
      <c r="FC926" s="1"/>
      <c r="FD926" s="1"/>
      <c r="FE926" s="1"/>
      <c r="FF926" s="1"/>
      <c r="FG926" s="1"/>
      <c r="FH926" s="1"/>
      <c r="FI926" s="1"/>
      <c r="FJ926" s="1"/>
      <c r="FK926" s="1"/>
      <c r="FL926" s="1"/>
      <c r="FM926" s="1"/>
      <c r="FN926" s="1"/>
      <c r="FO926" s="1"/>
      <c r="FP926" s="1"/>
      <c r="FQ926" s="1"/>
      <c r="FR926" s="2"/>
      <c r="FS926" s="1"/>
    </row>
    <row r="927" spans="1:175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R927" s="1"/>
      <c r="S927" s="1"/>
      <c r="T927" s="1"/>
      <c r="U927" s="1"/>
      <c r="V927" s="1"/>
      <c r="Y927" s="1"/>
      <c r="Z927" s="2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U927" s="1"/>
      <c r="AW927" s="1"/>
      <c r="AX927" s="1"/>
      <c r="AY927" s="1"/>
      <c r="AZ927" s="1"/>
      <c r="BA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  <c r="DB927" s="1"/>
      <c r="DC927" s="1"/>
      <c r="DD927" s="1"/>
      <c r="DE927" s="1"/>
      <c r="DF927" s="1"/>
      <c r="DG927" s="1"/>
      <c r="DH927" s="1"/>
      <c r="DI927" s="1"/>
      <c r="DJ927" s="1"/>
      <c r="DK927" s="1"/>
      <c r="DL927" s="1"/>
      <c r="DM927" s="1"/>
      <c r="DN927" s="1"/>
      <c r="DO927" s="1"/>
      <c r="DP927" s="1"/>
      <c r="DQ927" s="1"/>
      <c r="DR927" s="1"/>
      <c r="DS927" s="1"/>
      <c r="DT927" s="1"/>
      <c r="DU927" s="1"/>
      <c r="DV927" s="1"/>
      <c r="DW927" s="1"/>
      <c r="DX927" s="1"/>
      <c r="DY927" s="1"/>
      <c r="DZ927" s="1"/>
      <c r="EA927" s="1"/>
      <c r="EB927" s="1"/>
      <c r="EC927" s="1"/>
      <c r="ED927" s="1"/>
      <c r="EE927" s="1"/>
      <c r="EF927" s="1"/>
      <c r="EG927" s="1"/>
      <c r="EH927" s="1"/>
      <c r="EI927" s="1"/>
      <c r="EJ927" s="1"/>
      <c r="EK927" s="1"/>
      <c r="EL927" s="1"/>
      <c r="EM927" s="1"/>
      <c r="EN927" s="1"/>
      <c r="EO927" s="1"/>
      <c r="EP927" s="1"/>
      <c r="EQ927" s="1"/>
      <c r="ER927" s="1"/>
      <c r="ES927" s="1"/>
      <c r="ET927" s="1"/>
      <c r="EU927" s="1"/>
      <c r="EV927" s="1"/>
      <c r="EW927" s="1"/>
      <c r="EX927" s="1"/>
      <c r="EY927" s="1"/>
      <c r="EZ927" s="1"/>
      <c r="FA927" s="1"/>
      <c r="FB927" s="1"/>
      <c r="FC927" s="1"/>
      <c r="FD927" s="1"/>
      <c r="FE927" s="1"/>
      <c r="FF927" s="1"/>
      <c r="FG927" s="1"/>
      <c r="FH927" s="1"/>
      <c r="FI927" s="1"/>
      <c r="FJ927" s="1"/>
      <c r="FK927" s="1"/>
      <c r="FL927" s="1"/>
      <c r="FM927" s="1"/>
      <c r="FN927" s="1"/>
      <c r="FO927" s="1"/>
      <c r="FP927" s="1"/>
      <c r="FQ927" s="1"/>
      <c r="FR927" s="2"/>
      <c r="FS927" s="1"/>
    </row>
    <row r="928" spans="1:175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R928" s="1"/>
      <c r="S928" s="1"/>
      <c r="T928" s="1"/>
      <c r="U928" s="1"/>
      <c r="V928" s="1"/>
      <c r="Y928" s="1"/>
      <c r="Z928" s="2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U928" s="1"/>
      <c r="AW928" s="1"/>
      <c r="AX928" s="1"/>
      <c r="AY928" s="1"/>
      <c r="AZ928" s="1"/>
      <c r="BA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  <c r="DB928" s="1"/>
      <c r="DC928" s="1"/>
      <c r="DD928" s="1"/>
      <c r="DE928" s="1"/>
      <c r="DF928" s="1"/>
      <c r="DG928" s="1"/>
      <c r="DH928" s="1"/>
      <c r="DI928" s="1"/>
      <c r="DJ928" s="1"/>
      <c r="DK928" s="1"/>
      <c r="DL928" s="1"/>
      <c r="DM928" s="1"/>
      <c r="DN928" s="1"/>
      <c r="DO928" s="1"/>
      <c r="DP928" s="1"/>
      <c r="DQ928" s="1"/>
      <c r="DR928" s="1"/>
      <c r="DS928" s="1"/>
      <c r="DT928" s="1"/>
      <c r="DU928" s="1"/>
      <c r="DV928" s="1"/>
      <c r="DW928" s="1"/>
      <c r="DX928" s="1"/>
      <c r="DY928" s="1"/>
      <c r="DZ928" s="1"/>
      <c r="EA928" s="1"/>
      <c r="EB928" s="1"/>
      <c r="EC928" s="1"/>
      <c r="ED928" s="1"/>
      <c r="EE928" s="1"/>
      <c r="EF928" s="1"/>
      <c r="EG928" s="1"/>
      <c r="EH928" s="1"/>
      <c r="EI928" s="1"/>
      <c r="EJ928" s="1"/>
      <c r="EK928" s="1"/>
      <c r="EL928" s="1"/>
      <c r="EM928" s="1"/>
      <c r="EN928" s="1"/>
      <c r="EO928" s="1"/>
      <c r="EP928" s="1"/>
      <c r="EQ928" s="1"/>
      <c r="ER928" s="1"/>
      <c r="ES928" s="1"/>
      <c r="ET928" s="1"/>
      <c r="EU928" s="1"/>
      <c r="EV928" s="1"/>
      <c r="EW928" s="1"/>
      <c r="EX928" s="1"/>
      <c r="EY928" s="1"/>
      <c r="EZ928" s="1"/>
      <c r="FA928" s="1"/>
      <c r="FB928" s="1"/>
      <c r="FC928" s="1"/>
      <c r="FD928" s="1"/>
      <c r="FE928" s="1"/>
      <c r="FF928" s="1"/>
      <c r="FG928" s="1"/>
      <c r="FH928" s="1"/>
      <c r="FI928" s="1"/>
      <c r="FJ928" s="1"/>
      <c r="FK928" s="1"/>
      <c r="FL928" s="1"/>
      <c r="FM928" s="1"/>
      <c r="FN928" s="1"/>
      <c r="FO928" s="1"/>
      <c r="FP928" s="1"/>
      <c r="FQ928" s="1"/>
      <c r="FR928" s="2"/>
      <c r="FS928" s="1"/>
    </row>
    <row r="929" spans="1:175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R929" s="1"/>
      <c r="S929" s="1"/>
      <c r="T929" s="1"/>
      <c r="U929" s="1"/>
      <c r="V929" s="1"/>
      <c r="Y929" s="1"/>
      <c r="Z929" s="2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U929" s="1"/>
      <c r="AW929" s="1"/>
      <c r="AX929" s="1"/>
      <c r="AY929" s="1"/>
      <c r="AZ929" s="1"/>
      <c r="BA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  <c r="DB929" s="1"/>
      <c r="DC929" s="1"/>
      <c r="DD929" s="1"/>
      <c r="DE929" s="1"/>
      <c r="DF929" s="1"/>
      <c r="DG929" s="1"/>
      <c r="DH929" s="1"/>
      <c r="DI929" s="1"/>
      <c r="DJ929" s="1"/>
      <c r="DK929" s="1"/>
      <c r="DL929" s="1"/>
      <c r="DM929" s="1"/>
      <c r="DN929" s="1"/>
      <c r="DO929" s="1"/>
      <c r="DP929" s="1"/>
      <c r="DQ929" s="1"/>
      <c r="DR929" s="1"/>
      <c r="DS929" s="1"/>
      <c r="DT929" s="1"/>
      <c r="DU929" s="1"/>
      <c r="DV929" s="1"/>
      <c r="DW929" s="1"/>
      <c r="DX929" s="1"/>
      <c r="DY929" s="1"/>
      <c r="DZ929" s="1"/>
      <c r="EA929" s="1"/>
      <c r="EB929" s="1"/>
      <c r="EC929" s="1"/>
      <c r="ED929" s="1"/>
      <c r="EE929" s="1"/>
      <c r="EF929" s="1"/>
      <c r="EG929" s="1"/>
      <c r="EH929" s="1"/>
      <c r="EI929" s="1"/>
      <c r="EJ929" s="1"/>
      <c r="EK929" s="1"/>
      <c r="EL929" s="1"/>
      <c r="EM929" s="1"/>
      <c r="EN929" s="1"/>
      <c r="EO929" s="1"/>
      <c r="EP929" s="1"/>
      <c r="EQ929" s="1"/>
      <c r="ER929" s="1"/>
      <c r="ES929" s="1"/>
      <c r="ET929" s="1"/>
      <c r="EU929" s="1"/>
      <c r="EV929" s="1"/>
      <c r="EW929" s="1"/>
      <c r="EX929" s="1"/>
      <c r="EY929" s="1"/>
      <c r="EZ929" s="1"/>
      <c r="FA929" s="1"/>
      <c r="FB929" s="1"/>
      <c r="FC929" s="1"/>
      <c r="FD929" s="1"/>
      <c r="FE929" s="1"/>
      <c r="FF929" s="1"/>
      <c r="FG929" s="1"/>
      <c r="FH929" s="1"/>
      <c r="FI929" s="1"/>
      <c r="FJ929" s="1"/>
      <c r="FK929" s="1"/>
      <c r="FL929" s="1"/>
      <c r="FM929" s="1"/>
      <c r="FN929" s="1"/>
      <c r="FO929" s="1"/>
      <c r="FP929" s="1"/>
      <c r="FQ929" s="1"/>
      <c r="FR929" s="2"/>
      <c r="FS929" s="1"/>
    </row>
    <row r="930" spans="1:175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R930" s="1"/>
      <c r="S930" s="1"/>
      <c r="T930" s="1"/>
      <c r="U930" s="1"/>
      <c r="V930" s="1"/>
      <c r="Y930" s="1"/>
      <c r="Z930" s="2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U930" s="1"/>
      <c r="AW930" s="1"/>
      <c r="AX930" s="1"/>
      <c r="AY930" s="1"/>
      <c r="AZ930" s="1"/>
      <c r="BA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  <c r="DB930" s="1"/>
      <c r="DC930" s="1"/>
      <c r="DD930" s="1"/>
      <c r="DE930" s="1"/>
      <c r="DF930" s="1"/>
      <c r="DG930" s="1"/>
      <c r="DH930" s="1"/>
      <c r="DI930" s="1"/>
      <c r="DJ930" s="1"/>
      <c r="DK930" s="1"/>
      <c r="DL930" s="1"/>
      <c r="DM930" s="1"/>
      <c r="DN930" s="1"/>
      <c r="DO930" s="1"/>
      <c r="DP930" s="1"/>
      <c r="DQ930" s="1"/>
      <c r="DR930" s="1"/>
      <c r="DS930" s="1"/>
      <c r="DT930" s="1"/>
      <c r="DU930" s="1"/>
      <c r="DV930" s="1"/>
      <c r="DW930" s="1"/>
      <c r="DX930" s="1"/>
      <c r="DY930" s="1"/>
      <c r="DZ930" s="1"/>
      <c r="EA930" s="1"/>
      <c r="EB930" s="1"/>
      <c r="EC930" s="1"/>
      <c r="ED930" s="1"/>
      <c r="EE930" s="1"/>
      <c r="EF930" s="1"/>
      <c r="EG930" s="1"/>
      <c r="EH930" s="1"/>
      <c r="EI930" s="1"/>
      <c r="EJ930" s="1"/>
      <c r="EK930" s="1"/>
      <c r="EL930" s="1"/>
      <c r="EM930" s="1"/>
      <c r="EN930" s="1"/>
      <c r="EO930" s="1"/>
      <c r="EP930" s="1"/>
      <c r="EQ930" s="1"/>
      <c r="ER930" s="1"/>
      <c r="ES930" s="1"/>
      <c r="ET930" s="1"/>
      <c r="EU930" s="1"/>
      <c r="EV930" s="1"/>
      <c r="EW930" s="1"/>
      <c r="EX930" s="1"/>
      <c r="EY930" s="1"/>
      <c r="EZ930" s="1"/>
      <c r="FA930" s="1"/>
      <c r="FB930" s="1"/>
      <c r="FC930" s="1"/>
      <c r="FD930" s="1"/>
      <c r="FE930" s="1"/>
      <c r="FF930" s="1"/>
      <c r="FG930" s="1"/>
      <c r="FH930" s="1"/>
      <c r="FI930" s="1"/>
      <c r="FJ930" s="1"/>
      <c r="FK930" s="1"/>
      <c r="FL930" s="1"/>
      <c r="FM930" s="1"/>
      <c r="FN930" s="1"/>
      <c r="FO930" s="1"/>
      <c r="FP930" s="1"/>
      <c r="FQ930" s="1"/>
      <c r="FR930" s="2"/>
      <c r="FS930" s="1"/>
    </row>
    <row r="931" spans="1:175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R931" s="1"/>
      <c r="S931" s="1"/>
      <c r="T931" s="1"/>
      <c r="U931" s="1"/>
      <c r="V931" s="1"/>
      <c r="Y931" s="1"/>
      <c r="Z931" s="2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U931" s="1"/>
      <c r="AW931" s="1"/>
      <c r="AX931" s="1"/>
      <c r="AY931" s="1"/>
      <c r="AZ931" s="1"/>
      <c r="BA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  <c r="DB931" s="1"/>
      <c r="DC931" s="1"/>
      <c r="DD931" s="1"/>
      <c r="DE931" s="1"/>
      <c r="DF931" s="1"/>
      <c r="DG931" s="1"/>
      <c r="DH931" s="1"/>
      <c r="DI931" s="1"/>
      <c r="DJ931" s="1"/>
      <c r="DK931" s="1"/>
      <c r="DL931" s="1"/>
      <c r="DM931" s="1"/>
      <c r="DN931" s="1"/>
      <c r="DO931" s="1"/>
      <c r="DP931" s="1"/>
      <c r="DQ931" s="1"/>
      <c r="DR931" s="1"/>
      <c r="DS931" s="1"/>
      <c r="DT931" s="1"/>
      <c r="DU931" s="1"/>
      <c r="DV931" s="1"/>
      <c r="DW931" s="1"/>
      <c r="DX931" s="1"/>
      <c r="DY931" s="1"/>
      <c r="DZ931" s="1"/>
      <c r="EA931" s="1"/>
      <c r="EB931" s="1"/>
      <c r="EC931" s="1"/>
      <c r="ED931" s="1"/>
      <c r="EE931" s="1"/>
      <c r="EF931" s="1"/>
      <c r="EG931" s="1"/>
      <c r="EH931" s="1"/>
      <c r="EI931" s="1"/>
      <c r="EJ931" s="1"/>
      <c r="EK931" s="1"/>
      <c r="EL931" s="1"/>
      <c r="EM931" s="1"/>
      <c r="EN931" s="1"/>
      <c r="EO931" s="1"/>
      <c r="EP931" s="1"/>
      <c r="EQ931" s="1"/>
      <c r="ER931" s="1"/>
      <c r="ES931" s="1"/>
      <c r="ET931" s="1"/>
      <c r="EU931" s="1"/>
      <c r="EV931" s="1"/>
      <c r="EW931" s="1"/>
      <c r="EX931" s="1"/>
      <c r="EY931" s="1"/>
      <c r="EZ931" s="1"/>
      <c r="FA931" s="1"/>
      <c r="FB931" s="1"/>
      <c r="FC931" s="1"/>
      <c r="FD931" s="1"/>
      <c r="FE931" s="1"/>
      <c r="FF931" s="1"/>
      <c r="FG931" s="1"/>
      <c r="FH931" s="1"/>
      <c r="FI931" s="1"/>
      <c r="FJ931" s="1"/>
      <c r="FK931" s="1"/>
      <c r="FL931" s="1"/>
      <c r="FM931" s="1"/>
      <c r="FN931" s="1"/>
      <c r="FO931" s="1"/>
      <c r="FP931" s="1"/>
      <c r="FQ931" s="1"/>
      <c r="FR931" s="2"/>
      <c r="FS931" s="1"/>
    </row>
    <row r="932" spans="1:175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R932" s="1"/>
      <c r="S932" s="1"/>
      <c r="T932" s="1"/>
      <c r="U932" s="1"/>
      <c r="V932" s="1"/>
      <c r="Y932" s="1"/>
      <c r="Z932" s="2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U932" s="1"/>
      <c r="AW932" s="1"/>
      <c r="AX932" s="1"/>
      <c r="AY932" s="1"/>
      <c r="AZ932" s="1"/>
      <c r="BA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  <c r="DB932" s="1"/>
      <c r="DC932" s="1"/>
      <c r="DD932" s="1"/>
      <c r="DE932" s="1"/>
      <c r="DF932" s="1"/>
      <c r="DG932" s="1"/>
      <c r="DH932" s="1"/>
      <c r="DI932" s="1"/>
      <c r="DJ932" s="1"/>
      <c r="DK932" s="1"/>
      <c r="DL932" s="1"/>
      <c r="DM932" s="1"/>
      <c r="DN932" s="1"/>
      <c r="DO932" s="1"/>
      <c r="DP932" s="1"/>
      <c r="DQ932" s="1"/>
      <c r="DR932" s="1"/>
      <c r="DS932" s="1"/>
      <c r="DT932" s="1"/>
      <c r="DU932" s="1"/>
      <c r="DV932" s="1"/>
      <c r="DW932" s="1"/>
      <c r="DX932" s="1"/>
      <c r="DY932" s="1"/>
      <c r="DZ932" s="1"/>
      <c r="EA932" s="1"/>
      <c r="EB932" s="1"/>
      <c r="EC932" s="1"/>
      <c r="ED932" s="1"/>
      <c r="EE932" s="1"/>
      <c r="EF932" s="1"/>
      <c r="EG932" s="1"/>
      <c r="EH932" s="1"/>
      <c r="EI932" s="1"/>
      <c r="EJ932" s="1"/>
      <c r="EK932" s="1"/>
      <c r="EL932" s="1"/>
      <c r="EM932" s="1"/>
      <c r="EN932" s="1"/>
      <c r="EO932" s="1"/>
      <c r="EP932" s="1"/>
      <c r="EQ932" s="1"/>
      <c r="ER932" s="1"/>
      <c r="ES932" s="1"/>
      <c r="ET932" s="1"/>
      <c r="EU932" s="1"/>
      <c r="EV932" s="1"/>
      <c r="EW932" s="1"/>
      <c r="EX932" s="1"/>
      <c r="EY932" s="1"/>
      <c r="EZ932" s="1"/>
      <c r="FA932" s="1"/>
      <c r="FB932" s="1"/>
      <c r="FC932" s="1"/>
      <c r="FD932" s="1"/>
      <c r="FE932" s="1"/>
      <c r="FF932" s="1"/>
      <c r="FG932" s="1"/>
      <c r="FH932" s="1"/>
      <c r="FI932" s="1"/>
      <c r="FJ932" s="1"/>
      <c r="FK932" s="1"/>
      <c r="FL932" s="1"/>
      <c r="FM932" s="1"/>
      <c r="FN932" s="1"/>
      <c r="FO932" s="1"/>
      <c r="FP932" s="1"/>
      <c r="FQ932" s="1"/>
      <c r="FR932" s="2"/>
      <c r="FS932" s="1"/>
    </row>
    <row r="933" spans="1:175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R933" s="1"/>
      <c r="S933" s="1"/>
      <c r="T933" s="1"/>
      <c r="U933" s="1"/>
      <c r="V933" s="1"/>
      <c r="Y933" s="1"/>
      <c r="Z933" s="2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U933" s="1"/>
      <c r="AW933" s="1"/>
      <c r="AX933" s="1"/>
      <c r="AY933" s="1"/>
      <c r="AZ933" s="1"/>
      <c r="BA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  <c r="DB933" s="1"/>
      <c r="DC933" s="1"/>
      <c r="DD933" s="1"/>
      <c r="DE933" s="1"/>
      <c r="DF933" s="1"/>
      <c r="DG933" s="1"/>
      <c r="DH933" s="1"/>
      <c r="DI933" s="1"/>
      <c r="DJ933" s="1"/>
      <c r="DK933" s="1"/>
      <c r="DL933" s="1"/>
      <c r="DM933" s="1"/>
      <c r="DN933" s="1"/>
      <c r="DO933" s="1"/>
      <c r="DP933" s="1"/>
      <c r="DQ933" s="1"/>
      <c r="DR933" s="1"/>
      <c r="DS933" s="1"/>
      <c r="DT933" s="1"/>
      <c r="DU933" s="1"/>
      <c r="DV933" s="1"/>
      <c r="DW933" s="1"/>
      <c r="DX933" s="1"/>
      <c r="DY933" s="1"/>
      <c r="DZ933" s="1"/>
      <c r="EA933" s="1"/>
      <c r="EB933" s="1"/>
      <c r="EC933" s="1"/>
      <c r="ED933" s="1"/>
      <c r="EE933" s="1"/>
      <c r="EF933" s="1"/>
      <c r="EG933" s="1"/>
      <c r="EH933" s="1"/>
      <c r="EI933" s="1"/>
      <c r="EJ933" s="1"/>
      <c r="EK933" s="1"/>
      <c r="EL933" s="1"/>
      <c r="EM933" s="1"/>
      <c r="EN933" s="1"/>
      <c r="EO933" s="1"/>
      <c r="EP933" s="1"/>
      <c r="EQ933" s="1"/>
      <c r="ER933" s="1"/>
      <c r="ES933" s="1"/>
      <c r="ET933" s="1"/>
      <c r="EU933" s="1"/>
      <c r="EV933" s="1"/>
      <c r="EW933" s="1"/>
      <c r="EX933" s="1"/>
      <c r="EY933" s="1"/>
      <c r="EZ933" s="1"/>
      <c r="FA933" s="1"/>
      <c r="FB933" s="1"/>
      <c r="FC933" s="1"/>
      <c r="FD933" s="1"/>
      <c r="FE933" s="1"/>
      <c r="FF933" s="1"/>
      <c r="FG933" s="1"/>
      <c r="FH933" s="1"/>
      <c r="FI933" s="1"/>
      <c r="FJ933" s="1"/>
      <c r="FK933" s="1"/>
      <c r="FL933" s="1"/>
      <c r="FM933" s="1"/>
      <c r="FN933" s="1"/>
      <c r="FO933" s="1"/>
      <c r="FP933" s="1"/>
      <c r="FQ933" s="1"/>
      <c r="FR933" s="2"/>
      <c r="FS933" s="1"/>
    </row>
    <row r="934" spans="1:175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R934" s="1"/>
      <c r="S934" s="1"/>
      <c r="T934" s="1"/>
      <c r="U934" s="1"/>
      <c r="V934" s="1"/>
      <c r="Y934" s="1"/>
      <c r="Z934" s="2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U934" s="1"/>
      <c r="AW934" s="1"/>
      <c r="AX934" s="1"/>
      <c r="AY934" s="1"/>
      <c r="AZ934" s="1"/>
      <c r="BA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  <c r="DB934" s="1"/>
      <c r="DC934" s="1"/>
      <c r="DD934" s="1"/>
      <c r="DE934" s="1"/>
      <c r="DF934" s="1"/>
      <c r="DG934" s="1"/>
      <c r="DH934" s="1"/>
      <c r="DI934" s="1"/>
      <c r="DJ934" s="1"/>
      <c r="DK934" s="1"/>
      <c r="DL934" s="1"/>
      <c r="DM934" s="1"/>
      <c r="DN934" s="1"/>
      <c r="DO934" s="1"/>
      <c r="DP934" s="1"/>
      <c r="DQ934" s="1"/>
      <c r="DR934" s="1"/>
      <c r="DS934" s="1"/>
      <c r="DT934" s="1"/>
      <c r="DU934" s="1"/>
      <c r="DV934" s="1"/>
      <c r="DW934" s="1"/>
      <c r="DX934" s="1"/>
      <c r="DY934" s="1"/>
      <c r="DZ934" s="1"/>
      <c r="EA934" s="1"/>
      <c r="EB934" s="1"/>
      <c r="EC934" s="1"/>
      <c r="ED934" s="1"/>
      <c r="EE934" s="1"/>
      <c r="EF934" s="1"/>
      <c r="EG934" s="1"/>
      <c r="EH934" s="1"/>
      <c r="EI934" s="1"/>
      <c r="EJ934" s="1"/>
      <c r="EK934" s="1"/>
      <c r="EL934" s="1"/>
      <c r="EM934" s="1"/>
      <c r="EN934" s="1"/>
      <c r="EO934" s="1"/>
      <c r="EP934" s="1"/>
      <c r="EQ934" s="1"/>
      <c r="ER934" s="1"/>
      <c r="ES934" s="1"/>
      <c r="ET934" s="1"/>
      <c r="EU934" s="1"/>
      <c r="EV934" s="1"/>
      <c r="EW934" s="1"/>
      <c r="EX934" s="1"/>
      <c r="EY934" s="1"/>
      <c r="EZ934" s="1"/>
      <c r="FA934" s="1"/>
      <c r="FB934" s="1"/>
      <c r="FC934" s="1"/>
      <c r="FD934" s="1"/>
      <c r="FE934" s="1"/>
      <c r="FF934" s="1"/>
      <c r="FG934" s="1"/>
      <c r="FH934" s="1"/>
      <c r="FI934" s="1"/>
      <c r="FJ934" s="1"/>
      <c r="FK934" s="1"/>
      <c r="FL934" s="1"/>
      <c r="FM934" s="1"/>
      <c r="FN934" s="1"/>
      <c r="FO934" s="1"/>
      <c r="FP934" s="1"/>
      <c r="FQ934" s="1"/>
      <c r="FR934" s="2"/>
      <c r="FS934" s="1"/>
    </row>
    <row r="935" spans="1:175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R935" s="1"/>
      <c r="S935" s="1"/>
      <c r="T935" s="1"/>
      <c r="U935" s="1"/>
      <c r="V935" s="1"/>
      <c r="Y935" s="1"/>
      <c r="Z935" s="2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U935" s="1"/>
      <c r="AW935" s="1"/>
      <c r="AX935" s="1"/>
      <c r="AY935" s="1"/>
      <c r="AZ935" s="1"/>
      <c r="BA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  <c r="DB935" s="1"/>
      <c r="DC935" s="1"/>
      <c r="DD935" s="1"/>
      <c r="DE935" s="1"/>
      <c r="DF935" s="1"/>
      <c r="DG935" s="1"/>
      <c r="DH935" s="1"/>
      <c r="DI935" s="1"/>
      <c r="DJ935" s="1"/>
      <c r="DK935" s="1"/>
      <c r="DL935" s="1"/>
      <c r="DM935" s="1"/>
      <c r="DN935" s="1"/>
      <c r="DO935" s="1"/>
      <c r="DP935" s="1"/>
      <c r="DQ935" s="1"/>
      <c r="DR935" s="1"/>
      <c r="DS935" s="1"/>
      <c r="DT935" s="1"/>
      <c r="DU935" s="1"/>
      <c r="DV935" s="1"/>
      <c r="DW935" s="1"/>
      <c r="DX935" s="1"/>
      <c r="DY935" s="1"/>
      <c r="DZ935" s="1"/>
      <c r="EA935" s="1"/>
      <c r="EB935" s="1"/>
      <c r="EC935" s="1"/>
      <c r="ED935" s="1"/>
      <c r="EE935" s="1"/>
      <c r="EF935" s="1"/>
      <c r="EG935" s="1"/>
      <c r="EH935" s="1"/>
      <c r="EI935" s="1"/>
      <c r="EJ935" s="1"/>
      <c r="EK935" s="1"/>
      <c r="EL935" s="1"/>
      <c r="EM935" s="1"/>
      <c r="EN935" s="1"/>
      <c r="EO935" s="1"/>
      <c r="EP935" s="1"/>
      <c r="EQ935" s="1"/>
      <c r="ER935" s="1"/>
      <c r="ES935" s="1"/>
      <c r="ET935" s="1"/>
      <c r="EU935" s="1"/>
      <c r="EV935" s="1"/>
      <c r="EW935" s="1"/>
      <c r="EX935" s="1"/>
      <c r="EY935" s="1"/>
      <c r="EZ935" s="1"/>
      <c r="FA935" s="1"/>
      <c r="FB935" s="1"/>
      <c r="FC935" s="1"/>
      <c r="FD935" s="1"/>
      <c r="FE935" s="1"/>
      <c r="FF935" s="1"/>
      <c r="FG935" s="1"/>
      <c r="FH935" s="1"/>
      <c r="FI935" s="1"/>
      <c r="FJ935" s="1"/>
      <c r="FK935" s="1"/>
      <c r="FL935" s="1"/>
      <c r="FM935" s="1"/>
      <c r="FN935" s="1"/>
      <c r="FO935" s="1"/>
      <c r="FP935" s="1"/>
      <c r="FQ935" s="1"/>
      <c r="FR935" s="2"/>
      <c r="FS935" s="1"/>
    </row>
    <row r="936" spans="1:175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R936" s="1"/>
      <c r="S936" s="1"/>
      <c r="T936" s="1"/>
      <c r="U936" s="1"/>
      <c r="V936" s="1"/>
      <c r="Y936" s="1"/>
      <c r="Z936" s="2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U936" s="1"/>
      <c r="AW936" s="1"/>
      <c r="AX936" s="1"/>
      <c r="AY936" s="1"/>
      <c r="AZ936" s="1"/>
      <c r="BA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  <c r="DB936" s="1"/>
      <c r="DC936" s="1"/>
      <c r="DD936" s="1"/>
      <c r="DE936" s="1"/>
      <c r="DF936" s="1"/>
      <c r="DG936" s="1"/>
      <c r="DH936" s="1"/>
      <c r="DI936" s="1"/>
      <c r="DJ936" s="1"/>
      <c r="DK936" s="1"/>
      <c r="DL936" s="1"/>
      <c r="DM936" s="1"/>
      <c r="DN936" s="1"/>
      <c r="DO936" s="1"/>
      <c r="DP936" s="1"/>
      <c r="DQ936" s="1"/>
      <c r="DR936" s="1"/>
      <c r="DS936" s="1"/>
      <c r="DT936" s="1"/>
      <c r="DU936" s="1"/>
      <c r="DV936" s="1"/>
      <c r="DW936" s="1"/>
      <c r="DX936" s="1"/>
      <c r="DY936" s="1"/>
      <c r="DZ936" s="1"/>
      <c r="EA936" s="1"/>
      <c r="EB936" s="1"/>
      <c r="EC936" s="1"/>
      <c r="ED936" s="1"/>
      <c r="EE936" s="1"/>
      <c r="EF936" s="1"/>
      <c r="EG936" s="1"/>
      <c r="EH936" s="1"/>
      <c r="EI936" s="1"/>
      <c r="EJ936" s="1"/>
      <c r="EK936" s="1"/>
      <c r="EL936" s="1"/>
      <c r="EM936" s="1"/>
      <c r="EN936" s="1"/>
      <c r="EO936" s="1"/>
      <c r="EP936" s="1"/>
      <c r="EQ936" s="1"/>
      <c r="ER936" s="1"/>
      <c r="ES936" s="1"/>
      <c r="ET936" s="1"/>
      <c r="EU936" s="1"/>
      <c r="EV936" s="1"/>
      <c r="EW936" s="1"/>
      <c r="EX936" s="1"/>
      <c r="EY936" s="1"/>
      <c r="EZ936" s="1"/>
      <c r="FA936" s="1"/>
      <c r="FB936" s="1"/>
      <c r="FC936" s="1"/>
      <c r="FD936" s="1"/>
      <c r="FE936" s="1"/>
      <c r="FF936" s="1"/>
      <c r="FG936" s="1"/>
      <c r="FH936" s="1"/>
      <c r="FI936" s="1"/>
      <c r="FJ936" s="1"/>
      <c r="FK936" s="1"/>
      <c r="FL936" s="1"/>
      <c r="FM936" s="1"/>
      <c r="FN936" s="1"/>
      <c r="FO936" s="1"/>
      <c r="FP936" s="1"/>
      <c r="FQ936" s="1"/>
      <c r="FR936" s="2"/>
      <c r="FS936" s="1"/>
    </row>
    <row r="937" spans="1:175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R937" s="1"/>
      <c r="S937" s="1"/>
      <c r="T937" s="1"/>
      <c r="U937" s="1"/>
      <c r="V937" s="1"/>
      <c r="Y937" s="1"/>
      <c r="Z937" s="2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U937" s="1"/>
      <c r="AW937" s="1"/>
      <c r="AX937" s="1"/>
      <c r="AY937" s="1"/>
      <c r="AZ937" s="1"/>
      <c r="BA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  <c r="DB937" s="1"/>
      <c r="DC937" s="1"/>
      <c r="DD937" s="1"/>
      <c r="DE937" s="1"/>
      <c r="DF937" s="1"/>
      <c r="DG937" s="1"/>
      <c r="DH937" s="1"/>
      <c r="DI937" s="1"/>
      <c r="DJ937" s="1"/>
      <c r="DK937" s="1"/>
      <c r="DL937" s="1"/>
      <c r="DM937" s="1"/>
      <c r="DN937" s="1"/>
      <c r="DO937" s="1"/>
      <c r="DP937" s="1"/>
      <c r="DQ937" s="1"/>
      <c r="DR937" s="1"/>
      <c r="DS937" s="1"/>
      <c r="DT937" s="1"/>
      <c r="DU937" s="1"/>
      <c r="DV937" s="1"/>
      <c r="DW937" s="1"/>
      <c r="DX937" s="1"/>
      <c r="DY937" s="1"/>
      <c r="DZ937" s="1"/>
      <c r="EA937" s="1"/>
      <c r="EB937" s="1"/>
      <c r="EC937" s="1"/>
      <c r="ED937" s="1"/>
      <c r="EE937" s="1"/>
      <c r="EF937" s="1"/>
      <c r="EG937" s="1"/>
      <c r="EH937" s="1"/>
      <c r="EI937" s="1"/>
      <c r="EJ937" s="1"/>
      <c r="EK937" s="1"/>
      <c r="EL937" s="1"/>
      <c r="EM937" s="1"/>
      <c r="EN937" s="1"/>
      <c r="EO937" s="1"/>
      <c r="EP937" s="1"/>
      <c r="EQ937" s="1"/>
      <c r="ER937" s="1"/>
      <c r="ES937" s="1"/>
      <c r="ET937" s="1"/>
      <c r="EU937" s="1"/>
      <c r="EV937" s="1"/>
      <c r="EW937" s="1"/>
      <c r="EX937" s="1"/>
      <c r="EY937" s="1"/>
      <c r="EZ937" s="1"/>
      <c r="FA937" s="1"/>
      <c r="FB937" s="1"/>
      <c r="FC937" s="1"/>
      <c r="FD937" s="1"/>
      <c r="FE937" s="1"/>
      <c r="FF937" s="1"/>
      <c r="FG937" s="1"/>
      <c r="FH937" s="1"/>
      <c r="FI937" s="1"/>
      <c r="FJ937" s="1"/>
      <c r="FK937" s="1"/>
      <c r="FL937" s="1"/>
      <c r="FM937" s="1"/>
      <c r="FN937" s="1"/>
      <c r="FO937" s="1"/>
      <c r="FP937" s="1"/>
      <c r="FQ937" s="1"/>
      <c r="FR937" s="2"/>
      <c r="FS937" s="1"/>
    </row>
    <row r="938" spans="1:175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R938" s="1"/>
      <c r="S938" s="1"/>
      <c r="T938" s="1"/>
      <c r="U938" s="1"/>
      <c r="V938" s="1"/>
      <c r="Y938" s="1"/>
      <c r="Z938" s="2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U938" s="1"/>
      <c r="AW938" s="1"/>
      <c r="AX938" s="1"/>
      <c r="AY938" s="1"/>
      <c r="AZ938" s="1"/>
      <c r="BA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  <c r="DB938" s="1"/>
      <c r="DC938" s="1"/>
      <c r="DD938" s="1"/>
      <c r="DE938" s="1"/>
      <c r="DF938" s="1"/>
      <c r="DG938" s="1"/>
      <c r="DH938" s="1"/>
      <c r="DI938" s="1"/>
      <c r="DJ938" s="1"/>
      <c r="DK938" s="1"/>
      <c r="DL938" s="1"/>
      <c r="DM938" s="1"/>
      <c r="DN938" s="1"/>
      <c r="DO938" s="1"/>
      <c r="DP938" s="1"/>
      <c r="DQ938" s="1"/>
      <c r="DR938" s="1"/>
      <c r="DS938" s="1"/>
      <c r="DT938" s="1"/>
      <c r="DU938" s="1"/>
      <c r="DV938" s="1"/>
      <c r="DW938" s="1"/>
      <c r="DX938" s="1"/>
      <c r="DY938" s="1"/>
      <c r="DZ938" s="1"/>
      <c r="EA938" s="1"/>
      <c r="EB938" s="1"/>
      <c r="EC938" s="1"/>
      <c r="ED938" s="1"/>
      <c r="EE938" s="1"/>
      <c r="EF938" s="1"/>
      <c r="EG938" s="1"/>
      <c r="EH938" s="1"/>
      <c r="EI938" s="1"/>
      <c r="EJ938" s="1"/>
      <c r="EK938" s="1"/>
      <c r="EL938" s="1"/>
      <c r="EM938" s="1"/>
      <c r="EN938" s="1"/>
      <c r="EO938" s="1"/>
      <c r="EP938" s="1"/>
      <c r="EQ938" s="1"/>
      <c r="ER938" s="1"/>
      <c r="ES938" s="1"/>
      <c r="ET938" s="1"/>
      <c r="EU938" s="1"/>
      <c r="EV938" s="1"/>
      <c r="EW938" s="1"/>
      <c r="EX938" s="1"/>
      <c r="EY938" s="1"/>
      <c r="EZ938" s="1"/>
      <c r="FA938" s="1"/>
      <c r="FB938" s="1"/>
      <c r="FC938" s="1"/>
      <c r="FD938" s="1"/>
      <c r="FE938" s="1"/>
      <c r="FF938" s="1"/>
      <c r="FG938" s="1"/>
      <c r="FH938" s="1"/>
      <c r="FI938" s="1"/>
      <c r="FJ938" s="1"/>
      <c r="FK938" s="1"/>
      <c r="FL938" s="1"/>
      <c r="FM938" s="1"/>
      <c r="FN938" s="1"/>
      <c r="FO938" s="1"/>
      <c r="FP938" s="1"/>
      <c r="FQ938" s="1"/>
      <c r="FR938" s="2"/>
      <c r="FS938" s="1"/>
    </row>
    <row r="939" spans="1:175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R939" s="1"/>
      <c r="S939" s="1"/>
      <c r="T939" s="1"/>
      <c r="U939" s="1"/>
      <c r="V939" s="1"/>
      <c r="Y939" s="1"/>
      <c r="Z939" s="2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U939" s="1"/>
      <c r="AW939" s="1"/>
      <c r="AX939" s="1"/>
      <c r="AY939" s="1"/>
      <c r="AZ939" s="1"/>
      <c r="BA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  <c r="DB939" s="1"/>
      <c r="DC939" s="1"/>
      <c r="DD939" s="1"/>
      <c r="DE939" s="1"/>
      <c r="DF939" s="1"/>
      <c r="DG939" s="1"/>
      <c r="DH939" s="1"/>
      <c r="DI939" s="1"/>
      <c r="DJ939" s="1"/>
      <c r="DK939" s="1"/>
      <c r="DL939" s="1"/>
      <c r="DM939" s="1"/>
      <c r="DN939" s="1"/>
      <c r="DO939" s="1"/>
      <c r="DP939" s="1"/>
      <c r="DQ939" s="1"/>
      <c r="DR939" s="1"/>
      <c r="DS939" s="1"/>
      <c r="DT939" s="1"/>
      <c r="DU939" s="1"/>
      <c r="DV939" s="1"/>
      <c r="DW939" s="1"/>
      <c r="DX939" s="1"/>
      <c r="DY939" s="1"/>
      <c r="DZ939" s="1"/>
      <c r="EA939" s="1"/>
      <c r="EB939" s="1"/>
      <c r="EC939" s="1"/>
      <c r="ED939" s="1"/>
      <c r="EE939" s="1"/>
      <c r="EF939" s="1"/>
      <c r="EG939" s="1"/>
      <c r="EH939" s="1"/>
      <c r="EI939" s="1"/>
      <c r="EJ939" s="1"/>
      <c r="EK939" s="1"/>
      <c r="EL939" s="1"/>
      <c r="EM939" s="1"/>
      <c r="EN939" s="1"/>
      <c r="EO939" s="1"/>
      <c r="EP939" s="1"/>
      <c r="EQ939" s="1"/>
      <c r="ER939" s="1"/>
      <c r="ES939" s="1"/>
      <c r="ET939" s="1"/>
      <c r="EU939" s="1"/>
      <c r="EV939" s="1"/>
      <c r="EW939" s="1"/>
      <c r="EX939" s="1"/>
      <c r="EY939" s="1"/>
      <c r="EZ939" s="1"/>
      <c r="FA939" s="1"/>
      <c r="FB939" s="1"/>
      <c r="FC939" s="1"/>
      <c r="FD939" s="1"/>
      <c r="FE939" s="1"/>
      <c r="FF939" s="1"/>
      <c r="FG939" s="1"/>
      <c r="FH939" s="1"/>
      <c r="FI939" s="1"/>
      <c r="FJ939" s="1"/>
      <c r="FK939" s="1"/>
      <c r="FL939" s="1"/>
      <c r="FM939" s="1"/>
      <c r="FN939" s="1"/>
      <c r="FO939" s="1"/>
      <c r="FP939" s="1"/>
      <c r="FQ939" s="1"/>
      <c r="FR939" s="2"/>
      <c r="FS939" s="1"/>
    </row>
    <row r="940" spans="1:175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R940" s="1"/>
      <c r="S940" s="1"/>
      <c r="T940" s="1"/>
      <c r="U940" s="1"/>
      <c r="V940" s="1"/>
      <c r="Y940" s="1"/>
      <c r="Z940" s="2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U940" s="1"/>
      <c r="AW940" s="1"/>
      <c r="AX940" s="1"/>
      <c r="AY940" s="1"/>
      <c r="AZ940" s="1"/>
      <c r="BA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  <c r="DB940" s="1"/>
      <c r="DC940" s="1"/>
      <c r="DD940" s="1"/>
      <c r="DE940" s="1"/>
      <c r="DF940" s="1"/>
      <c r="DG940" s="1"/>
      <c r="DH940" s="1"/>
      <c r="DI940" s="1"/>
      <c r="DJ940" s="1"/>
      <c r="DK940" s="1"/>
      <c r="DL940" s="1"/>
      <c r="DM940" s="1"/>
      <c r="DN940" s="1"/>
      <c r="DO940" s="1"/>
      <c r="DP940" s="1"/>
      <c r="DQ940" s="1"/>
      <c r="DR940" s="1"/>
      <c r="DS940" s="1"/>
      <c r="DT940" s="1"/>
      <c r="DU940" s="1"/>
      <c r="DV940" s="1"/>
      <c r="DW940" s="1"/>
      <c r="DX940" s="1"/>
      <c r="DY940" s="1"/>
      <c r="DZ940" s="1"/>
      <c r="EA940" s="1"/>
      <c r="EB940" s="1"/>
      <c r="EC940" s="1"/>
      <c r="ED940" s="1"/>
      <c r="EE940" s="1"/>
      <c r="EF940" s="1"/>
      <c r="EG940" s="1"/>
      <c r="EH940" s="1"/>
      <c r="EI940" s="1"/>
      <c r="EJ940" s="1"/>
      <c r="EK940" s="1"/>
      <c r="EL940" s="1"/>
      <c r="EM940" s="1"/>
      <c r="EN940" s="1"/>
      <c r="EO940" s="1"/>
      <c r="EP940" s="1"/>
      <c r="EQ940" s="1"/>
      <c r="ER940" s="1"/>
      <c r="ES940" s="1"/>
      <c r="ET940" s="1"/>
      <c r="EU940" s="1"/>
      <c r="EV940" s="1"/>
      <c r="EW940" s="1"/>
      <c r="EX940" s="1"/>
      <c r="EY940" s="1"/>
      <c r="EZ940" s="1"/>
      <c r="FA940" s="1"/>
      <c r="FB940" s="1"/>
      <c r="FC940" s="1"/>
      <c r="FD940" s="1"/>
      <c r="FE940" s="1"/>
      <c r="FF940" s="1"/>
      <c r="FG940" s="1"/>
      <c r="FH940" s="1"/>
      <c r="FI940" s="1"/>
      <c r="FJ940" s="1"/>
      <c r="FK940" s="1"/>
      <c r="FL940" s="1"/>
      <c r="FM940" s="1"/>
      <c r="FN940" s="1"/>
      <c r="FO940" s="1"/>
      <c r="FP940" s="1"/>
      <c r="FQ940" s="1"/>
      <c r="FR940" s="2"/>
      <c r="FS940" s="1"/>
    </row>
    <row r="941" spans="1:175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R941" s="1"/>
      <c r="S941" s="1"/>
      <c r="T941" s="1"/>
      <c r="U941" s="1"/>
      <c r="V941" s="1"/>
      <c r="Y941" s="1"/>
      <c r="Z941" s="2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U941" s="1"/>
      <c r="AW941" s="1"/>
      <c r="AX941" s="1"/>
      <c r="AY941" s="1"/>
      <c r="AZ941" s="1"/>
      <c r="BA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  <c r="DB941" s="1"/>
      <c r="DC941" s="1"/>
      <c r="DD941" s="1"/>
      <c r="DE941" s="1"/>
      <c r="DF941" s="1"/>
      <c r="DG941" s="1"/>
      <c r="DH941" s="1"/>
      <c r="DI941" s="1"/>
      <c r="DJ941" s="1"/>
      <c r="DK941" s="1"/>
      <c r="DL941" s="1"/>
      <c r="DM941" s="1"/>
      <c r="DN941" s="1"/>
      <c r="DO941" s="1"/>
      <c r="DP941" s="1"/>
      <c r="DQ941" s="1"/>
      <c r="DR941" s="1"/>
      <c r="DS941" s="1"/>
      <c r="DT941" s="1"/>
      <c r="DU941" s="1"/>
      <c r="DV941" s="1"/>
      <c r="DW941" s="1"/>
      <c r="DX941" s="1"/>
      <c r="DY941" s="1"/>
      <c r="DZ941" s="1"/>
      <c r="EA941" s="1"/>
      <c r="EB941" s="1"/>
      <c r="EC941" s="1"/>
      <c r="ED941" s="1"/>
      <c r="EE941" s="1"/>
      <c r="EF941" s="1"/>
      <c r="EG941" s="1"/>
      <c r="EH941" s="1"/>
      <c r="EI941" s="1"/>
      <c r="EJ941" s="1"/>
      <c r="EK941" s="1"/>
      <c r="EL941" s="1"/>
      <c r="EM941" s="1"/>
      <c r="EN941" s="1"/>
      <c r="EO941" s="1"/>
      <c r="EP941" s="1"/>
      <c r="EQ941" s="1"/>
      <c r="ER941" s="1"/>
      <c r="ES941" s="1"/>
      <c r="ET941" s="1"/>
      <c r="EU941" s="1"/>
      <c r="EV941" s="1"/>
      <c r="EW941" s="1"/>
      <c r="EX941" s="1"/>
      <c r="EY941" s="1"/>
      <c r="EZ941" s="1"/>
      <c r="FA941" s="1"/>
      <c r="FB941" s="1"/>
      <c r="FC941" s="1"/>
      <c r="FD941" s="1"/>
      <c r="FE941" s="1"/>
      <c r="FF941" s="1"/>
      <c r="FG941" s="1"/>
      <c r="FH941" s="1"/>
      <c r="FI941" s="1"/>
      <c r="FJ941" s="1"/>
      <c r="FK941" s="1"/>
      <c r="FL941" s="1"/>
      <c r="FM941" s="1"/>
      <c r="FN941" s="1"/>
      <c r="FO941" s="1"/>
      <c r="FP941" s="1"/>
      <c r="FQ941" s="1"/>
      <c r="FR941" s="2"/>
      <c r="FS941" s="1"/>
    </row>
    <row r="942" spans="1:175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R942" s="1"/>
      <c r="S942" s="1"/>
      <c r="T942" s="1"/>
      <c r="U942" s="1"/>
      <c r="V942" s="1"/>
      <c r="Y942" s="1"/>
      <c r="Z942" s="2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U942" s="1"/>
      <c r="AW942" s="1"/>
      <c r="AX942" s="1"/>
      <c r="AY942" s="1"/>
      <c r="AZ942" s="1"/>
      <c r="BA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  <c r="DB942" s="1"/>
      <c r="DC942" s="1"/>
      <c r="DD942" s="1"/>
      <c r="DE942" s="1"/>
      <c r="DF942" s="1"/>
      <c r="DG942" s="1"/>
      <c r="DH942" s="1"/>
      <c r="DI942" s="1"/>
      <c r="DJ942" s="1"/>
      <c r="DK942" s="1"/>
      <c r="DL942" s="1"/>
      <c r="DM942" s="1"/>
      <c r="DN942" s="1"/>
      <c r="DO942" s="1"/>
      <c r="DP942" s="1"/>
      <c r="DQ942" s="1"/>
      <c r="DR942" s="1"/>
      <c r="DS942" s="1"/>
      <c r="DT942" s="1"/>
      <c r="DU942" s="1"/>
      <c r="DV942" s="1"/>
      <c r="DW942" s="1"/>
      <c r="DX942" s="1"/>
      <c r="DY942" s="1"/>
      <c r="DZ942" s="1"/>
      <c r="EA942" s="1"/>
      <c r="EB942" s="1"/>
      <c r="EC942" s="1"/>
      <c r="ED942" s="1"/>
      <c r="EE942" s="1"/>
      <c r="EF942" s="1"/>
      <c r="EG942" s="1"/>
      <c r="EH942" s="1"/>
      <c r="EI942" s="1"/>
      <c r="EJ942" s="1"/>
      <c r="EK942" s="1"/>
      <c r="EL942" s="1"/>
      <c r="EM942" s="1"/>
      <c r="EN942" s="1"/>
      <c r="EO942" s="1"/>
      <c r="EP942" s="1"/>
      <c r="EQ942" s="1"/>
      <c r="ER942" s="1"/>
      <c r="ES942" s="1"/>
      <c r="ET942" s="1"/>
      <c r="EU942" s="1"/>
      <c r="EV942" s="1"/>
      <c r="EW942" s="1"/>
      <c r="EX942" s="1"/>
      <c r="EY942" s="1"/>
      <c r="EZ942" s="1"/>
      <c r="FA942" s="1"/>
      <c r="FB942" s="1"/>
      <c r="FC942" s="1"/>
      <c r="FD942" s="1"/>
      <c r="FE942" s="1"/>
      <c r="FF942" s="1"/>
      <c r="FG942" s="1"/>
      <c r="FH942" s="1"/>
      <c r="FI942" s="1"/>
      <c r="FJ942" s="1"/>
      <c r="FK942" s="1"/>
      <c r="FL942" s="1"/>
      <c r="FM942" s="1"/>
      <c r="FN942" s="1"/>
      <c r="FO942" s="1"/>
      <c r="FP942" s="1"/>
      <c r="FQ942" s="1"/>
      <c r="FR942" s="2"/>
      <c r="FS942" s="1"/>
    </row>
    <row r="943" spans="1:175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R943" s="1"/>
      <c r="S943" s="1"/>
      <c r="T943" s="1"/>
      <c r="U943" s="1"/>
      <c r="V943" s="1"/>
      <c r="Y943" s="1"/>
      <c r="Z943" s="2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U943" s="1"/>
      <c r="AW943" s="1"/>
      <c r="AX943" s="1"/>
      <c r="AY943" s="1"/>
      <c r="AZ943" s="1"/>
      <c r="BA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  <c r="DB943" s="1"/>
      <c r="DC943" s="1"/>
      <c r="DD943" s="1"/>
      <c r="DE943" s="1"/>
      <c r="DF943" s="1"/>
      <c r="DG943" s="1"/>
      <c r="DH943" s="1"/>
      <c r="DI943" s="1"/>
      <c r="DJ943" s="1"/>
      <c r="DK943" s="1"/>
      <c r="DL943" s="1"/>
      <c r="DM943" s="1"/>
      <c r="DN943" s="1"/>
      <c r="DO943" s="1"/>
      <c r="DP943" s="1"/>
      <c r="DQ943" s="1"/>
      <c r="DR943" s="1"/>
      <c r="DS943" s="1"/>
      <c r="DT943" s="1"/>
      <c r="DU943" s="1"/>
      <c r="DV943" s="1"/>
      <c r="DW943" s="1"/>
      <c r="DX943" s="1"/>
      <c r="DY943" s="1"/>
      <c r="DZ943" s="1"/>
      <c r="EA943" s="1"/>
      <c r="EB943" s="1"/>
      <c r="EC943" s="1"/>
      <c r="ED943" s="1"/>
      <c r="EE943" s="1"/>
      <c r="EF943" s="1"/>
      <c r="EG943" s="1"/>
      <c r="EH943" s="1"/>
      <c r="EI943" s="1"/>
      <c r="EJ943" s="1"/>
      <c r="EK943" s="1"/>
      <c r="EL943" s="1"/>
      <c r="EM943" s="1"/>
      <c r="EN943" s="1"/>
      <c r="EO943" s="1"/>
      <c r="EP943" s="1"/>
      <c r="EQ943" s="1"/>
      <c r="ER943" s="1"/>
      <c r="ES943" s="1"/>
      <c r="ET943" s="1"/>
      <c r="EU943" s="1"/>
      <c r="EV943" s="1"/>
      <c r="EW943" s="1"/>
      <c r="EX943" s="1"/>
      <c r="EY943" s="1"/>
      <c r="EZ943" s="1"/>
      <c r="FA943" s="1"/>
      <c r="FB943" s="1"/>
      <c r="FC943" s="1"/>
      <c r="FD943" s="1"/>
      <c r="FE943" s="1"/>
      <c r="FF943" s="1"/>
      <c r="FG943" s="1"/>
      <c r="FH943" s="1"/>
      <c r="FI943" s="1"/>
      <c r="FJ943" s="1"/>
      <c r="FK943" s="1"/>
      <c r="FL943" s="1"/>
      <c r="FM943" s="1"/>
      <c r="FN943" s="1"/>
      <c r="FO943" s="1"/>
      <c r="FP943" s="1"/>
      <c r="FQ943" s="1"/>
      <c r="FR943" s="2"/>
      <c r="FS943" s="1"/>
    </row>
    <row r="944" spans="1:175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R944" s="1"/>
      <c r="S944" s="1"/>
      <c r="T944" s="1"/>
      <c r="U944" s="1"/>
      <c r="V944" s="1"/>
      <c r="Y944" s="1"/>
      <c r="Z944" s="2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U944" s="1"/>
      <c r="AW944" s="1"/>
      <c r="AX944" s="1"/>
      <c r="AY944" s="1"/>
      <c r="AZ944" s="1"/>
      <c r="BA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  <c r="DB944" s="1"/>
      <c r="DC944" s="1"/>
      <c r="DD944" s="1"/>
      <c r="DE944" s="1"/>
      <c r="DF944" s="1"/>
      <c r="DG944" s="1"/>
      <c r="DH944" s="1"/>
      <c r="DI944" s="1"/>
      <c r="DJ944" s="1"/>
      <c r="DK944" s="1"/>
      <c r="DL944" s="1"/>
      <c r="DM944" s="1"/>
      <c r="DN944" s="1"/>
      <c r="DO944" s="1"/>
      <c r="DP944" s="1"/>
      <c r="DQ944" s="1"/>
      <c r="DR944" s="1"/>
      <c r="DS944" s="1"/>
      <c r="DT944" s="1"/>
      <c r="DU944" s="1"/>
      <c r="DV944" s="1"/>
      <c r="DW944" s="1"/>
      <c r="DX944" s="1"/>
      <c r="DY944" s="1"/>
      <c r="DZ944" s="1"/>
      <c r="EA944" s="1"/>
      <c r="EB944" s="1"/>
      <c r="EC944" s="1"/>
      <c r="ED944" s="1"/>
      <c r="EE944" s="1"/>
      <c r="EF944" s="1"/>
      <c r="EG944" s="1"/>
      <c r="EH944" s="1"/>
      <c r="EI944" s="1"/>
      <c r="EJ944" s="1"/>
      <c r="EK944" s="1"/>
      <c r="EL944" s="1"/>
      <c r="EM944" s="1"/>
      <c r="EN944" s="1"/>
      <c r="EO944" s="1"/>
      <c r="EP944" s="1"/>
      <c r="EQ944" s="1"/>
      <c r="ER944" s="1"/>
      <c r="ES944" s="1"/>
      <c r="ET944" s="1"/>
      <c r="EU944" s="1"/>
      <c r="EV944" s="1"/>
      <c r="EW944" s="1"/>
      <c r="EX944" s="1"/>
      <c r="EY944" s="1"/>
      <c r="EZ944" s="1"/>
      <c r="FA944" s="1"/>
      <c r="FB944" s="1"/>
      <c r="FC944" s="1"/>
      <c r="FD944" s="1"/>
      <c r="FE944" s="1"/>
      <c r="FF944" s="1"/>
      <c r="FG944" s="1"/>
      <c r="FH944" s="1"/>
      <c r="FI944" s="1"/>
      <c r="FJ944" s="1"/>
      <c r="FK944" s="1"/>
      <c r="FL944" s="1"/>
      <c r="FM944" s="1"/>
      <c r="FN944" s="1"/>
      <c r="FO944" s="1"/>
      <c r="FP944" s="1"/>
      <c r="FQ944" s="1"/>
      <c r="FR944" s="2"/>
      <c r="FS944" s="1"/>
    </row>
    <row r="945" spans="1:175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R945" s="1"/>
      <c r="S945" s="1"/>
      <c r="T945" s="1"/>
      <c r="U945" s="1"/>
      <c r="V945" s="1"/>
      <c r="Y945" s="1"/>
      <c r="Z945" s="2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U945" s="1"/>
      <c r="AW945" s="1"/>
      <c r="AX945" s="1"/>
      <c r="AY945" s="1"/>
      <c r="AZ945" s="1"/>
      <c r="BA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  <c r="DB945" s="1"/>
      <c r="DC945" s="1"/>
      <c r="DD945" s="1"/>
      <c r="DE945" s="1"/>
      <c r="DF945" s="1"/>
      <c r="DG945" s="1"/>
      <c r="DH945" s="1"/>
      <c r="DI945" s="1"/>
      <c r="DJ945" s="1"/>
      <c r="DK945" s="1"/>
      <c r="DL945" s="1"/>
      <c r="DM945" s="1"/>
      <c r="DN945" s="1"/>
      <c r="DO945" s="1"/>
      <c r="DP945" s="1"/>
      <c r="DQ945" s="1"/>
      <c r="DR945" s="1"/>
      <c r="DS945" s="1"/>
      <c r="DT945" s="1"/>
      <c r="DU945" s="1"/>
      <c r="DV945" s="1"/>
      <c r="DW945" s="1"/>
      <c r="DX945" s="1"/>
      <c r="DY945" s="1"/>
      <c r="DZ945" s="1"/>
      <c r="EA945" s="1"/>
      <c r="EB945" s="1"/>
      <c r="EC945" s="1"/>
      <c r="ED945" s="1"/>
      <c r="EE945" s="1"/>
      <c r="EF945" s="1"/>
      <c r="EG945" s="1"/>
      <c r="EH945" s="1"/>
      <c r="EI945" s="1"/>
      <c r="EJ945" s="1"/>
      <c r="EK945" s="1"/>
      <c r="EL945" s="1"/>
      <c r="EM945" s="1"/>
      <c r="EN945" s="1"/>
      <c r="EO945" s="1"/>
      <c r="EP945" s="1"/>
      <c r="EQ945" s="1"/>
      <c r="ER945" s="1"/>
      <c r="ES945" s="1"/>
      <c r="ET945" s="1"/>
      <c r="EU945" s="1"/>
      <c r="EV945" s="1"/>
      <c r="EW945" s="1"/>
      <c r="EX945" s="1"/>
      <c r="EY945" s="1"/>
      <c r="EZ945" s="1"/>
      <c r="FA945" s="1"/>
      <c r="FB945" s="1"/>
      <c r="FC945" s="1"/>
      <c r="FD945" s="1"/>
      <c r="FE945" s="1"/>
      <c r="FF945" s="1"/>
      <c r="FG945" s="1"/>
      <c r="FH945" s="1"/>
      <c r="FI945" s="1"/>
      <c r="FJ945" s="1"/>
      <c r="FK945" s="1"/>
      <c r="FL945" s="1"/>
      <c r="FM945" s="1"/>
      <c r="FN945" s="1"/>
      <c r="FO945" s="1"/>
      <c r="FP945" s="1"/>
      <c r="FQ945" s="1"/>
      <c r="FR945" s="2"/>
      <c r="FS945" s="1"/>
    </row>
    <row r="946" spans="1:175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R946" s="1"/>
      <c r="S946" s="1"/>
      <c r="T946" s="1"/>
      <c r="U946" s="1"/>
      <c r="V946" s="1"/>
      <c r="Y946" s="1"/>
      <c r="Z946" s="2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U946" s="1"/>
      <c r="AW946" s="1"/>
      <c r="AX946" s="1"/>
      <c r="AY946" s="1"/>
      <c r="AZ946" s="1"/>
      <c r="BA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  <c r="DB946" s="1"/>
      <c r="DC946" s="1"/>
      <c r="DD946" s="1"/>
      <c r="DE946" s="1"/>
      <c r="DF946" s="1"/>
      <c r="DG946" s="1"/>
      <c r="DH946" s="1"/>
      <c r="DI946" s="1"/>
      <c r="DJ946" s="1"/>
      <c r="DK946" s="1"/>
      <c r="DL946" s="1"/>
      <c r="DM946" s="1"/>
      <c r="DN946" s="1"/>
      <c r="DO946" s="1"/>
      <c r="DP946" s="1"/>
      <c r="DQ946" s="1"/>
      <c r="DR946" s="1"/>
      <c r="DS946" s="1"/>
      <c r="DT946" s="1"/>
      <c r="DU946" s="1"/>
      <c r="DV946" s="1"/>
      <c r="DW946" s="1"/>
      <c r="DX946" s="1"/>
      <c r="DY946" s="1"/>
      <c r="DZ946" s="1"/>
      <c r="EA946" s="1"/>
      <c r="EB946" s="1"/>
      <c r="EC946" s="1"/>
      <c r="ED946" s="1"/>
      <c r="EE946" s="1"/>
      <c r="EF946" s="1"/>
      <c r="EG946" s="1"/>
      <c r="EH946" s="1"/>
      <c r="EI946" s="1"/>
      <c r="EJ946" s="1"/>
      <c r="EK946" s="1"/>
      <c r="EL946" s="1"/>
      <c r="EM946" s="1"/>
      <c r="EN946" s="1"/>
      <c r="EO946" s="1"/>
      <c r="EP946" s="1"/>
      <c r="EQ946" s="1"/>
      <c r="ER946" s="1"/>
      <c r="ES946" s="1"/>
      <c r="ET946" s="1"/>
      <c r="EU946" s="1"/>
      <c r="EV946" s="1"/>
      <c r="EW946" s="1"/>
      <c r="EX946" s="1"/>
      <c r="EY946" s="1"/>
      <c r="EZ946" s="1"/>
      <c r="FA946" s="1"/>
      <c r="FB946" s="1"/>
      <c r="FC946" s="1"/>
      <c r="FD946" s="1"/>
      <c r="FE946" s="1"/>
      <c r="FF946" s="1"/>
      <c r="FG946" s="1"/>
      <c r="FH946" s="1"/>
      <c r="FI946" s="1"/>
      <c r="FJ946" s="1"/>
      <c r="FK946" s="1"/>
      <c r="FL946" s="1"/>
      <c r="FM946" s="1"/>
      <c r="FN946" s="1"/>
      <c r="FO946" s="1"/>
      <c r="FP946" s="1"/>
      <c r="FQ946" s="1"/>
      <c r="FR946" s="2"/>
      <c r="FS946" s="1"/>
    </row>
    <row r="947" spans="1:175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R947" s="1"/>
      <c r="S947" s="1"/>
      <c r="T947" s="1"/>
      <c r="U947" s="1"/>
      <c r="V947" s="1"/>
      <c r="Y947" s="1"/>
      <c r="Z947" s="2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U947" s="1"/>
      <c r="AW947" s="1"/>
      <c r="AX947" s="1"/>
      <c r="AY947" s="1"/>
      <c r="AZ947" s="1"/>
      <c r="BA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/>
      <c r="CZ947" s="1"/>
      <c r="DA947" s="1"/>
      <c r="DB947" s="1"/>
      <c r="DC947" s="1"/>
      <c r="DD947" s="1"/>
      <c r="DE947" s="1"/>
      <c r="DF947" s="1"/>
      <c r="DG947" s="1"/>
      <c r="DH947" s="1"/>
      <c r="DI947" s="1"/>
      <c r="DJ947" s="1"/>
      <c r="DK947" s="1"/>
      <c r="DL947" s="1"/>
      <c r="DM947" s="1"/>
      <c r="DN947" s="1"/>
      <c r="DO947" s="1"/>
      <c r="DP947" s="1"/>
      <c r="DQ947" s="1"/>
      <c r="DR947" s="1"/>
      <c r="DS947" s="1"/>
      <c r="DT947" s="1"/>
      <c r="DU947" s="1"/>
      <c r="DV947" s="1"/>
      <c r="DW947" s="1"/>
      <c r="DX947" s="1"/>
      <c r="DY947" s="1"/>
      <c r="DZ947" s="1"/>
      <c r="EA947" s="1"/>
      <c r="EB947" s="1"/>
      <c r="EC947" s="1"/>
      <c r="ED947" s="1"/>
      <c r="EE947" s="1"/>
      <c r="EF947" s="1"/>
      <c r="EG947" s="1"/>
      <c r="EH947" s="1"/>
      <c r="EI947" s="1"/>
      <c r="EJ947" s="1"/>
      <c r="EK947" s="1"/>
      <c r="EL947" s="1"/>
      <c r="EM947" s="1"/>
      <c r="EN947" s="1"/>
      <c r="EO947" s="1"/>
      <c r="EP947" s="1"/>
      <c r="EQ947" s="1"/>
      <c r="ER947" s="1"/>
      <c r="ES947" s="1"/>
      <c r="ET947" s="1"/>
      <c r="EU947" s="1"/>
      <c r="EV947" s="1"/>
      <c r="EW947" s="1"/>
      <c r="EX947" s="1"/>
      <c r="EY947" s="1"/>
      <c r="EZ947" s="1"/>
      <c r="FA947" s="1"/>
      <c r="FB947" s="1"/>
      <c r="FC947" s="1"/>
      <c r="FD947" s="1"/>
      <c r="FE947" s="1"/>
      <c r="FF947" s="1"/>
      <c r="FG947" s="1"/>
      <c r="FH947" s="1"/>
      <c r="FI947" s="1"/>
      <c r="FJ947" s="1"/>
      <c r="FK947" s="1"/>
      <c r="FL947" s="1"/>
      <c r="FM947" s="1"/>
      <c r="FN947" s="1"/>
      <c r="FO947" s="1"/>
      <c r="FP947" s="1"/>
      <c r="FQ947" s="1"/>
      <c r="FR947" s="2"/>
      <c r="FS947" s="1"/>
    </row>
    <row r="948" spans="1:175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R948" s="1"/>
      <c r="S948" s="1"/>
      <c r="T948" s="1"/>
      <c r="U948" s="1"/>
      <c r="V948" s="1"/>
      <c r="Y948" s="1"/>
      <c r="Z948" s="2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U948" s="1"/>
      <c r="AW948" s="1"/>
      <c r="AX948" s="1"/>
      <c r="AY948" s="1"/>
      <c r="AZ948" s="1"/>
      <c r="BA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  <c r="CP948" s="1"/>
      <c r="CQ948" s="1"/>
      <c r="CR948" s="1"/>
      <c r="CS948" s="1"/>
      <c r="CT948" s="1"/>
      <c r="CU948" s="1"/>
      <c r="CV948" s="1"/>
      <c r="CW948" s="1"/>
      <c r="CX948" s="1"/>
      <c r="CY948" s="1"/>
      <c r="CZ948" s="1"/>
      <c r="DA948" s="1"/>
      <c r="DB948" s="1"/>
      <c r="DC948" s="1"/>
      <c r="DD948" s="1"/>
      <c r="DE948" s="1"/>
      <c r="DF948" s="1"/>
      <c r="DG948" s="1"/>
      <c r="DH948" s="1"/>
      <c r="DI948" s="1"/>
      <c r="DJ948" s="1"/>
      <c r="DK948" s="1"/>
      <c r="DL948" s="1"/>
      <c r="DM948" s="1"/>
      <c r="DN948" s="1"/>
      <c r="DO948" s="1"/>
      <c r="DP948" s="1"/>
      <c r="DQ948" s="1"/>
      <c r="DR948" s="1"/>
      <c r="DS948" s="1"/>
      <c r="DT948" s="1"/>
      <c r="DU948" s="1"/>
      <c r="DV948" s="1"/>
      <c r="DW948" s="1"/>
      <c r="DX948" s="1"/>
      <c r="DY948" s="1"/>
      <c r="DZ948" s="1"/>
      <c r="EA948" s="1"/>
      <c r="EB948" s="1"/>
      <c r="EC948" s="1"/>
      <c r="ED948" s="1"/>
      <c r="EE948" s="1"/>
      <c r="EF948" s="1"/>
      <c r="EG948" s="1"/>
      <c r="EH948" s="1"/>
      <c r="EI948" s="1"/>
      <c r="EJ948" s="1"/>
      <c r="EK948" s="1"/>
      <c r="EL948" s="1"/>
      <c r="EM948" s="1"/>
      <c r="EN948" s="1"/>
      <c r="EO948" s="1"/>
      <c r="EP948" s="1"/>
      <c r="EQ948" s="1"/>
      <c r="ER948" s="1"/>
      <c r="ES948" s="1"/>
      <c r="ET948" s="1"/>
      <c r="EU948" s="1"/>
      <c r="EV948" s="1"/>
      <c r="EW948" s="1"/>
      <c r="EX948" s="1"/>
      <c r="EY948" s="1"/>
      <c r="EZ948" s="1"/>
      <c r="FA948" s="1"/>
      <c r="FB948" s="1"/>
      <c r="FC948" s="1"/>
      <c r="FD948" s="1"/>
      <c r="FE948" s="1"/>
      <c r="FF948" s="1"/>
      <c r="FG948" s="1"/>
      <c r="FH948" s="1"/>
      <c r="FI948" s="1"/>
      <c r="FJ948" s="1"/>
      <c r="FK948" s="1"/>
      <c r="FL948" s="1"/>
      <c r="FM948" s="1"/>
      <c r="FN948" s="1"/>
      <c r="FO948" s="1"/>
      <c r="FP948" s="1"/>
      <c r="FQ948" s="1"/>
      <c r="FR948" s="2"/>
      <c r="FS948" s="1"/>
    </row>
    <row r="949" spans="1:175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R949" s="1"/>
      <c r="S949" s="1"/>
      <c r="T949" s="1"/>
      <c r="U949" s="1"/>
      <c r="V949" s="1"/>
      <c r="Y949" s="1"/>
      <c r="Z949" s="2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U949" s="1"/>
      <c r="AW949" s="1"/>
      <c r="AX949" s="1"/>
      <c r="AY949" s="1"/>
      <c r="AZ949" s="1"/>
      <c r="BA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  <c r="CO949" s="1"/>
      <c r="CP949" s="1"/>
      <c r="CQ949" s="1"/>
      <c r="CR949" s="1"/>
      <c r="CS949" s="1"/>
      <c r="CT949" s="1"/>
      <c r="CU949" s="1"/>
      <c r="CV949" s="1"/>
      <c r="CW949" s="1"/>
      <c r="CX949" s="1"/>
      <c r="CY949" s="1"/>
      <c r="CZ949" s="1"/>
      <c r="DA949" s="1"/>
      <c r="DB949" s="1"/>
      <c r="DC949" s="1"/>
      <c r="DD949" s="1"/>
      <c r="DE949" s="1"/>
      <c r="DF949" s="1"/>
      <c r="DG949" s="1"/>
      <c r="DH949" s="1"/>
      <c r="DI949" s="1"/>
      <c r="DJ949" s="1"/>
      <c r="DK949" s="1"/>
      <c r="DL949" s="1"/>
      <c r="DM949" s="1"/>
      <c r="DN949" s="1"/>
      <c r="DO949" s="1"/>
      <c r="DP949" s="1"/>
      <c r="DQ949" s="1"/>
      <c r="DR949" s="1"/>
      <c r="DS949" s="1"/>
      <c r="DT949" s="1"/>
      <c r="DU949" s="1"/>
      <c r="DV949" s="1"/>
      <c r="DW949" s="1"/>
      <c r="DX949" s="1"/>
      <c r="DY949" s="1"/>
      <c r="DZ949" s="1"/>
      <c r="EA949" s="1"/>
      <c r="EB949" s="1"/>
      <c r="EC949" s="1"/>
      <c r="ED949" s="1"/>
      <c r="EE949" s="1"/>
      <c r="EF949" s="1"/>
      <c r="EG949" s="1"/>
      <c r="EH949" s="1"/>
      <c r="EI949" s="1"/>
      <c r="EJ949" s="1"/>
      <c r="EK949" s="1"/>
      <c r="EL949" s="1"/>
      <c r="EM949" s="1"/>
      <c r="EN949" s="1"/>
      <c r="EO949" s="1"/>
      <c r="EP949" s="1"/>
      <c r="EQ949" s="1"/>
      <c r="ER949" s="1"/>
      <c r="ES949" s="1"/>
      <c r="ET949" s="1"/>
      <c r="EU949" s="1"/>
      <c r="EV949" s="1"/>
      <c r="EW949" s="1"/>
      <c r="EX949" s="1"/>
      <c r="EY949" s="1"/>
      <c r="EZ949" s="1"/>
      <c r="FA949" s="1"/>
      <c r="FB949" s="1"/>
      <c r="FC949" s="1"/>
      <c r="FD949" s="1"/>
      <c r="FE949" s="1"/>
      <c r="FF949" s="1"/>
      <c r="FG949" s="1"/>
      <c r="FH949" s="1"/>
      <c r="FI949" s="1"/>
      <c r="FJ949" s="1"/>
      <c r="FK949" s="1"/>
      <c r="FL949" s="1"/>
      <c r="FM949" s="1"/>
      <c r="FN949" s="1"/>
      <c r="FO949" s="1"/>
      <c r="FP949" s="1"/>
      <c r="FQ949" s="1"/>
      <c r="FR949" s="2"/>
      <c r="FS949" s="1"/>
    </row>
    <row r="950" spans="1:175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R950" s="1"/>
      <c r="S950" s="1"/>
      <c r="T950" s="1"/>
      <c r="U950" s="1"/>
      <c r="V950" s="1"/>
      <c r="Y950" s="1"/>
      <c r="Z950" s="2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U950" s="1"/>
      <c r="AW950" s="1"/>
      <c r="AX950" s="1"/>
      <c r="AY950" s="1"/>
      <c r="AZ950" s="1"/>
      <c r="BA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  <c r="CM950" s="1"/>
      <c r="CN950" s="1"/>
      <c r="CO950" s="1"/>
      <c r="CP950" s="1"/>
      <c r="CQ950" s="1"/>
      <c r="CR950" s="1"/>
      <c r="CS950" s="1"/>
      <c r="CT950" s="1"/>
      <c r="CU950" s="1"/>
      <c r="CV950" s="1"/>
      <c r="CW950" s="1"/>
      <c r="CX950" s="1"/>
      <c r="CY950" s="1"/>
      <c r="CZ950" s="1"/>
      <c r="DA950" s="1"/>
      <c r="DB950" s="1"/>
      <c r="DC950" s="1"/>
      <c r="DD950" s="1"/>
      <c r="DE950" s="1"/>
      <c r="DF950" s="1"/>
      <c r="DG950" s="1"/>
      <c r="DH950" s="1"/>
      <c r="DI950" s="1"/>
      <c r="DJ950" s="1"/>
      <c r="DK950" s="1"/>
      <c r="DL950" s="1"/>
      <c r="DM950" s="1"/>
      <c r="DN950" s="1"/>
      <c r="DO950" s="1"/>
      <c r="DP950" s="1"/>
      <c r="DQ950" s="1"/>
      <c r="DR950" s="1"/>
      <c r="DS950" s="1"/>
      <c r="DT950" s="1"/>
      <c r="DU950" s="1"/>
      <c r="DV950" s="1"/>
      <c r="DW950" s="1"/>
      <c r="DX950" s="1"/>
      <c r="DY950" s="1"/>
      <c r="DZ950" s="1"/>
      <c r="EA950" s="1"/>
      <c r="EB950" s="1"/>
      <c r="EC950" s="1"/>
      <c r="ED950" s="1"/>
      <c r="EE950" s="1"/>
      <c r="EF950" s="1"/>
      <c r="EG950" s="1"/>
      <c r="EH950" s="1"/>
      <c r="EI950" s="1"/>
      <c r="EJ950" s="1"/>
      <c r="EK950" s="1"/>
      <c r="EL950" s="1"/>
      <c r="EM950" s="1"/>
      <c r="EN950" s="1"/>
      <c r="EO950" s="1"/>
      <c r="EP950" s="1"/>
      <c r="EQ950" s="1"/>
      <c r="ER950" s="1"/>
      <c r="ES950" s="1"/>
      <c r="ET950" s="1"/>
      <c r="EU950" s="1"/>
      <c r="EV950" s="1"/>
      <c r="EW950" s="1"/>
      <c r="EX950" s="1"/>
      <c r="EY950" s="1"/>
      <c r="EZ950" s="1"/>
      <c r="FA950" s="1"/>
      <c r="FB950" s="1"/>
      <c r="FC950" s="1"/>
      <c r="FD950" s="1"/>
      <c r="FE950" s="1"/>
      <c r="FF950" s="1"/>
      <c r="FG950" s="1"/>
      <c r="FH950" s="1"/>
      <c r="FI950" s="1"/>
      <c r="FJ950" s="1"/>
      <c r="FK950" s="1"/>
      <c r="FL950" s="1"/>
      <c r="FM950" s="1"/>
      <c r="FN950" s="1"/>
      <c r="FO950" s="1"/>
      <c r="FP950" s="1"/>
      <c r="FQ950" s="1"/>
      <c r="FR950" s="2"/>
      <c r="FS950" s="1"/>
    </row>
    <row r="951" spans="1:175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R951" s="1"/>
      <c r="S951" s="1"/>
      <c r="T951" s="1"/>
      <c r="U951" s="1"/>
      <c r="V951" s="1"/>
      <c r="Y951" s="1"/>
      <c r="Z951" s="2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U951" s="1"/>
      <c r="AW951" s="1"/>
      <c r="AX951" s="1"/>
      <c r="AY951" s="1"/>
      <c r="AZ951" s="1"/>
      <c r="BA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  <c r="CP951" s="1"/>
      <c r="CQ951" s="1"/>
      <c r="CR951" s="1"/>
      <c r="CS951" s="1"/>
      <c r="CT951" s="1"/>
      <c r="CU951" s="1"/>
      <c r="CV951" s="1"/>
      <c r="CW951" s="1"/>
      <c r="CX951" s="1"/>
      <c r="CY951" s="1"/>
      <c r="CZ951" s="1"/>
      <c r="DA951" s="1"/>
      <c r="DB951" s="1"/>
      <c r="DC951" s="1"/>
      <c r="DD951" s="1"/>
      <c r="DE951" s="1"/>
      <c r="DF951" s="1"/>
      <c r="DG951" s="1"/>
      <c r="DH951" s="1"/>
      <c r="DI951" s="1"/>
      <c r="DJ951" s="1"/>
      <c r="DK951" s="1"/>
      <c r="DL951" s="1"/>
      <c r="DM951" s="1"/>
      <c r="DN951" s="1"/>
      <c r="DO951" s="1"/>
      <c r="DP951" s="1"/>
      <c r="DQ951" s="1"/>
      <c r="DR951" s="1"/>
      <c r="DS951" s="1"/>
      <c r="DT951" s="1"/>
      <c r="DU951" s="1"/>
      <c r="DV951" s="1"/>
      <c r="DW951" s="1"/>
      <c r="DX951" s="1"/>
      <c r="DY951" s="1"/>
      <c r="DZ951" s="1"/>
      <c r="EA951" s="1"/>
      <c r="EB951" s="1"/>
      <c r="EC951" s="1"/>
      <c r="ED951" s="1"/>
      <c r="EE951" s="1"/>
      <c r="EF951" s="1"/>
      <c r="EG951" s="1"/>
      <c r="EH951" s="1"/>
      <c r="EI951" s="1"/>
      <c r="EJ951" s="1"/>
      <c r="EK951" s="1"/>
      <c r="EL951" s="1"/>
      <c r="EM951" s="1"/>
      <c r="EN951" s="1"/>
      <c r="EO951" s="1"/>
      <c r="EP951" s="1"/>
      <c r="EQ951" s="1"/>
      <c r="ER951" s="1"/>
      <c r="ES951" s="1"/>
      <c r="ET951" s="1"/>
      <c r="EU951" s="1"/>
      <c r="EV951" s="1"/>
      <c r="EW951" s="1"/>
      <c r="EX951" s="1"/>
      <c r="EY951" s="1"/>
      <c r="EZ951" s="1"/>
      <c r="FA951" s="1"/>
      <c r="FB951" s="1"/>
      <c r="FC951" s="1"/>
      <c r="FD951" s="1"/>
      <c r="FE951" s="1"/>
      <c r="FF951" s="1"/>
      <c r="FG951" s="1"/>
      <c r="FH951" s="1"/>
      <c r="FI951" s="1"/>
      <c r="FJ951" s="1"/>
      <c r="FK951" s="1"/>
      <c r="FL951" s="1"/>
      <c r="FM951" s="1"/>
      <c r="FN951" s="1"/>
      <c r="FO951" s="1"/>
      <c r="FP951" s="1"/>
      <c r="FQ951" s="1"/>
      <c r="FR951" s="2"/>
      <c r="FS951" s="1"/>
    </row>
    <row r="952" spans="1:175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R952" s="1"/>
      <c r="S952" s="1"/>
      <c r="T952" s="1"/>
      <c r="U952" s="1"/>
      <c r="V952" s="1"/>
      <c r="Y952" s="1"/>
      <c r="Z952" s="2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U952" s="1"/>
      <c r="AW952" s="1"/>
      <c r="AX952" s="1"/>
      <c r="AY952" s="1"/>
      <c r="AZ952" s="1"/>
      <c r="BA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  <c r="CO952" s="1"/>
      <c r="CP952" s="1"/>
      <c r="CQ952" s="1"/>
      <c r="CR952" s="1"/>
      <c r="CS952" s="1"/>
      <c r="CT952" s="1"/>
      <c r="CU952" s="1"/>
      <c r="CV952" s="1"/>
      <c r="CW952" s="1"/>
      <c r="CX952" s="1"/>
      <c r="CY952" s="1"/>
      <c r="CZ952" s="1"/>
      <c r="DA952" s="1"/>
      <c r="DB952" s="1"/>
      <c r="DC952" s="1"/>
      <c r="DD952" s="1"/>
      <c r="DE952" s="1"/>
      <c r="DF952" s="1"/>
      <c r="DG952" s="1"/>
      <c r="DH952" s="1"/>
      <c r="DI952" s="1"/>
      <c r="DJ952" s="1"/>
      <c r="DK952" s="1"/>
      <c r="DL952" s="1"/>
      <c r="DM952" s="1"/>
      <c r="DN952" s="1"/>
      <c r="DO952" s="1"/>
      <c r="DP952" s="1"/>
      <c r="DQ952" s="1"/>
      <c r="DR952" s="1"/>
      <c r="DS952" s="1"/>
      <c r="DT952" s="1"/>
      <c r="DU952" s="1"/>
      <c r="DV952" s="1"/>
      <c r="DW952" s="1"/>
      <c r="DX952" s="1"/>
      <c r="DY952" s="1"/>
      <c r="DZ952" s="1"/>
      <c r="EA952" s="1"/>
      <c r="EB952" s="1"/>
      <c r="EC952" s="1"/>
      <c r="ED952" s="1"/>
      <c r="EE952" s="1"/>
      <c r="EF952" s="1"/>
      <c r="EG952" s="1"/>
      <c r="EH952" s="1"/>
      <c r="EI952" s="1"/>
      <c r="EJ952" s="1"/>
      <c r="EK952" s="1"/>
      <c r="EL952" s="1"/>
      <c r="EM952" s="1"/>
      <c r="EN952" s="1"/>
      <c r="EO952" s="1"/>
      <c r="EP952" s="1"/>
      <c r="EQ952" s="1"/>
      <c r="ER952" s="1"/>
      <c r="ES952" s="1"/>
      <c r="ET952" s="1"/>
      <c r="EU952" s="1"/>
      <c r="EV952" s="1"/>
      <c r="EW952" s="1"/>
      <c r="EX952" s="1"/>
      <c r="EY952" s="1"/>
      <c r="EZ952" s="1"/>
      <c r="FA952" s="1"/>
      <c r="FB952" s="1"/>
      <c r="FC952" s="1"/>
      <c r="FD952" s="1"/>
      <c r="FE952" s="1"/>
      <c r="FF952" s="1"/>
      <c r="FG952" s="1"/>
      <c r="FH952" s="1"/>
      <c r="FI952" s="1"/>
      <c r="FJ952" s="1"/>
      <c r="FK952" s="1"/>
      <c r="FL952" s="1"/>
      <c r="FM952" s="1"/>
      <c r="FN952" s="1"/>
      <c r="FO952" s="1"/>
      <c r="FP952" s="1"/>
      <c r="FQ952" s="1"/>
      <c r="FR952" s="2"/>
      <c r="FS952" s="1"/>
    </row>
    <row r="953" spans="1:175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R953" s="1"/>
      <c r="S953" s="1"/>
      <c r="T953" s="1"/>
      <c r="U953" s="1"/>
      <c r="V953" s="1"/>
      <c r="Y953" s="1"/>
      <c r="Z953" s="2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U953" s="1"/>
      <c r="AW953" s="1"/>
      <c r="AX953" s="1"/>
      <c r="AY953" s="1"/>
      <c r="AZ953" s="1"/>
      <c r="BA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  <c r="CO953" s="1"/>
      <c r="CP953" s="1"/>
      <c r="CQ953" s="1"/>
      <c r="CR953" s="1"/>
      <c r="CS953" s="1"/>
      <c r="CT953" s="1"/>
      <c r="CU953" s="1"/>
      <c r="CV953" s="1"/>
      <c r="CW953" s="1"/>
      <c r="CX953" s="1"/>
      <c r="CY953" s="1"/>
      <c r="CZ953" s="1"/>
      <c r="DA953" s="1"/>
      <c r="DB953" s="1"/>
      <c r="DC953" s="1"/>
      <c r="DD953" s="1"/>
      <c r="DE953" s="1"/>
      <c r="DF953" s="1"/>
      <c r="DG953" s="1"/>
      <c r="DH953" s="1"/>
      <c r="DI953" s="1"/>
      <c r="DJ953" s="1"/>
      <c r="DK953" s="1"/>
      <c r="DL953" s="1"/>
      <c r="DM953" s="1"/>
      <c r="DN953" s="1"/>
      <c r="DO953" s="1"/>
      <c r="DP953" s="1"/>
      <c r="DQ953" s="1"/>
      <c r="DR953" s="1"/>
      <c r="DS953" s="1"/>
      <c r="DT953" s="1"/>
      <c r="DU953" s="1"/>
      <c r="DV953" s="1"/>
      <c r="DW953" s="1"/>
      <c r="DX953" s="1"/>
      <c r="DY953" s="1"/>
      <c r="DZ953" s="1"/>
      <c r="EA953" s="1"/>
      <c r="EB953" s="1"/>
      <c r="EC953" s="1"/>
      <c r="ED953" s="1"/>
      <c r="EE953" s="1"/>
      <c r="EF953" s="1"/>
      <c r="EG953" s="1"/>
      <c r="EH953" s="1"/>
      <c r="EI953" s="1"/>
      <c r="EJ953" s="1"/>
      <c r="EK953" s="1"/>
      <c r="EL953" s="1"/>
      <c r="EM953" s="1"/>
      <c r="EN953" s="1"/>
      <c r="EO953" s="1"/>
      <c r="EP953" s="1"/>
      <c r="EQ953" s="1"/>
      <c r="ER953" s="1"/>
      <c r="ES953" s="1"/>
      <c r="ET953" s="1"/>
      <c r="EU953" s="1"/>
      <c r="EV953" s="1"/>
      <c r="EW953" s="1"/>
      <c r="EX953" s="1"/>
      <c r="EY953" s="1"/>
      <c r="EZ953" s="1"/>
      <c r="FA953" s="1"/>
      <c r="FB953" s="1"/>
      <c r="FC953" s="1"/>
      <c r="FD953" s="1"/>
      <c r="FE953" s="1"/>
      <c r="FF953" s="1"/>
      <c r="FG953" s="1"/>
      <c r="FH953" s="1"/>
      <c r="FI953" s="1"/>
      <c r="FJ953" s="1"/>
      <c r="FK953" s="1"/>
      <c r="FL953" s="1"/>
      <c r="FM953" s="1"/>
      <c r="FN953" s="1"/>
      <c r="FO953" s="1"/>
      <c r="FP953" s="1"/>
      <c r="FQ953" s="1"/>
      <c r="FR953" s="2"/>
      <c r="FS953" s="1"/>
    </row>
    <row r="954" spans="1:175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R954" s="1"/>
      <c r="S954" s="1"/>
      <c r="T954" s="1"/>
      <c r="U954" s="1"/>
      <c r="V954" s="1"/>
      <c r="Y954" s="1"/>
      <c r="Z954" s="2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U954" s="1"/>
      <c r="AW954" s="1"/>
      <c r="AX954" s="1"/>
      <c r="AY954" s="1"/>
      <c r="AZ954" s="1"/>
      <c r="BA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  <c r="CO954" s="1"/>
      <c r="CP954" s="1"/>
      <c r="CQ954" s="1"/>
      <c r="CR954" s="1"/>
      <c r="CS954" s="1"/>
      <c r="CT954" s="1"/>
      <c r="CU954" s="1"/>
      <c r="CV954" s="1"/>
      <c r="CW954" s="1"/>
      <c r="CX954" s="1"/>
      <c r="CY954" s="1"/>
      <c r="CZ954" s="1"/>
      <c r="DA954" s="1"/>
      <c r="DB954" s="1"/>
      <c r="DC954" s="1"/>
      <c r="DD954" s="1"/>
      <c r="DE954" s="1"/>
      <c r="DF954" s="1"/>
      <c r="DG954" s="1"/>
      <c r="DH954" s="1"/>
      <c r="DI954" s="1"/>
      <c r="DJ954" s="1"/>
      <c r="DK954" s="1"/>
      <c r="DL954" s="1"/>
      <c r="DM954" s="1"/>
      <c r="DN954" s="1"/>
      <c r="DO954" s="1"/>
      <c r="DP954" s="1"/>
      <c r="DQ954" s="1"/>
      <c r="DR954" s="1"/>
      <c r="DS954" s="1"/>
      <c r="DT954" s="1"/>
      <c r="DU954" s="1"/>
      <c r="DV954" s="1"/>
      <c r="DW954" s="1"/>
      <c r="DX954" s="1"/>
      <c r="DY954" s="1"/>
      <c r="DZ954" s="1"/>
      <c r="EA954" s="1"/>
      <c r="EB954" s="1"/>
      <c r="EC954" s="1"/>
      <c r="ED954" s="1"/>
      <c r="EE954" s="1"/>
      <c r="EF954" s="1"/>
      <c r="EG954" s="1"/>
      <c r="EH954" s="1"/>
      <c r="EI954" s="1"/>
      <c r="EJ954" s="1"/>
      <c r="EK954" s="1"/>
      <c r="EL954" s="1"/>
      <c r="EM954" s="1"/>
      <c r="EN954" s="1"/>
      <c r="EO954" s="1"/>
      <c r="EP954" s="1"/>
      <c r="EQ954" s="1"/>
      <c r="ER954" s="1"/>
      <c r="ES954" s="1"/>
      <c r="ET954" s="1"/>
      <c r="EU954" s="1"/>
      <c r="EV954" s="1"/>
      <c r="EW954" s="1"/>
      <c r="EX954" s="1"/>
      <c r="EY954" s="1"/>
      <c r="EZ954" s="1"/>
      <c r="FA954" s="1"/>
      <c r="FB954" s="1"/>
      <c r="FC954" s="1"/>
      <c r="FD954" s="1"/>
      <c r="FE954" s="1"/>
      <c r="FF954" s="1"/>
      <c r="FG954" s="1"/>
      <c r="FH954" s="1"/>
      <c r="FI954" s="1"/>
      <c r="FJ954" s="1"/>
      <c r="FK954" s="1"/>
      <c r="FL954" s="1"/>
      <c r="FM954" s="1"/>
      <c r="FN954" s="1"/>
      <c r="FO954" s="1"/>
      <c r="FP954" s="1"/>
      <c r="FQ954" s="1"/>
      <c r="FR954" s="2"/>
      <c r="FS954" s="1"/>
    </row>
    <row r="955" spans="1:175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R955" s="1"/>
      <c r="S955" s="1"/>
      <c r="T955" s="1"/>
      <c r="U955" s="1"/>
      <c r="V955" s="1"/>
      <c r="Y955" s="1"/>
      <c r="Z955" s="2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U955" s="1"/>
      <c r="AW955" s="1"/>
      <c r="AX955" s="1"/>
      <c r="AY955" s="1"/>
      <c r="AZ955" s="1"/>
      <c r="BA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  <c r="CN955" s="1"/>
      <c r="CO955" s="1"/>
      <c r="CP955" s="1"/>
      <c r="CQ955" s="1"/>
      <c r="CR955" s="1"/>
      <c r="CS955" s="1"/>
      <c r="CT955" s="1"/>
      <c r="CU955" s="1"/>
      <c r="CV955" s="1"/>
      <c r="CW955" s="1"/>
      <c r="CX955" s="1"/>
      <c r="CY955" s="1"/>
      <c r="CZ955" s="1"/>
      <c r="DA955" s="1"/>
      <c r="DB955" s="1"/>
      <c r="DC955" s="1"/>
      <c r="DD955" s="1"/>
      <c r="DE955" s="1"/>
      <c r="DF955" s="1"/>
      <c r="DG955" s="1"/>
      <c r="DH955" s="1"/>
      <c r="DI955" s="1"/>
      <c r="DJ955" s="1"/>
      <c r="DK955" s="1"/>
      <c r="DL955" s="1"/>
      <c r="DM955" s="1"/>
      <c r="DN955" s="1"/>
      <c r="DO955" s="1"/>
      <c r="DP955" s="1"/>
      <c r="DQ955" s="1"/>
      <c r="DR955" s="1"/>
      <c r="DS955" s="1"/>
      <c r="DT955" s="1"/>
      <c r="DU955" s="1"/>
      <c r="DV955" s="1"/>
      <c r="DW955" s="1"/>
      <c r="DX955" s="1"/>
      <c r="DY955" s="1"/>
      <c r="DZ955" s="1"/>
      <c r="EA955" s="1"/>
      <c r="EB955" s="1"/>
      <c r="EC955" s="1"/>
      <c r="ED955" s="1"/>
      <c r="EE955" s="1"/>
      <c r="EF955" s="1"/>
      <c r="EG955" s="1"/>
      <c r="EH955" s="1"/>
      <c r="EI955" s="1"/>
      <c r="EJ955" s="1"/>
      <c r="EK955" s="1"/>
      <c r="EL955" s="1"/>
      <c r="EM955" s="1"/>
      <c r="EN955" s="1"/>
      <c r="EO955" s="1"/>
      <c r="EP955" s="1"/>
      <c r="EQ955" s="1"/>
      <c r="ER955" s="1"/>
      <c r="ES955" s="1"/>
      <c r="ET955" s="1"/>
      <c r="EU955" s="1"/>
      <c r="EV955" s="1"/>
      <c r="EW955" s="1"/>
      <c r="EX955" s="1"/>
      <c r="EY955" s="1"/>
      <c r="EZ955" s="1"/>
      <c r="FA955" s="1"/>
      <c r="FB955" s="1"/>
      <c r="FC955" s="1"/>
      <c r="FD955" s="1"/>
      <c r="FE955" s="1"/>
      <c r="FF955" s="1"/>
      <c r="FG955" s="1"/>
      <c r="FH955" s="1"/>
      <c r="FI955" s="1"/>
      <c r="FJ955" s="1"/>
      <c r="FK955" s="1"/>
      <c r="FL955" s="1"/>
      <c r="FM955" s="1"/>
      <c r="FN955" s="1"/>
      <c r="FO955" s="1"/>
      <c r="FP955" s="1"/>
      <c r="FQ955" s="1"/>
      <c r="FR955" s="2"/>
      <c r="FS955" s="1"/>
    </row>
    <row r="956" spans="1:175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R956" s="1"/>
      <c r="S956" s="1"/>
      <c r="T956" s="1"/>
      <c r="U956" s="1"/>
      <c r="V956" s="1"/>
      <c r="Y956" s="1"/>
      <c r="Z956" s="2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U956" s="1"/>
      <c r="AW956" s="1"/>
      <c r="AX956" s="1"/>
      <c r="AY956" s="1"/>
      <c r="AZ956" s="1"/>
      <c r="BA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  <c r="CO956" s="1"/>
      <c r="CP956" s="1"/>
      <c r="CQ956" s="1"/>
      <c r="CR956" s="1"/>
      <c r="CS956" s="1"/>
      <c r="CT956" s="1"/>
      <c r="CU956" s="1"/>
      <c r="CV956" s="1"/>
      <c r="CW956" s="1"/>
      <c r="CX956" s="1"/>
      <c r="CY956" s="1"/>
      <c r="CZ956" s="1"/>
      <c r="DA956" s="1"/>
      <c r="DB956" s="1"/>
      <c r="DC956" s="1"/>
      <c r="DD956" s="1"/>
      <c r="DE956" s="1"/>
      <c r="DF956" s="1"/>
      <c r="DG956" s="1"/>
      <c r="DH956" s="1"/>
      <c r="DI956" s="1"/>
      <c r="DJ956" s="1"/>
      <c r="DK956" s="1"/>
      <c r="DL956" s="1"/>
      <c r="DM956" s="1"/>
      <c r="DN956" s="1"/>
      <c r="DO956" s="1"/>
      <c r="DP956" s="1"/>
      <c r="DQ956" s="1"/>
      <c r="DR956" s="1"/>
      <c r="DS956" s="1"/>
      <c r="DT956" s="1"/>
      <c r="DU956" s="1"/>
      <c r="DV956" s="1"/>
      <c r="DW956" s="1"/>
      <c r="DX956" s="1"/>
      <c r="DY956" s="1"/>
      <c r="DZ956" s="1"/>
      <c r="EA956" s="1"/>
      <c r="EB956" s="1"/>
      <c r="EC956" s="1"/>
      <c r="ED956" s="1"/>
      <c r="EE956" s="1"/>
      <c r="EF956" s="1"/>
      <c r="EG956" s="1"/>
      <c r="EH956" s="1"/>
      <c r="EI956" s="1"/>
      <c r="EJ956" s="1"/>
      <c r="EK956" s="1"/>
      <c r="EL956" s="1"/>
      <c r="EM956" s="1"/>
      <c r="EN956" s="1"/>
      <c r="EO956" s="1"/>
      <c r="EP956" s="1"/>
      <c r="EQ956" s="1"/>
      <c r="ER956" s="1"/>
      <c r="ES956" s="1"/>
      <c r="ET956" s="1"/>
      <c r="EU956" s="1"/>
      <c r="EV956" s="1"/>
      <c r="EW956" s="1"/>
      <c r="EX956" s="1"/>
      <c r="EY956" s="1"/>
      <c r="EZ956" s="1"/>
      <c r="FA956" s="1"/>
      <c r="FB956" s="1"/>
      <c r="FC956" s="1"/>
      <c r="FD956" s="1"/>
      <c r="FE956" s="1"/>
      <c r="FF956" s="1"/>
      <c r="FG956" s="1"/>
      <c r="FH956" s="1"/>
      <c r="FI956" s="1"/>
      <c r="FJ956" s="1"/>
      <c r="FK956" s="1"/>
      <c r="FL956" s="1"/>
      <c r="FM956" s="1"/>
      <c r="FN956" s="1"/>
      <c r="FO956" s="1"/>
      <c r="FP956" s="1"/>
      <c r="FQ956" s="1"/>
      <c r="FR956" s="2"/>
      <c r="FS956" s="1"/>
    </row>
    <row r="957" spans="1:175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R957" s="1"/>
      <c r="S957" s="1"/>
      <c r="T957" s="1"/>
      <c r="U957" s="1"/>
      <c r="V957" s="1"/>
      <c r="Y957" s="1"/>
      <c r="Z957" s="2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U957" s="1"/>
      <c r="AW957" s="1"/>
      <c r="AX957" s="1"/>
      <c r="AY957" s="1"/>
      <c r="AZ957" s="1"/>
      <c r="BA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  <c r="CO957" s="1"/>
      <c r="CP957" s="1"/>
      <c r="CQ957" s="1"/>
      <c r="CR957" s="1"/>
      <c r="CS957" s="1"/>
      <c r="CT957" s="1"/>
      <c r="CU957" s="1"/>
      <c r="CV957" s="1"/>
      <c r="CW957" s="1"/>
      <c r="CX957" s="1"/>
      <c r="CY957" s="1"/>
      <c r="CZ957" s="1"/>
      <c r="DA957" s="1"/>
      <c r="DB957" s="1"/>
      <c r="DC957" s="1"/>
      <c r="DD957" s="1"/>
      <c r="DE957" s="1"/>
      <c r="DF957" s="1"/>
      <c r="DG957" s="1"/>
      <c r="DH957" s="1"/>
      <c r="DI957" s="1"/>
      <c r="DJ957" s="1"/>
      <c r="DK957" s="1"/>
      <c r="DL957" s="1"/>
      <c r="DM957" s="1"/>
      <c r="DN957" s="1"/>
      <c r="DO957" s="1"/>
      <c r="DP957" s="1"/>
      <c r="DQ957" s="1"/>
      <c r="DR957" s="1"/>
      <c r="DS957" s="1"/>
      <c r="DT957" s="1"/>
      <c r="DU957" s="1"/>
      <c r="DV957" s="1"/>
      <c r="DW957" s="1"/>
      <c r="DX957" s="1"/>
      <c r="DY957" s="1"/>
      <c r="DZ957" s="1"/>
      <c r="EA957" s="1"/>
      <c r="EB957" s="1"/>
      <c r="EC957" s="1"/>
      <c r="ED957" s="1"/>
      <c r="EE957" s="1"/>
      <c r="EF957" s="1"/>
      <c r="EG957" s="1"/>
      <c r="EH957" s="1"/>
      <c r="EI957" s="1"/>
      <c r="EJ957" s="1"/>
      <c r="EK957" s="1"/>
      <c r="EL957" s="1"/>
      <c r="EM957" s="1"/>
      <c r="EN957" s="1"/>
      <c r="EO957" s="1"/>
      <c r="EP957" s="1"/>
      <c r="EQ957" s="1"/>
      <c r="ER957" s="1"/>
      <c r="ES957" s="1"/>
      <c r="ET957" s="1"/>
      <c r="EU957" s="1"/>
      <c r="EV957" s="1"/>
      <c r="EW957" s="1"/>
      <c r="EX957" s="1"/>
      <c r="EY957" s="1"/>
      <c r="EZ957" s="1"/>
      <c r="FA957" s="1"/>
      <c r="FB957" s="1"/>
      <c r="FC957" s="1"/>
      <c r="FD957" s="1"/>
      <c r="FE957" s="1"/>
      <c r="FF957" s="1"/>
      <c r="FG957" s="1"/>
      <c r="FH957" s="1"/>
      <c r="FI957" s="1"/>
      <c r="FJ957" s="1"/>
      <c r="FK957" s="1"/>
      <c r="FL957" s="1"/>
      <c r="FM957" s="1"/>
      <c r="FN957" s="1"/>
      <c r="FO957" s="1"/>
      <c r="FP957" s="1"/>
      <c r="FQ957" s="1"/>
      <c r="FR957" s="2"/>
      <c r="FS957" s="1"/>
    </row>
    <row r="958" spans="1:175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R958" s="1"/>
      <c r="S958" s="1"/>
      <c r="T958" s="1"/>
      <c r="U958" s="1"/>
      <c r="V958" s="1"/>
      <c r="Y958" s="1"/>
      <c r="Z958" s="2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U958" s="1"/>
      <c r="AW958" s="1"/>
      <c r="AX958" s="1"/>
      <c r="AY958" s="1"/>
      <c r="AZ958" s="1"/>
      <c r="BA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  <c r="CN958" s="1"/>
      <c r="CO958" s="1"/>
      <c r="CP958" s="1"/>
      <c r="CQ958" s="1"/>
      <c r="CR958" s="1"/>
      <c r="CS958" s="1"/>
      <c r="CT958" s="1"/>
      <c r="CU958" s="1"/>
      <c r="CV958" s="1"/>
      <c r="CW958" s="1"/>
      <c r="CX958" s="1"/>
      <c r="CY958" s="1"/>
      <c r="CZ958" s="1"/>
      <c r="DA958" s="1"/>
      <c r="DB958" s="1"/>
      <c r="DC958" s="1"/>
      <c r="DD958" s="1"/>
      <c r="DE958" s="1"/>
      <c r="DF958" s="1"/>
      <c r="DG958" s="1"/>
      <c r="DH958" s="1"/>
      <c r="DI958" s="1"/>
      <c r="DJ958" s="1"/>
      <c r="DK958" s="1"/>
      <c r="DL958" s="1"/>
      <c r="DM958" s="1"/>
      <c r="DN958" s="1"/>
      <c r="DO958" s="1"/>
      <c r="DP958" s="1"/>
      <c r="DQ958" s="1"/>
      <c r="DR958" s="1"/>
      <c r="DS958" s="1"/>
      <c r="DT958" s="1"/>
      <c r="DU958" s="1"/>
      <c r="DV958" s="1"/>
      <c r="DW958" s="1"/>
      <c r="DX958" s="1"/>
      <c r="DY958" s="1"/>
      <c r="DZ958" s="1"/>
      <c r="EA958" s="1"/>
      <c r="EB958" s="1"/>
      <c r="EC958" s="1"/>
      <c r="ED958" s="1"/>
      <c r="EE958" s="1"/>
      <c r="EF958" s="1"/>
      <c r="EG958" s="1"/>
      <c r="EH958" s="1"/>
      <c r="EI958" s="1"/>
      <c r="EJ958" s="1"/>
      <c r="EK958" s="1"/>
      <c r="EL958" s="1"/>
      <c r="EM958" s="1"/>
      <c r="EN958" s="1"/>
      <c r="EO958" s="1"/>
      <c r="EP958" s="1"/>
      <c r="EQ958" s="1"/>
      <c r="ER958" s="1"/>
      <c r="ES958" s="1"/>
      <c r="ET958" s="1"/>
      <c r="EU958" s="1"/>
      <c r="EV958" s="1"/>
      <c r="EW958" s="1"/>
      <c r="EX958" s="1"/>
      <c r="EY958" s="1"/>
      <c r="EZ958" s="1"/>
      <c r="FA958" s="1"/>
      <c r="FB958" s="1"/>
      <c r="FC958" s="1"/>
      <c r="FD958" s="1"/>
      <c r="FE958" s="1"/>
      <c r="FF958" s="1"/>
      <c r="FG958" s="1"/>
      <c r="FH958" s="1"/>
      <c r="FI958" s="1"/>
      <c r="FJ958" s="1"/>
      <c r="FK958" s="1"/>
      <c r="FL958" s="1"/>
      <c r="FM958" s="1"/>
      <c r="FN958" s="1"/>
      <c r="FO958" s="1"/>
      <c r="FP958" s="1"/>
      <c r="FQ958" s="1"/>
      <c r="FR958" s="2"/>
      <c r="FS958" s="1"/>
    </row>
    <row r="959" spans="1:175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R959" s="1"/>
      <c r="S959" s="1"/>
      <c r="T959" s="1"/>
      <c r="U959" s="1"/>
      <c r="V959" s="1"/>
      <c r="Y959" s="1"/>
      <c r="Z959" s="2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U959" s="1"/>
      <c r="AW959" s="1"/>
      <c r="AX959" s="1"/>
      <c r="AY959" s="1"/>
      <c r="AZ959" s="1"/>
      <c r="BA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  <c r="CO959" s="1"/>
      <c r="CP959" s="1"/>
      <c r="CQ959" s="1"/>
      <c r="CR959" s="1"/>
      <c r="CS959" s="1"/>
      <c r="CT959" s="1"/>
      <c r="CU959" s="1"/>
      <c r="CV959" s="1"/>
      <c r="CW959" s="1"/>
      <c r="CX959" s="1"/>
      <c r="CY959" s="1"/>
      <c r="CZ959" s="1"/>
      <c r="DA959" s="1"/>
      <c r="DB959" s="1"/>
      <c r="DC959" s="1"/>
      <c r="DD959" s="1"/>
      <c r="DE959" s="1"/>
      <c r="DF959" s="1"/>
      <c r="DG959" s="1"/>
      <c r="DH959" s="1"/>
      <c r="DI959" s="1"/>
      <c r="DJ959" s="1"/>
      <c r="DK959" s="1"/>
      <c r="DL959" s="1"/>
      <c r="DM959" s="1"/>
      <c r="DN959" s="1"/>
      <c r="DO959" s="1"/>
      <c r="DP959" s="1"/>
      <c r="DQ959" s="1"/>
      <c r="DR959" s="1"/>
      <c r="DS959" s="1"/>
      <c r="DT959" s="1"/>
      <c r="DU959" s="1"/>
      <c r="DV959" s="1"/>
      <c r="DW959" s="1"/>
      <c r="DX959" s="1"/>
      <c r="DY959" s="1"/>
      <c r="DZ959" s="1"/>
      <c r="EA959" s="1"/>
      <c r="EB959" s="1"/>
      <c r="EC959" s="1"/>
      <c r="ED959" s="1"/>
      <c r="EE959" s="1"/>
      <c r="EF959" s="1"/>
      <c r="EG959" s="1"/>
      <c r="EH959" s="1"/>
      <c r="EI959" s="1"/>
      <c r="EJ959" s="1"/>
      <c r="EK959" s="1"/>
      <c r="EL959" s="1"/>
      <c r="EM959" s="1"/>
      <c r="EN959" s="1"/>
      <c r="EO959" s="1"/>
      <c r="EP959" s="1"/>
      <c r="EQ959" s="1"/>
      <c r="ER959" s="1"/>
      <c r="ES959" s="1"/>
      <c r="ET959" s="1"/>
      <c r="EU959" s="1"/>
      <c r="EV959" s="1"/>
      <c r="EW959" s="1"/>
      <c r="EX959" s="1"/>
      <c r="EY959" s="1"/>
      <c r="EZ959" s="1"/>
      <c r="FA959" s="1"/>
      <c r="FB959" s="1"/>
      <c r="FC959" s="1"/>
      <c r="FD959" s="1"/>
      <c r="FE959" s="1"/>
      <c r="FF959" s="1"/>
      <c r="FG959" s="1"/>
      <c r="FH959" s="1"/>
      <c r="FI959" s="1"/>
      <c r="FJ959" s="1"/>
      <c r="FK959" s="1"/>
      <c r="FL959" s="1"/>
      <c r="FM959" s="1"/>
      <c r="FN959" s="1"/>
      <c r="FO959" s="1"/>
      <c r="FP959" s="1"/>
      <c r="FQ959" s="1"/>
      <c r="FR959" s="2"/>
      <c r="FS959" s="1"/>
    </row>
    <row r="960" spans="1:175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R960" s="1"/>
      <c r="S960" s="1"/>
      <c r="T960" s="1"/>
      <c r="U960" s="1"/>
      <c r="V960" s="1"/>
      <c r="Y960" s="1"/>
      <c r="Z960" s="2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U960" s="1"/>
      <c r="AW960" s="1"/>
      <c r="AX960" s="1"/>
      <c r="AY960" s="1"/>
      <c r="AZ960" s="1"/>
      <c r="BA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  <c r="CO960" s="1"/>
      <c r="CP960" s="1"/>
      <c r="CQ960" s="1"/>
      <c r="CR960" s="1"/>
      <c r="CS960" s="1"/>
      <c r="CT960" s="1"/>
      <c r="CU960" s="1"/>
      <c r="CV960" s="1"/>
      <c r="CW960" s="1"/>
      <c r="CX960" s="1"/>
      <c r="CY960" s="1"/>
      <c r="CZ960" s="1"/>
      <c r="DA960" s="1"/>
      <c r="DB960" s="1"/>
      <c r="DC960" s="1"/>
      <c r="DD960" s="1"/>
      <c r="DE960" s="1"/>
      <c r="DF960" s="1"/>
      <c r="DG960" s="1"/>
      <c r="DH960" s="1"/>
      <c r="DI960" s="1"/>
      <c r="DJ960" s="1"/>
      <c r="DK960" s="1"/>
      <c r="DL960" s="1"/>
      <c r="DM960" s="1"/>
      <c r="DN960" s="1"/>
      <c r="DO960" s="1"/>
      <c r="DP960" s="1"/>
      <c r="DQ960" s="1"/>
      <c r="DR960" s="1"/>
      <c r="DS960" s="1"/>
      <c r="DT960" s="1"/>
      <c r="DU960" s="1"/>
      <c r="DV960" s="1"/>
      <c r="DW960" s="1"/>
      <c r="DX960" s="1"/>
      <c r="DY960" s="1"/>
      <c r="DZ960" s="1"/>
      <c r="EA960" s="1"/>
      <c r="EB960" s="1"/>
      <c r="EC960" s="1"/>
      <c r="ED960" s="1"/>
      <c r="EE960" s="1"/>
      <c r="EF960" s="1"/>
      <c r="EG960" s="1"/>
      <c r="EH960" s="1"/>
      <c r="EI960" s="1"/>
      <c r="EJ960" s="1"/>
      <c r="EK960" s="1"/>
      <c r="EL960" s="1"/>
      <c r="EM960" s="1"/>
      <c r="EN960" s="1"/>
      <c r="EO960" s="1"/>
      <c r="EP960" s="1"/>
      <c r="EQ960" s="1"/>
      <c r="ER960" s="1"/>
      <c r="ES960" s="1"/>
      <c r="ET960" s="1"/>
      <c r="EU960" s="1"/>
      <c r="EV960" s="1"/>
      <c r="EW960" s="1"/>
      <c r="EX960" s="1"/>
      <c r="EY960" s="1"/>
      <c r="EZ960" s="1"/>
      <c r="FA960" s="1"/>
      <c r="FB960" s="1"/>
      <c r="FC960" s="1"/>
      <c r="FD960" s="1"/>
      <c r="FE960" s="1"/>
      <c r="FF960" s="1"/>
      <c r="FG960" s="1"/>
      <c r="FH960" s="1"/>
      <c r="FI960" s="1"/>
      <c r="FJ960" s="1"/>
      <c r="FK960" s="1"/>
      <c r="FL960" s="1"/>
      <c r="FM960" s="1"/>
      <c r="FN960" s="1"/>
      <c r="FO960" s="1"/>
      <c r="FP960" s="1"/>
      <c r="FQ960" s="1"/>
      <c r="FR960" s="2"/>
      <c r="FS960" s="1"/>
    </row>
    <row r="961" spans="1:175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R961" s="1"/>
      <c r="S961" s="1"/>
      <c r="T961" s="1"/>
      <c r="U961" s="1"/>
      <c r="V961" s="1"/>
      <c r="Y961" s="1"/>
      <c r="Z961" s="2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U961" s="1"/>
      <c r="AW961" s="1"/>
      <c r="AX961" s="1"/>
      <c r="AY961" s="1"/>
      <c r="AZ961" s="1"/>
      <c r="BA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  <c r="CO961" s="1"/>
      <c r="CP961" s="1"/>
      <c r="CQ961" s="1"/>
      <c r="CR961" s="1"/>
      <c r="CS961" s="1"/>
      <c r="CT961" s="1"/>
      <c r="CU961" s="1"/>
      <c r="CV961" s="1"/>
      <c r="CW961" s="1"/>
      <c r="CX961" s="1"/>
      <c r="CY961" s="1"/>
      <c r="CZ961" s="1"/>
      <c r="DA961" s="1"/>
      <c r="DB961" s="1"/>
      <c r="DC961" s="1"/>
      <c r="DD961" s="1"/>
      <c r="DE961" s="1"/>
      <c r="DF961" s="1"/>
      <c r="DG961" s="1"/>
      <c r="DH961" s="1"/>
      <c r="DI961" s="1"/>
      <c r="DJ961" s="1"/>
      <c r="DK961" s="1"/>
      <c r="DL961" s="1"/>
      <c r="DM961" s="1"/>
      <c r="DN961" s="1"/>
      <c r="DO961" s="1"/>
      <c r="DP961" s="1"/>
      <c r="DQ961" s="1"/>
      <c r="DR961" s="1"/>
      <c r="DS961" s="1"/>
      <c r="DT961" s="1"/>
      <c r="DU961" s="1"/>
      <c r="DV961" s="1"/>
      <c r="DW961" s="1"/>
      <c r="DX961" s="1"/>
      <c r="DY961" s="1"/>
      <c r="DZ961" s="1"/>
      <c r="EA961" s="1"/>
      <c r="EB961" s="1"/>
      <c r="EC961" s="1"/>
      <c r="ED961" s="1"/>
      <c r="EE961" s="1"/>
      <c r="EF961" s="1"/>
      <c r="EG961" s="1"/>
      <c r="EH961" s="1"/>
      <c r="EI961" s="1"/>
      <c r="EJ961" s="1"/>
      <c r="EK961" s="1"/>
      <c r="EL961" s="1"/>
      <c r="EM961" s="1"/>
      <c r="EN961" s="1"/>
      <c r="EO961" s="1"/>
      <c r="EP961" s="1"/>
      <c r="EQ961" s="1"/>
      <c r="ER961" s="1"/>
      <c r="ES961" s="1"/>
      <c r="ET961" s="1"/>
      <c r="EU961" s="1"/>
      <c r="EV961" s="1"/>
      <c r="EW961" s="1"/>
      <c r="EX961" s="1"/>
      <c r="EY961" s="1"/>
      <c r="EZ961" s="1"/>
      <c r="FA961" s="1"/>
      <c r="FB961" s="1"/>
      <c r="FC961" s="1"/>
      <c r="FD961" s="1"/>
      <c r="FE961" s="1"/>
      <c r="FF961" s="1"/>
      <c r="FG961" s="1"/>
      <c r="FH961" s="1"/>
      <c r="FI961" s="1"/>
      <c r="FJ961" s="1"/>
      <c r="FK961" s="1"/>
      <c r="FL961" s="1"/>
      <c r="FM961" s="1"/>
      <c r="FN961" s="1"/>
      <c r="FO961" s="1"/>
      <c r="FP961" s="1"/>
      <c r="FQ961" s="1"/>
      <c r="FR961" s="2"/>
      <c r="FS961" s="1"/>
    </row>
    <row r="962" spans="1:175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R962" s="1"/>
      <c r="S962" s="1"/>
      <c r="T962" s="1"/>
      <c r="U962" s="1"/>
      <c r="V962" s="1"/>
      <c r="Y962" s="1"/>
      <c r="Z962" s="2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U962" s="1"/>
      <c r="AW962" s="1"/>
      <c r="AX962" s="1"/>
      <c r="AY962" s="1"/>
      <c r="AZ962" s="1"/>
      <c r="BA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  <c r="CO962" s="1"/>
      <c r="CP962" s="1"/>
      <c r="CQ962" s="1"/>
      <c r="CR962" s="1"/>
      <c r="CS962" s="1"/>
      <c r="CT962" s="1"/>
      <c r="CU962" s="1"/>
      <c r="CV962" s="1"/>
      <c r="CW962" s="1"/>
      <c r="CX962" s="1"/>
      <c r="CY962" s="1"/>
      <c r="CZ962" s="1"/>
      <c r="DA962" s="1"/>
      <c r="DB962" s="1"/>
      <c r="DC962" s="1"/>
      <c r="DD962" s="1"/>
      <c r="DE962" s="1"/>
      <c r="DF962" s="1"/>
      <c r="DG962" s="1"/>
      <c r="DH962" s="1"/>
      <c r="DI962" s="1"/>
      <c r="DJ962" s="1"/>
      <c r="DK962" s="1"/>
      <c r="DL962" s="1"/>
      <c r="DM962" s="1"/>
      <c r="DN962" s="1"/>
      <c r="DO962" s="1"/>
      <c r="DP962" s="1"/>
      <c r="DQ962" s="1"/>
      <c r="DR962" s="1"/>
      <c r="DS962" s="1"/>
      <c r="DT962" s="1"/>
      <c r="DU962" s="1"/>
      <c r="DV962" s="1"/>
      <c r="DW962" s="1"/>
      <c r="DX962" s="1"/>
      <c r="DY962" s="1"/>
      <c r="DZ962" s="1"/>
      <c r="EA962" s="1"/>
      <c r="EB962" s="1"/>
      <c r="EC962" s="1"/>
      <c r="ED962" s="1"/>
      <c r="EE962" s="1"/>
      <c r="EF962" s="1"/>
      <c r="EG962" s="1"/>
      <c r="EH962" s="1"/>
      <c r="EI962" s="1"/>
      <c r="EJ962" s="1"/>
      <c r="EK962" s="1"/>
      <c r="EL962" s="1"/>
      <c r="EM962" s="1"/>
      <c r="EN962" s="1"/>
      <c r="EO962" s="1"/>
      <c r="EP962" s="1"/>
      <c r="EQ962" s="1"/>
      <c r="ER962" s="1"/>
      <c r="ES962" s="1"/>
      <c r="ET962" s="1"/>
      <c r="EU962" s="1"/>
      <c r="EV962" s="1"/>
      <c r="EW962" s="1"/>
      <c r="EX962" s="1"/>
      <c r="EY962" s="1"/>
      <c r="EZ962" s="1"/>
      <c r="FA962" s="1"/>
      <c r="FB962" s="1"/>
      <c r="FC962" s="1"/>
      <c r="FD962" s="1"/>
      <c r="FE962" s="1"/>
      <c r="FF962" s="1"/>
      <c r="FG962" s="1"/>
      <c r="FH962" s="1"/>
      <c r="FI962" s="1"/>
      <c r="FJ962" s="1"/>
      <c r="FK962" s="1"/>
      <c r="FL962" s="1"/>
      <c r="FM962" s="1"/>
      <c r="FN962" s="1"/>
      <c r="FO962" s="1"/>
      <c r="FP962" s="1"/>
      <c r="FQ962" s="1"/>
      <c r="FR962" s="2"/>
      <c r="FS962" s="1"/>
    </row>
    <row r="963" spans="1:175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R963" s="1"/>
      <c r="S963" s="1"/>
      <c r="T963" s="1"/>
      <c r="U963" s="1"/>
      <c r="V963" s="1"/>
      <c r="Y963" s="1"/>
      <c r="Z963" s="2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U963" s="1"/>
      <c r="AW963" s="1"/>
      <c r="AX963" s="1"/>
      <c r="AY963" s="1"/>
      <c r="AZ963" s="1"/>
      <c r="BA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  <c r="CP963" s="1"/>
      <c r="CQ963" s="1"/>
      <c r="CR963" s="1"/>
      <c r="CS963" s="1"/>
      <c r="CT963" s="1"/>
      <c r="CU963" s="1"/>
      <c r="CV963" s="1"/>
      <c r="CW963" s="1"/>
      <c r="CX963" s="1"/>
      <c r="CY963" s="1"/>
      <c r="CZ963" s="1"/>
      <c r="DA963" s="1"/>
      <c r="DB963" s="1"/>
      <c r="DC963" s="1"/>
      <c r="DD963" s="1"/>
      <c r="DE963" s="1"/>
      <c r="DF963" s="1"/>
      <c r="DG963" s="1"/>
      <c r="DH963" s="1"/>
      <c r="DI963" s="1"/>
      <c r="DJ963" s="1"/>
      <c r="DK963" s="1"/>
      <c r="DL963" s="1"/>
      <c r="DM963" s="1"/>
      <c r="DN963" s="1"/>
      <c r="DO963" s="1"/>
      <c r="DP963" s="1"/>
      <c r="DQ963" s="1"/>
      <c r="DR963" s="1"/>
      <c r="DS963" s="1"/>
      <c r="DT963" s="1"/>
      <c r="DU963" s="1"/>
      <c r="DV963" s="1"/>
      <c r="DW963" s="1"/>
      <c r="DX963" s="1"/>
      <c r="DY963" s="1"/>
      <c r="DZ963" s="1"/>
      <c r="EA963" s="1"/>
      <c r="EB963" s="1"/>
      <c r="EC963" s="1"/>
      <c r="ED963" s="1"/>
      <c r="EE963" s="1"/>
      <c r="EF963" s="1"/>
      <c r="EG963" s="1"/>
      <c r="EH963" s="1"/>
      <c r="EI963" s="1"/>
      <c r="EJ963" s="1"/>
      <c r="EK963" s="1"/>
      <c r="EL963" s="1"/>
      <c r="EM963" s="1"/>
      <c r="EN963" s="1"/>
      <c r="EO963" s="1"/>
      <c r="EP963" s="1"/>
      <c r="EQ963" s="1"/>
      <c r="ER963" s="1"/>
      <c r="ES963" s="1"/>
      <c r="ET963" s="1"/>
      <c r="EU963" s="1"/>
      <c r="EV963" s="1"/>
      <c r="EW963" s="1"/>
      <c r="EX963" s="1"/>
      <c r="EY963" s="1"/>
      <c r="EZ963" s="1"/>
      <c r="FA963" s="1"/>
      <c r="FB963" s="1"/>
      <c r="FC963" s="1"/>
      <c r="FD963" s="1"/>
      <c r="FE963" s="1"/>
      <c r="FF963" s="1"/>
      <c r="FG963" s="1"/>
      <c r="FH963" s="1"/>
      <c r="FI963" s="1"/>
      <c r="FJ963" s="1"/>
      <c r="FK963" s="1"/>
      <c r="FL963" s="1"/>
      <c r="FM963" s="1"/>
      <c r="FN963" s="1"/>
      <c r="FO963" s="1"/>
      <c r="FP963" s="1"/>
      <c r="FQ963" s="1"/>
      <c r="FR963" s="2"/>
      <c r="FS963" s="1"/>
    </row>
    <row r="964" spans="1:175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R964" s="1"/>
      <c r="S964" s="1"/>
      <c r="T964" s="1"/>
      <c r="U964" s="1"/>
      <c r="V964" s="1"/>
      <c r="Y964" s="1"/>
      <c r="Z964" s="2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U964" s="1"/>
      <c r="AW964" s="1"/>
      <c r="AX964" s="1"/>
      <c r="AY964" s="1"/>
      <c r="AZ964" s="1"/>
      <c r="BA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  <c r="CO964" s="1"/>
      <c r="CP964" s="1"/>
      <c r="CQ964" s="1"/>
      <c r="CR964" s="1"/>
      <c r="CS964" s="1"/>
      <c r="CT964" s="1"/>
      <c r="CU964" s="1"/>
      <c r="CV964" s="1"/>
      <c r="CW964" s="1"/>
      <c r="CX964" s="1"/>
      <c r="CY964" s="1"/>
      <c r="CZ964" s="1"/>
      <c r="DA964" s="1"/>
      <c r="DB964" s="1"/>
      <c r="DC964" s="1"/>
      <c r="DD964" s="1"/>
      <c r="DE964" s="1"/>
      <c r="DF964" s="1"/>
      <c r="DG964" s="1"/>
      <c r="DH964" s="1"/>
      <c r="DI964" s="1"/>
      <c r="DJ964" s="1"/>
      <c r="DK964" s="1"/>
      <c r="DL964" s="1"/>
      <c r="DM964" s="1"/>
      <c r="DN964" s="1"/>
      <c r="DO964" s="1"/>
      <c r="DP964" s="1"/>
      <c r="DQ964" s="1"/>
      <c r="DR964" s="1"/>
      <c r="DS964" s="1"/>
      <c r="DT964" s="1"/>
      <c r="DU964" s="1"/>
      <c r="DV964" s="1"/>
      <c r="DW964" s="1"/>
      <c r="DX964" s="1"/>
      <c r="DY964" s="1"/>
      <c r="DZ964" s="1"/>
      <c r="EA964" s="1"/>
      <c r="EB964" s="1"/>
      <c r="EC964" s="1"/>
      <c r="ED964" s="1"/>
      <c r="EE964" s="1"/>
      <c r="EF964" s="1"/>
      <c r="EG964" s="1"/>
      <c r="EH964" s="1"/>
      <c r="EI964" s="1"/>
      <c r="EJ964" s="1"/>
      <c r="EK964" s="1"/>
      <c r="EL964" s="1"/>
      <c r="EM964" s="1"/>
      <c r="EN964" s="1"/>
      <c r="EO964" s="1"/>
      <c r="EP964" s="1"/>
      <c r="EQ964" s="1"/>
      <c r="ER964" s="1"/>
      <c r="ES964" s="1"/>
      <c r="ET964" s="1"/>
      <c r="EU964" s="1"/>
      <c r="EV964" s="1"/>
      <c r="EW964" s="1"/>
      <c r="EX964" s="1"/>
      <c r="EY964" s="1"/>
      <c r="EZ964" s="1"/>
      <c r="FA964" s="1"/>
      <c r="FB964" s="1"/>
      <c r="FC964" s="1"/>
      <c r="FD964" s="1"/>
      <c r="FE964" s="1"/>
      <c r="FF964" s="1"/>
      <c r="FG964" s="1"/>
      <c r="FH964" s="1"/>
      <c r="FI964" s="1"/>
      <c r="FJ964" s="1"/>
      <c r="FK964" s="1"/>
      <c r="FL964" s="1"/>
      <c r="FM964" s="1"/>
      <c r="FN964" s="1"/>
      <c r="FO964" s="1"/>
      <c r="FP964" s="1"/>
      <c r="FQ964" s="1"/>
      <c r="FR964" s="2"/>
      <c r="FS964" s="1"/>
    </row>
    <row r="965" spans="1:175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R965" s="1"/>
      <c r="S965" s="1"/>
      <c r="T965" s="1"/>
      <c r="U965" s="1"/>
      <c r="V965" s="1"/>
      <c r="Y965" s="1"/>
      <c r="Z965" s="2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U965" s="1"/>
      <c r="AW965" s="1"/>
      <c r="AX965" s="1"/>
      <c r="AY965" s="1"/>
      <c r="AZ965" s="1"/>
      <c r="BA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  <c r="CP965" s="1"/>
      <c r="CQ965" s="1"/>
      <c r="CR965" s="1"/>
      <c r="CS965" s="1"/>
      <c r="CT965" s="1"/>
      <c r="CU965" s="1"/>
      <c r="CV965" s="1"/>
      <c r="CW965" s="1"/>
      <c r="CX965" s="1"/>
      <c r="CY965" s="1"/>
      <c r="CZ965" s="1"/>
      <c r="DA965" s="1"/>
      <c r="DB965" s="1"/>
      <c r="DC965" s="1"/>
      <c r="DD965" s="1"/>
      <c r="DE965" s="1"/>
      <c r="DF965" s="1"/>
      <c r="DG965" s="1"/>
      <c r="DH965" s="1"/>
      <c r="DI965" s="1"/>
      <c r="DJ965" s="1"/>
      <c r="DK965" s="1"/>
      <c r="DL965" s="1"/>
      <c r="DM965" s="1"/>
      <c r="DN965" s="1"/>
      <c r="DO965" s="1"/>
      <c r="DP965" s="1"/>
      <c r="DQ965" s="1"/>
      <c r="DR965" s="1"/>
      <c r="DS965" s="1"/>
      <c r="DT965" s="1"/>
      <c r="DU965" s="1"/>
      <c r="DV965" s="1"/>
      <c r="DW965" s="1"/>
      <c r="DX965" s="1"/>
      <c r="DY965" s="1"/>
      <c r="DZ965" s="1"/>
      <c r="EA965" s="1"/>
      <c r="EB965" s="1"/>
      <c r="EC965" s="1"/>
      <c r="ED965" s="1"/>
      <c r="EE965" s="1"/>
      <c r="EF965" s="1"/>
      <c r="EG965" s="1"/>
      <c r="EH965" s="1"/>
      <c r="EI965" s="1"/>
      <c r="EJ965" s="1"/>
      <c r="EK965" s="1"/>
      <c r="EL965" s="1"/>
      <c r="EM965" s="1"/>
      <c r="EN965" s="1"/>
      <c r="EO965" s="1"/>
      <c r="EP965" s="1"/>
      <c r="EQ965" s="1"/>
      <c r="ER965" s="1"/>
      <c r="ES965" s="1"/>
      <c r="ET965" s="1"/>
      <c r="EU965" s="1"/>
      <c r="EV965" s="1"/>
      <c r="EW965" s="1"/>
      <c r="EX965" s="1"/>
      <c r="EY965" s="1"/>
      <c r="EZ965" s="1"/>
      <c r="FA965" s="1"/>
      <c r="FB965" s="1"/>
      <c r="FC965" s="1"/>
      <c r="FD965" s="1"/>
      <c r="FE965" s="1"/>
      <c r="FF965" s="1"/>
      <c r="FG965" s="1"/>
      <c r="FH965" s="1"/>
      <c r="FI965" s="1"/>
      <c r="FJ965" s="1"/>
      <c r="FK965" s="1"/>
      <c r="FL965" s="1"/>
      <c r="FM965" s="1"/>
      <c r="FN965" s="1"/>
      <c r="FO965" s="1"/>
      <c r="FP965" s="1"/>
      <c r="FQ965" s="1"/>
      <c r="FR965" s="2"/>
      <c r="FS965" s="1"/>
    </row>
    <row r="966" spans="1:175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R966" s="1"/>
      <c r="S966" s="1"/>
      <c r="T966" s="1"/>
      <c r="U966" s="1"/>
      <c r="V966" s="1"/>
      <c r="Y966" s="1"/>
      <c r="Z966" s="2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U966" s="1"/>
      <c r="AW966" s="1"/>
      <c r="AX966" s="1"/>
      <c r="AY966" s="1"/>
      <c r="AZ966" s="1"/>
      <c r="BA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  <c r="CN966" s="1"/>
      <c r="CO966" s="1"/>
      <c r="CP966" s="1"/>
      <c r="CQ966" s="1"/>
      <c r="CR966" s="1"/>
      <c r="CS966" s="1"/>
      <c r="CT966" s="1"/>
      <c r="CU966" s="1"/>
      <c r="CV966" s="1"/>
      <c r="CW966" s="1"/>
      <c r="CX966" s="1"/>
      <c r="CY966" s="1"/>
      <c r="CZ966" s="1"/>
      <c r="DA966" s="1"/>
      <c r="DB966" s="1"/>
      <c r="DC966" s="1"/>
      <c r="DD966" s="1"/>
      <c r="DE966" s="1"/>
      <c r="DF966" s="1"/>
      <c r="DG966" s="1"/>
      <c r="DH966" s="1"/>
      <c r="DI966" s="1"/>
      <c r="DJ966" s="1"/>
      <c r="DK966" s="1"/>
      <c r="DL966" s="1"/>
      <c r="DM966" s="1"/>
      <c r="DN966" s="1"/>
      <c r="DO966" s="1"/>
      <c r="DP966" s="1"/>
      <c r="DQ966" s="1"/>
      <c r="DR966" s="1"/>
      <c r="DS966" s="1"/>
      <c r="DT966" s="1"/>
      <c r="DU966" s="1"/>
      <c r="DV966" s="1"/>
      <c r="DW966" s="1"/>
      <c r="DX966" s="1"/>
      <c r="DY966" s="1"/>
      <c r="DZ966" s="1"/>
      <c r="EA966" s="1"/>
      <c r="EB966" s="1"/>
      <c r="EC966" s="1"/>
      <c r="ED966" s="1"/>
      <c r="EE966" s="1"/>
      <c r="EF966" s="1"/>
      <c r="EG966" s="1"/>
      <c r="EH966" s="1"/>
      <c r="EI966" s="1"/>
      <c r="EJ966" s="1"/>
      <c r="EK966" s="1"/>
      <c r="EL966" s="1"/>
      <c r="EM966" s="1"/>
      <c r="EN966" s="1"/>
      <c r="EO966" s="1"/>
      <c r="EP966" s="1"/>
      <c r="EQ966" s="1"/>
      <c r="ER966" s="1"/>
      <c r="ES966" s="1"/>
      <c r="ET966" s="1"/>
      <c r="EU966" s="1"/>
      <c r="EV966" s="1"/>
      <c r="EW966" s="1"/>
      <c r="EX966" s="1"/>
      <c r="EY966" s="1"/>
      <c r="EZ966" s="1"/>
      <c r="FA966" s="1"/>
      <c r="FB966" s="1"/>
      <c r="FC966" s="1"/>
      <c r="FD966" s="1"/>
      <c r="FE966" s="1"/>
      <c r="FF966" s="1"/>
      <c r="FG966" s="1"/>
      <c r="FH966" s="1"/>
      <c r="FI966" s="1"/>
      <c r="FJ966" s="1"/>
      <c r="FK966" s="1"/>
      <c r="FL966" s="1"/>
      <c r="FM966" s="1"/>
      <c r="FN966" s="1"/>
      <c r="FO966" s="1"/>
      <c r="FP966" s="1"/>
      <c r="FQ966" s="1"/>
      <c r="FR966" s="2"/>
      <c r="FS966" s="1"/>
    </row>
    <row r="967" spans="1:175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R967" s="1"/>
      <c r="S967" s="1"/>
      <c r="T967" s="1"/>
      <c r="U967" s="1"/>
      <c r="V967" s="1"/>
      <c r="Y967" s="1"/>
      <c r="Z967" s="2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U967" s="1"/>
      <c r="AW967" s="1"/>
      <c r="AX967" s="1"/>
      <c r="AY967" s="1"/>
      <c r="AZ967" s="1"/>
      <c r="BA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  <c r="CO967" s="1"/>
      <c r="CP967" s="1"/>
      <c r="CQ967" s="1"/>
      <c r="CR967" s="1"/>
      <c r="CS967" s="1"/>
      <c r="CT967" s="1"/>
      <c r="CU967" s="1"/>
      <c r="CV967" s="1"/>
      <c r="CW967" s="1"/>
      <c r="CX967" s="1"/>
      <c r="CY967" s="1"/>
      <c r="CZ967" s="1"/>
      <c r="DA967" s="1"/>
      <c r="DB967" s="1"/>
      <c r="DC967" s="1"/>
      <c r="DD967" s="1"/>
      <c r="DE967" s="1"/>
      <c r="DF967" s="1"/>
      <c r="DG967" s="1"/>
      <c r="DH967" s="1"/>
      <c r="DI967" s="1"/>
      <c r="DJ967" s="1"/>
      <c r="DK967" s="1"/>
      <c r="DL967" s="1"/>
      <c r="DM967" s="1"/>
      <c r="DN967" s="1"/>
      <c r="DO967" s="1"/>
      <c r="DP967" s="1"/>
      <c r="DQ967" s="1"/>
      <c r="DR967" s="1"/>
      <c r="DS967" s="1"/>
      <c r="DT967" s="1"/>
      <c r="DU967" s="1"/>
      <c r="DV967" s="1"/>
      <c r="DW967" s="1"/>
      <c r="DX967" s="1"/>
      <c r="DY967" s="1"/>
      <c r="DZ967" s="1"/>
      <c r="EA967" s="1"/>
      <c r="EB967" s="1"/>
      <c r="EC967" s="1"/>
      <c r="ED967" s="1"/>
      <c r="EE967" s="1"/>
      <c r="EF967" s="1"/>
      <c r="EG967" s="1"/>
      <c r="EH967" s="1"/>
      <c r="EI967" s="1"/>
      <c r="EJ967" s="1"/>
      <c r="EK967" s="1"/>
      <c r="EL967" s="1"/>
      <c r="EM967" s="1"/>
      <c r="EN967" s="1"/>
      <c r="EO967" s="1"/>
      <c r="EP967" s="1"/>
      <c r="EQ967" s="1"/>
      <c r="ER967" s="1"/>
      <c r="ES967" s="1"/>
      <c r="ET967" s="1"/>
      <c r="EU967" s="1"/>
      <c r="EV967" s="1"/>
      <c r="EW967" s="1"/>
      <c r="EX967" s="1"/>
      <c r="EY967" s="1"/>
      <c r="EZ967" s="1"/>
      <c r="FA967" s="1"/>
      <c r="FB967" s="1"/>
      <c r="FC967" s="1"/>
      <c r="FD967" s="1"/>
      <c r="FE967" s="1"/>
      <c r="FF967" s="1"/>
      <c r="FG967" s="1"/>
      <c r="FH967" s="1"/>
      <c r="FI967" s="1"/>
      <c r="FJ967" s="1"/>
      <c r="FK967" s="1"/>
      <c r="FL967" s="1"/>
      <c r="FM967" s="1"/>
      <c r="FN967" s="1"/>
      <c r="FO967" s="1"/>
      <c r="FP967" s="1"/>
      <c r="FQ967" s="1"/>
      <c r="FR967" s="2"/>
      <c r="FS967" s="1"/>
    </row>
    <row r="968" spans="1:175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R968" s="1"/>
      <c r="S968" s="1"/>
      <c r="T968" s="1"/>
      <c r="U968" s="1"/>
      <c r="V968" s="1"/>
      <c r="Y968" s="1"/>
      <c r="Z968" s="2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U968" s="1"/>
      <c r="AW968" s="1"/>
      <c r="AX968" s="1"/>
      <c r="AY968" s="1"/>
      <c r="AZ968" s="1"/>
      <c r="BA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  <c r="CO968" s="1"/>
      <c r="CP968" s="1"/>
      <c r="CQ968" s="1"/>
      <c r="CR968" s="1"/>
      <c r="CS968" s="1"/>
      <c r="CT968" s="1"/>
      <c r="CU968" s="1"/>
      <c r="CV968" s="1"/>
      <c r="CW968" s="1"/>
      <c r="CX968" s="1"/>
      <c r="CY968" s="1"/>
      <c r="CZ968" s="1"/>
      <c r="DA968" s="1"/>
      <c r="DB968" s="1"/>
      <c r="DC968" s="1"/>
      <c r="DD968" s="1"/>
      <c r="DE968" s="1"/>
      <c r="DF968" s="1"/>
      <c r="DG968" s="1"/>
      <c r="DH968" s="1"/>
      <c r="DI968" s="1"/>
      <c r="DJ968" s="1"/>
      <c r="DK968" s="1"/>
      <c r="DL968" s="1"/>
      <c r="DM968" s="1"/>
      <c r="DN968" s="1"/>
      <c r="DO968" s="1"/>
      <c r="DP968" s="1"/>
      <c r="DQ968" s="1"/>
      <c r="DR968" s="1"/>
      <c r="DS968" s="1"/>
      <c r="DT968" s="1"/>
      <c r="DU968" s="1"/>
      <c r="DV968" s="1"/>
      <c r="DW968" s="1"/>
      <c r="DX968" s="1"/>
      <c r="DY968" s="1"/>
      <c r="DZ968" s="1"/>
      <c r="EA968" s="1"/>
      <c r="EB968" s="1"/>
      <c r="EC968" s="1"/>
      <c r="ED968" s="1"/>
      <c r="EE968" s="1"/>
      <c r="EF968" s="1"/>
      <c r="EG968" s="1"/>
      <c r="EH968" s="1"/>
      <c r="EI968" s="1"/>
      <c r="EJ968" s="1"/>
      <c r="EK968" s="1"/>
      <c r="EL968" s="1"/>
      <c r="EM968" s="1"/>
      <c r="EN968" s="1"/>
      <c r="EO968" s="1"/>
      <c r="EP968" s="1"/>
      <c r="EQ968" s="1"/>
      <c r="ER968" s="1"/>
      <c r="ES968" s="1"/>
      <c r="ET968" s="1"/>
      <c r="EU968" s="1"/>
      <c r="EV968" s="1"/>
      <c r="EW968" s="1"/>
      <c r="EX968" s="1"/>
      <c r="EY968" s="1"/>
      <c r="EZ968" s="1"/>
      <c r="FA968" s="1"/>
      <c r="FB968" s="1"/>
      <c r="FC968" s="1"/>
      <c r="FD968" s="1"/>
      <c r="FE968" s="1"/>
      <c r="FF968" s="1"/>
      <c r="FG968" s="1"/>
      <c r="FH968" s="1"/>
      <c r="FI968" s="1"/>
      <c r="FJ968" s="1"/>
      <c r="FK968" s="1"/>
      <c r="FL968" s="1"/>
      <c r="FM968" s="1"/>
      <c r="FN968" s="1"/>
      <c r="FO968" s="1"/>
      <c r="FP968" s="1"/>
      <c r="FQ968" s="1"/>
      <c r="FR968" s="2"/>
      <c r="FS968" s="1"/>
    </row>
    <row r="969" spans="1:175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R969" s="1"/>
      <c r="S969" s="1"/>
      <c r="T969" s="1"/>
      <c r="U969" s="1"/>
      <c r="V969" s="1"/>
      <c r="Y969" s="1"/>
      <c r="Z969" s="2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U969" s="1"/>
      <c r="AW969" s="1"/>
      <c r="AX969" s="1"/>
      <c r="AY969" s="1"/>
      <c r="AZ969" s="1"/>
      <c r="BA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  <c r="CO969" s="1"/>
      <c r="CP969" s="1"/>
      <c r="CQ969" s="1"/>
      <c r="CR969" s="1"/>
      <c r="CS969" s="1"/>
      <c r="CT969" s="1"/>
      <c r="CU969" s="1"/>
      <c r="CV969" s="1"/>
      <c r="CW969" s="1"/>
      <c r="CX969" s="1"/>
      <c r="CY969" s="1"/>
      <c r="CZ969" s="1"/>
      <c r="DA969" s="1"/>
      <c r="DB969" s="1"/>
      <c r="DC969" s="1"/>
      <c r="DD969" s="1"/>
      <c r="DE969" s="1"/>
      <c r="DF969" s="1"/>
      <c r="DG969" s="1"/>
      <c r="DH969" s="1"/>
      <c r="DI969" s="1"/>
      <c r="DJ969" s="1"/>
      <c r="DK969" s="1"/>
      <c r="DL969" s="1"/>
      <c r="DM969" s="1"/>
      <c r="DN969" s="1"/>
      <c r="DO969" s="1"/>
      <c r="DP969" s="1"/>
      <c r="DQ969" s="1"/>
      <c r="DR969" s="1"/>
      <c r="DS969" s="1"/>
      <c r="DT969" s="1"/>
      <c r="DU969" s="1"/>
      <c r="DV969" s="1"/>
      <c r="DW969" s="1"/>
      <c r="DX969" s="1"/>
      <c r="DY969" s="1"/>
      <c r="DZ969" s="1"/>
      <c r="EA969" s="1"/>
      <c r="EB969" s="1"/>
      <c r="EC969" s="1"/>
      <c r="ED969" s="1"/>
      <c r="EE969" s="1"/>
      <c r="EF969" s="1"/>
      <c r="EG969" s="1"/>
      <c r="EH969" s="1"/>
      <c r="EI969" s="1"/>
      <c r="EJ969" s="1"/>
      <c r="EK969" s="1"/>
      <c r="EL969" s="1"/>
      <c r="EM969" s="1"/>
      <c r="EN969" s="1"/>
      <c r="EO969" s="1"/>
      <c r="EP969" s="1"/>
      <c r="EQ969" s="1"/>
      <c r="ER969" s="1"/>
      <c r="ES969" s="1"/>
      <c r="ET969" s="1"/>
      <c r="EU969" s="1"/>
      <c r="EV969" s="1"/>
      <c r="EW969" s="1"/>
      <c r="EX969" s="1"/>
      <c r="EY969" s="1"/>
      <c r="EZ969" s="1"/>
      <c r="FA969" s="1"/>
      <c r="FB969" s="1"/>
      <c r="FC969" s="1"/>
      <c r="FD969" s="1"/>
      <c r="FE969" s="1"/>
      <c r="FF969" s="1"/>
      <c r="FG969" s="1"/>
      <c r="FH969" s="1"/>
      <c r="FI969" s="1"/>
      <c r="FJ969" s="1"/>
      <c r="FK969" s="1"/>
      <c r="FL969" s="1"/>
      <c r="FM969" s="1"/>
      <c r="FN969" s="1"/>
      <c r="FO969" s="1"/>
      <c r="FP969" s="1"/>
      <c r="FQ969" s="1"/>
      <c r="FR969" s="2"/>
      <c r="FS969" s="1"/>
    </row>
    <row r="970" spans="1:175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R970" s="1"/>
      <c r="S970" s="1"/>
      <c r="T970" s="1"/>
      <c r="U970" s="1"/>
      <c r="V970" s="1"/>
      <c r="Y970" s="1"/>
      <c r="Z970" s="2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U970" s="1"/>
      <c r="AW970" s="1"/>
      <c r="AX970" s="1"/>
      <c r="AY970" s="1"/>
      <c r="AZ970" s="1"/>
      <c r="BA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  <c r="CO970" s="1"/>
      <c r="CP970" s="1"/>
      <c r="CQ970" s="1"/>
      <c r="CR970" s="1"/>
      <c r="CS970" s="1"/>
      <c r="CT970" s="1"/>
      <c r="CU970" s="1"/>
      <c r="CV970" s="1"/>
      <c r="CW970" s="1"/>
      <c r="CX970" s="1"/>
      <c r="CY970" s="1"/>
      <c r="CZ970" s="1"/>
      <c r="DA970" s="1"/>
      <c r="DB970" s="1"/>
      <c r="DC970" s="1"/>
      <c r="DD970" s="1"/>
      <c r="DE970" s="1"/>
      <c r="DF970" s="1"/>
      <c r="DG970" s="1"/>
      <c r="DH970" s="1"/>
      <c r="DI970" s="1"/>
      <c r="DJ970" s="1"/>
      <c r="DK970" s="1"/>
      <c r="DL970" s="1"/>
      <c r="DM970" s="1"/>
      <c r="DN970" s="1"/>
      <c r="DO970" s="1"/>
      <c r="DP970" s="1"/>
      <c r="DQ970" s="1"/>
      <c r="DR970" s="1"/>
      <c r="DS970" s="1"/>
      <c r="DT970" s="1"/>
      <c r="DU970" s="1"/>
      <c r="DV970" s="1"/>
      <c r="DW970" s="1"/>
      <c r="DX970" s="1"/>
      <c r="DY970" s="1"/>
      <c r="DZ970" s="1"/>
      <c r="EA970" s="1"/>
      <c r="EB970" s="1"/>
      <c r="EC970" s="1"/>
      <c r="ED970" s="1"/>
      <c r="EE970" s="1"/>
      <c r="EF970" s="1"/>
      <c r="EG970" s="1"/>
      <c r="EH970" s="1"/>
      <c r="EI970" s="1"/>
      <c r="EJ970" s="1"/>
      <c r="EK970" s="1"/>
      <c r="EL970" s="1"/>
      <c r="EM970" s="1"/>
      <c r="EN970" s="1"/>
      <c r="EO970" s="1"/>
      <c r="EP970" s="1"/>
      <c r="EQ970" s="1"/>
      <c r="ER970" s="1"/>
      <c r="ES970" s="1"/>
      <c r="ET970" s="1"/>
      <c r="EU970" s="1"/>
      <c r="EV970" s="1"/>
      <c r="EW970" s="1"/>
      <c r="EX970" s="1"/>
      <c r="EY970" s="1"/>
      <c r="EZ970" s="1"/>
      <c r="FA970" s="1"/>
      <c r="FB970" s="1"/>
      <c r="FC970" s="1"/>
      <c r="FD970" s="1"/>
      <c r="FE970" s="1"/>
      <c r="FF970" s="1"/>
      <c r="FG970" s="1"/>
      <c r="FH970" s="1"/>
      <c r="FI970" s="1"/>
      <c r="FJ970" s="1"/>
      <c r="FK970" s="1"/>
      <c r="FL970" s="1"/>
      <c r="FM970" s="1"/>
      <c r="FN970" s="1"/>
      <c r="FO970" s="1"/>
      <c r="FP970" s="1"/>
      <c r="FQ970" s="1"/>
      <c r="FR970" s="2"/>
      <c r="FS970" s="1"/>
    </row>
    <row r="971" spans="1:175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R971" s="1"/>
      <c r="S971" s="1"/>
      <c r="T971" s="1"/>
      <c r="U971" s="1"/>
      <c r="V971" s="1"/>
      <c r="Y971" s="1"/>
      <c r="Z971" s="2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U971" s="1"/>
      <c r="AW971" s="1"/>
      <c r="AX971" s="1"/>
      <c r="AY971" s="1"/>
      <c r="AZ971" s="1"/>
      <c r="BA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  <c r="CO971" s="1"/>
      <c r="CP971" s="1"/>
      <c r="CQ971" s="1"/>
      <c r="CR971" s="1"/>
      <c r="CS971" s="1"/>
      <c r="CT971" s="1"/>
      <c r="CU971" s="1"/>
      <c r="CV971" s="1"/>
      <c r="CW971" s="1"/>
      <c r="CX971" s="1"/>
      <c r="CY971" s="1"/>
      <c r="CZ971" s="1"/>
      <c r="DA971" s="1"/>
      <c r="DB971" s="1"/>
      <c r="DC971" s="1"/>
      <c r="DD971" s="1"/>
      <c r="DE971" s="1"/>
      <c r="DF971" s="1"/>
      <c r="DG971" s="1"/>
      <c r="DH971" s="1"/>
      <c r="DI971" s="1"/>
      <c r="DJ971" s="1"/>
      <c r="DK971" s="1"/>
      <c r="DL971" s="1"/>
      <c r="DM971" s="1"/>
      <c r="DN971" s="1"/>
      <c r="DO971" s="1"/>
      <c r="DP971" s="1"/>
      <c r="DQ971" s="1"/>
      <c r="DR971" s="1"/>
      <c r="DS971" s="1"/>
      <c r="DT971" s="1"/>
      <c r="DU971" s="1"/>
      <c r="DV971" s="1"/>
      <c r="DW971" s="1"/>
      <c r="DX971" s="1"/>
      <c r="DY971" s="1"/>
      <c r="DZ971" s="1"/>
      <c r="EA971" s="1"/>
      <c r="EB971" s="1"/>
      <c r="EC971" s="1"/>
      <c r="ED971" s="1"/>
      <c r="EE971" s="1"/>
      <c r="EF971" s="1"/>
      <c r="EG971" s="1"/>
      <c r="EH971" s="1"/>
      <c r="EI971" s="1"/>
      <c r="EJ971" s="1"/>
      <c r="EK971" s="1"/>
      <c r="EL971" s="1"/>
      <c r="EM971" s="1"/>
      <c r="EN971" s="1"/>
      <c r="EO971" s="1"/>
      <c r="EP971" s="1"/>
      <c r="EQ971" s="1"/>
      <c r="ER971" s="1"/>
      <c r="ES971" s="1"/>
      <c r="ET971" s="1"/>
      <c r="EU971" s="1"/>
      <c r="EV971" s="1"/>
      <c r="EW971" s="1"/>
      <c r="EX971" s="1"/>
      <c r="EY971" s="1"/>
      <c r="EZ971" s="1"/>
      <c r="FA971" s="1"/>
      <c r="FB971" s="1"/>
      <c r="FC971" s="1"/>
      <c r="FD971" s="1"/>
      <c r="FE971" s="1"/>
      <c r="FF971" s="1"/>
      <c r="FG971" s="1"/>
      <c r="FH971" s="1"/>
      <c r="FI971" s="1"/>
      <c r="FJ971" s="1"/>
      <c r="FK971" s="1"/>
      <c r="FL971" s="1"/>
      <c r="FM971" s="1"/>
      <c r="FN971" s="1"/>
      <c r="FO971" s="1"/>
      <c r="FP971" s="1"/>
      <c r="FQ971" s="1"/>
      <c r="FR971" s="2"/>
      <c r="FS971" s="1"/>
    </row>
    <row r="972" spans="1:175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R972" s="1"/>
      <c r="S972" s="1"/>
      <c r="T972" s="1"/>
      <c r="U972" s="1"/>
      <c r="V972" s="1"/>
      <c r="Y972" s="1"/>
      <c r="Z972" s="2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U972" s="1"/>
      <c r="AW972" s="1"/>
      <c r="AX972" s="1"/>
      <c r="AY972" s="1"/>
      <c r="AZ972" s="1"/>
      <c r="BA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  <c r="CN972" s="1"/>
      <c r="CO972" s="1"/>
      <c r="CP972" s="1"/>
      <c r="CQ972" s="1"/>
      <c r="CR972" s="1"/>
      <c r="CS972" s="1"/>
      <c r="CT972" s="1"/>
      <c r="CU972" s="1"/>
      <c r="CV972" s="1"/>
      <c r="CW972" s="1"/>
      <c r="CX972" s="1"/>
      <c r="CY972" s="1"/>
      <c r="CZ972" s="1"/>
      <c r="DA972" s="1"/>
      <c r="DB972" s="1"/>
      <c r="DC972" s="1"/>
      <c r="DD972" s="1"/>
      <c r="DE972" s="1"/>
      <c r="DF972" s="1"/>
      <c r="DG972" s="1"/>
      <c r="DH972" s="1"/>
      <c r="DI972" s="1"/>
      <c r="DJ972" s="1"/>
      <c r="DK972" s="1"/>
      <c r="DL972" s="1"/>
      <c r="DM972" s="1"/>
      <c r="DN972" s="1"/>
      <c r="DO972" s="1"/>
      <c r="DP972" s="1"/>
      <c r="DQ972" s="1"/>
      <c r="DR972" s="1"/>
      <c r="DS972" s="1"/>
      <c r="DT972" s="1"/>
      <c r="DU972" s="1"/>
      <c r="DV972" s="1"/>
      <c r="DW972" s="1"/>
      <c r="DX972" s="1"/>
      <c r="DY972" s="1"/>
      <c r="DZ972" s="1"/>
      <c r="EA972" s="1"/>
      <c r="EB972" s="1"/>
      <c r="EC972" s="1"/>
      <c r="ED972" s="1"/>
      <c r="EE972" s="1"/>
      <c r="EF972" s="1"/>
      <c r="EG972" s="1"/>
      <c r="EH972" s="1"/>
      <c r="EI972" s="1"/>
      <c r="EJ972" s="1"/>
      <c r="EK972" s="1"/>
      <c r="EL972" s="1"/>
      <c r="EM972" s="1"/>
      <c r="EN972" s="1"/>
      <c r="EO972" s="1"/>
      <c r="EP972" s="1"/>
      <c r="EQ972" s="1"/>
      <c r="ER972" s="1"/>
      <c r="ES972" s="1"/>
      <c r="ET972" s="1"/>
      <c r="EU972" s="1"/>
      <c r="EV972" s="1"/>
      <c r="EW972" s="1"/>
      <c r="EX972" s="1"/>
      <c r="EY972" s="1"/>
      <c r="EZ972" s="1"/>
      <c r="FA972" s="1"/>
      <c r="FB972" s="1"/>
      <c r="FC972" s="1"/>
      <c r="FD972" s="1"/>
      <c r="FE972" s="1"/>
      <c r="FF972" s="1"/>
      <c r="FG972" s="1"/>
      <c r="FH972" s="1"/>
      <c r="FI972" s="1"/>
      <c r="FJ972" s="1"/>
      <c r="FK972" s="1"/>
      <c r="FL972" s="1"/>
      <c r="FM972" s="1"/>
      <c r="FN972" s="1"/>
      <c r="FO972" s="1"/>
      <c r="FP972" s="1"/>
      <c r="FQ972" s="1"/>
      <c r="FR972" s="2"/>
      <c r="FS972" s="1"/>
    </row>
    <row r="973" spans="1:175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R973" s="1"/>
      <c r="S973" s="1"/>
      <c r="T973" s="1"/>
      <c r="U973" s="1"/>
      <c r="V973" s="1"/>
      <c r="Y973" s="1"/>
      <c r="Z973" s="2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U973" s="1"/>
      <c r="AW973" s="1"/>
      <c r="AX973" s="1"/>
      <c r="AY973" s="1"/>
      <c r="AZ973" s="1"/>
      <c r="BA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  <c r="CO973" s="1"/>
      <c r="CP973" s="1"/>
      <c r="CQ973" s="1"/>
      <c r="CR973" s="1"/>
      <c r="CS973" s="1"/>
      <c r="CT973" s="1"/>
      <c r="CU973" s="1"/>
      <c r="CV973" s="1"/>
      <c r="CW973" s="1"/>
      <c r="CX973" s="1"/>
      <c r="CY973" s="1"/>
      <c r="CZ973" s="1"/>
      <c r="DA973" s="1"/>
      <c r="DB973" s="1"/>
      <c r="DC973" s="1"/>
      <c r="DD973" s="1"/>
      <c r="DE973" s="1"/>
      <c r="DF973" s="1"/>
      <c r="DG973" s="1"/>
      <c r="DH973" s="1"/>
      <c r="DI973" s="1"/>
      <c r="DJ973" s="1"/>
      <c r="DK973" s="1"/>
      <c r="DL973" s="1"/>
      <c r="DM973" s="1"/>
      <c r="DN973" s="1"/>
      <c r="DO973" s="1"/>
      <c r="DP973" s="1"/>
      <c r="DQ973" s="1"/>
      <c r="DR973" s="1"/>
      <c r="DS973" s="1"/>
      <c r="DT973" s="1"/>
      <c r="DU973" s="1"/>
      <c r="DV973" s="1"/>
      <c r="DW973" s="1"/>
      <c r="DX973" s="1"/>
      <c r="DY973" s="1"/>
      <c r="DZ973" s="1"/>
      <c r="EA973" s="1"/>
      <c r="EB973" s="1"/>
      <c r="EC973" s="1"/>
      <c r="ED973" s="1"/>
      <c r="EE973" s="1"/>
      <c r="EF973" s="1"/>
      <c r="EG973" s="1"/>
      <c r="EH973" s="1"/>
      <c r="EI973" s="1"/>
      <c r="EJ973" s="1"/>
      <c r="EK973" s="1"/>
      <c r="EL973" s="1"/>
      <c r="EM973" s="1"/>
      <c r="EN973" s="1"/>
      <c r="EO973" s="1"/>
      <c r="EP973" s="1"/>
      <c r="EQ973" s="1"/>
      <c r="ER973" s="1"/>
      <c r="ES973" s="1"/>
      <c r="ET973" s="1"/>
      <c r="EU973" s="1"/>
      <c r="EV973" s="1"/>
      <c r="EW973" s="1"/>
      <c r="EX973" s="1"/>
      <c r="EY973" s="1"/>
      <c r="EZ973" s="1"/>
      <c r="FA973" s="1"/>
      <c r="FB973" s="1"/>
      <c r="FC973" s="1"/>
      <c r="FD973" s="1"/>
      <c r="FE973" s="1"/>
      <c r="FF973" s="1"/>
      <c r="FG973" s="1"/>
      <c r="FH973" s="1"/>
      <c r="FI973" s="1"/>
      <c r="FJ973" s="1"/>
      <c r="FK973" s="1"/>
      <c r="FL973" s="1"/>
      <c r="FM973" s="1"/>
      <c r="FN973" s="1"/>
      <c r="FO973" s="1"/>
      <c r="FP973" s="1"/>
      <c r="FQ973" s="1"/>
      <c r="FR973" s="2"/>
      <c r="FS973" s="1"/>
    </row>
    <row r="974" spans="1:175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R974" s="1"/>
      <c r="S974" s="1"/>
      <c r="T974" s="1"/>
      <c r="U974" s="1"/>
      <c r="V974" s="1"/>
      <c r="Y974" s="1"/>
      <c r="Z974" s="2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U974" s="1"/>
      <c r="AW974" s="1"/>
      <c r="AX974" s="1"/>
      <c r="AY974" s="1"/>
      <c r="AZ974" s="1"/>
      <c r="BA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  <c r="CO974" s="1"/>
      <c r="CP974" s="1"/>
      <c r="CQ974" s="1"/>
      <c r="CR974" s="1"/>
      <c r="CS974" s="1"/>
      <c r="CT974" s="1"/>
      <c r="CU974" s="1"/>
      <c r="CV974" s="1"/>
      <c r="CW974" s="1"/>
      <c r="CX974" s="1"/>
      <c r="CY974" s="1"/>
      <c r="CZ974" s="1"/>
      <c r="DA974" s="1"/>
      <c r="DB974" s="1"/>
      <c r="DC974" s="1"/>
      <c r="DD974" s="1"/>
      <c r="DE974" s="1"/>
      <c r="DF974" s="1"/>
      <c r="DG974" s="1"/>
      <c r="DH974" s="1"/>
      <c r="DI974" s="1"/>
      <c r="DJ974" s="1"/>
      <c r="DK974" s="1"/>
      <c r="DL974" s="1"/>
      <c r="DM974" s="1"/>
      <c r="DN974" s="1"/>
      <c r="DO974" s="1"/>
      <c r="DP974" s="1"/>
      <c r="DQ974" s="1"/>
      <c r="DR974" s="1"/>
      <c r="DS974" s="1"/>
      <c r="DT974" s="1"/>
      <c r="DU974" s="1"/>
      <c r="DV974" s="1"/>
      <c r="DW974" s="1"/>
      <c r="DX974" s="1"/>
      <c r="DY974" s="1"/>
      <c r="DZ974" s="1"/>
      <c r="EA974" s="1"/>
      <c r="EB974" s="1"/>
      <c r="EC974" s="1"/>
      <c r="ED974" s="1"/>
      <c r="EE974" s="1"/>
      <c r="EF974" s="1"/>
      <c r="EG974" s="1"/>
      <c r="EH974" s="1"/>
      <c r="EI974" s="1"/>
      <c r="EJ974" s="1"/>
      <c r="EK974" s="1"/>
      <c r="EL974" s="1"/>
      <c r="EM974" s="1"/>
      <c r="EN974" s="1"/>
      <c r="EO974" s="1"/>
      <c r="EP974" s="1"/>
      <c r="EQ974" s="1"/>
      <c r="ER974" s="1"/>
      <c r="ES974" s="1"/>
      <c r="ET974" s="1"/>
      <c r="EU974" s="1"/>
      <c r="EV974" s="1"/>
      <c r="EW974" s="1"/>
      <c r="EX974" s="1"/>
      <c r="EY974" s="1"/>
      <c r="EZ974" s="1"/>
      <c r="FA974" s="1"/>
      <c r="FB974" s="1"/>
      <c r="FC974" s="1"/>
      <c r="FD974" s="1"/>
      <c r="FE974" s="1"/>
      <c r="FF974" s="1"/>
      <c r="FG974" s="1"/>
      <c r="FH974" s="1"/>
      <c r="FI974" s="1"/>
      <c r="FJ974" s="1"/>
      <c r="FK974" s="1"/>
      <c r="FL974" s="1"/>
      <c r="FM974" s="1"/>
      <c r="FN974" s="1"/>
      <c r="FO974" s="1"/>
      <c r="FP974" s="1"/>
      <c r="FQ974" s="1"/>
      <c r="FR974" s="2"/>
      <c r="FS974" s="1"/>
    </row>
    <row r="975" spans="1:175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R975" s="1"/>
      <c r="S975" s="1"/>
      <c r="T975" s="1"/>
      <c r="U975" s="1"/>
      <c r="V975" s="1"/>
      <c r="Y975" s="1"/>
      <c r="Z975" s="2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U975" s="1"/>
      <c r="AW975" s="1"/>
      <c r="AX975" s="1"/>
      <c r="AY975" s="1"/>
      <c r="AZ975" s="1"/>
      <c r="BA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  <c r="CN975" s="1"/>
      <c r="CO975" s="1"/>
      <c r="CP975" s="1"/>
      <c r="CQ975" s="1"/>
      <c r="CR975" s="1"/>
      <c r="CS975" s="1"/>
      <c r="CT975" s="1"/>
      <c r="CU975" s="1"/>
      <c r="CV975" s="1"/>
      <c r="CW975" s="1"/>
      <c r="CX975" s="1"/>
      <c r="CY975" s="1"/>
      <c r="CZ975" s="1"/>
      <c r="DA975" s="1"/>
      <c r="DB975" s="1"/>
      <c r="DC975" s="1"/>
      <c r="DD975" s="1"/>
      <c r="DE975" s="1"/>
      <c r="DF975" s="1"/>
      <c r="DG975" s="1"/>
      <c r="DH975" s="1"/>
      <c r="DI975" s="1"/>
      <c r="DJ975" s="1"/>
      <c r="DK975" s="1"/>
      <c r="DL975" s="1"/>
      <c r="DM975" s="1"/>
      <c r="DN975" s="1"/>
      <c r="DO975" s="1"/>
      <c r="DP975" s="1"/>
      <c r="DQ975" s="1"/>
      <c r="DR975" s="1"/>
      <c r="DS975" s="1"/>
      <c r="DT975" s="1"/>
      <c r="DU975" s="1"/>
      <c r="DV975" s="1"/>
      <c r="DW975" s="1"/>
      <c r="DX975" s="1"/>
      <c r="DY975" s="1"/>
      <c r="DZ975" s="1"/>
      <c r="EA975" s="1"/>
      <c r="EB975" s="1"/>
      <c r="EC975" s="1"/>
      <c r="ED975" s="1"/>
      <c r="EE975" s="1"/>
      <c r="EF975" s="1"/>
      <c r="EG975" s="1"/>
      <c r="EH975" s="1"/>
      <c r="EI975" s="1"/>
      <c r="EJ975" s="1"/>
      <c r="EK975" s="1"/>
      <c r="EL975" s="1"/>
      <c r="EM975" s="1"/>
      <c r="EN975" s="1"/>
      <c r="EO975" s="1"/>
      <c r="EP975" s="1"/>
      <c r="EQ975" s="1"/>
      <c r="ER975" s="1"/>
      <c r="ES975" s="1"/>
      <c r="ET975" s="1"/>
      <c r="EU975" s="1"/>
      <c r="EV975" s="1"/>
      <c r="EW975" s="1"/>
      <c r="EX975" s="1"/>
      <c r="EY975" s="1"/>
      <c r="EZ975" s="1"/>
      <c r="FA975" s="1"/>
      <c r="FB975" s="1"/>
      <c r="FC975" s="1"/>
      <c r="FD975" s="1"/>
      <c r="FE975" s="1"/>
      <c r="FF975" s="1"/>
      <c r="FG975" s="1"/>
      <c r="FH975" s="1"/>
      <c r="FI975" s="1"/>
      <c r="FJ975" s="1"/>
      <c r="FK975" s="1"/>
      <c r="FL975" s="1"/>
      <c r="FM975" s="1"/>
      <c r="FN975" s="1"/>
      <c r="FO975" s="1"/>
      <c r="FP975" s="1"/>
      <c r="FQ975" s="1"/>
      <c r="FR975" s="2"/>
      <c r="FS975" s="1"/>
    </row>
    <row r="976" spans="1:175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R976" s="1"/>
      <c r="S976" s="1"/>
      <c r="T976" s="1"/>
      <c r="U976" s="1"/>
      <c r="V976" s="1"/>
      <c r="Y976" s="1"/>
      <c r="Z976" s="2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U976" s="1"/>
      <c r="AW976" s="1"/>
      <c r="AX976" s="1"/>
      <c r="AY976" s="1"/>
      <c r="AZ976" s="1"/>
      <c r="BA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"/>
      <c r="CN976" s="1"/>
      <c r="CO976" s="1"/>
      <c r="CP976" s="1"/>
      <c r="CQ976" s="1"/>
      <c r="CR976" s="1"/>
      <c r="CS976" s="1"/>
      <c r="CT976" s="1"/>
      <c r="CU976" s="1"/>
      <c r="CV976" s="1"/>
      <c r="CW976" s="1"/>
      <c r="CX976" s="1"/>
      <c r="CY976" s="1"/>
      <c r="CZ976" s="1"/>
      <c r="DA976" s="1"/>
      <c r="DB976" s="1"/>
      <c r="DC976" s="1"/>
      <c r="DD976" s="1"/>
      <c r="DE976" s="1"/>
      <c r="DF976" s="1"/>
      <c r="DG976" s="1"/>
      <c r="DH976" s="1"/>
      <c r="DI976" s="1"/>
      <c r="DJ976" s="1"/>
      <c r="DK976" s="1"/>
      <c r="DL976" s="1"/>
      <c r="DM976" s="1"/>
      <c r="DN976" s="1"/>
      <c r="DO976" s="1"/>
      <c r="DP976" s="1"/>
      <c r="DQ976" s="1"/>
      <c r="DR976" s="1"/>
      <c r="DS976" s="1"/>
      <c r="DT976" s="1"/>
      <c r="DU976" s="1"/>
      <c r="DV976" s="1"/>
      <c r="DW976" s="1"/>
      <c r="DX976" s="1"/>
      <c r="DY976" s="1"/>
      <c r="DZ976" s="1"/>
      <c r="EA976" s="1"/>
      <c r="EB976" s="1"/>
      <c r="EC976" s="1"/>
      <c r="ED976" s="1"/>
      <c r="EE976" s="1"/>
      <c r="EF976" s="1"/>
      <c r="EG976" s="1"/>
      <c r="EH976" s="1"/>
      <c r="EI976" s="1"/>
      <c r="EJ976" s="1"/>
      <c r="EK976" s="1"/>
      <c r="EL976" s="1"/>
      <c r="EM976" s="1"/>
      <c r="EN976" s="1"/>
      <c r="EO976" s="1"/>
      <c r="EP976" s="1"/>
      <c r="EQ976" s="1"/>
      <c r="ER976" s="1"/>
      <c r="ES976" s="1"/>
      <c r="ET976" s="1"/>
      <c r="EU976" s="1"/>
      <c r="EV976" s="1"/>
      <c r="EW976" s="1"/>
      <c r="EX976" s="1"/>
      <c r="EY976" s="1"/>
      <c r="EZ976" s="1"/>
      <c r="FA976" s="1"/>
      <c r="FB976" s="1"/>
      <c r="FC976" s="1"/>
      <c r="FD976" s="1"/>
      <c r="FE976" s="1"/>
      <c r="FF976" s="1"/>
      <c r="FG976" s="1"/>
      <c r="FH976" s="1"/>
      <c r="FI976" s="1"/>
      <c r="FJ976" s="1"/>
      <c r="FK976" s="1"/>
      <c r="FL976" s="1"/>
      <c r="FM976" s="1"/>
      <c r="FN976" s="1"/>
      <c r="FO976" s="1"/>
      <c r="FP976" s="1"/>
      <c r="FQ976" s="1"/>
      <c r="FR976" s="2"/>
      <c r="FS976" s="1"/>
    </row>
    <row r="977" spans="1:175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R977" s="1"/>
      <c r="S977" s="1"/>
      <c r="T977" s="1"/>
      <c r="U977" s="1"/>
      <c r="V977" s="1"/>
      <c r="Y977" s="1"/>
      <c r="Z977" s="2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U977" s="1"/>
      <c r="AW977" s="1"/>
      <c r="AX977" s="1"/>
      <c r="AY977" s="1"/>
      <c r="AZ977" s="1"/>
      <c r="BA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"/>
      <c r="CN977" s="1"/>
      <c r="CO977" s="1"/>
      <c r="CP977" s="1"/>
      <c r="CQ977" s="1"/>
      <c r="CR977" s="1"/>
      <c r="CS977" s="1"/>
      <c r="CT977" s="1"/>
      <c r="CU977" s="1"/>
      <c r="CV977" s="1"/>
      <c r="CW977" s="1"/>
      <c r="CX977" s="1"/>
      <c r="CY977" s="1"/>
      <c r="CZ977" s="1"/>
      <c r="DA977" s="1"/>
      <c r="DB977" s="1"/>
      <c r="DC977" s="1"/>
      <c r="DD977" s="1"/>
      <c r="DE977" s="1"/>
      <c r="DF977" s="1"/>
      <c r="DG977" s="1"/>
      <c r="DH977" s="1"/>
      <c r="DI977" s="1"/>
      <c r="DJ977" s="1"/>
      <c r="DK977" s="1"/>
      <c r="DL977" s="1"/>
      <c r="DM977" s="1"/>
      <c r="DN977" s="1"/>
      <c r="DO977" s="1"/>
      <c r="DP977" s="1"/>
      <c r="DQ977" s="1"/>
      <c r="DR977" s="1"/>
      <c r="DS977" s="1"/>
      <c r="DT977" s="1"/>
      <c r="DU977" s="1"/>
      <c r="DV977" s="1"/>
      <c r="DW977" s="1"/>
      <c r="DX977" s="1"/>
      <c r="DY977" s="1"/>
      <c r="DZ977" s="1"/>
      <c r="EA977" s="1"/>
      <c r="EB977" s="1"/>
      <c r="EC977" s="1"/>
      <c r="ED977" s="1"/>
      <c r="EE977" s="1"/>
      <c r="EF977" s="1"/>
      <c r="EG977" s="1"/>
      <c r="EH977" s="1"/>
      <c r="EI977" s="1"/>
      <c r="EJ977" s="1"/>
      <c r="EK977" s="1"/>
      <c r="EL977" s="1"/>
      <c r="EM977" s="1"/>
      <c r="EN977" s="1"/>
      <c r="EO977" s="1"/>
      <c r="EP977" s="1"/>
      <c r="EQ977" s="1"/>
      <c r="ER977" s="1"/>
      <c r="ES977" s="1"/>
      <c r="ET977" s="1"/>
      <c r="EU977" s="1"/>
      <c r="EV977" s="1"/>
      <c r="EW977" s="1"/>
      <c r="EX977" s="1"/>
      <c r="EY977" s="1"/>
      <c r="EZ977" s="1"/>
      <c r="FA977" s="1"/>
      <c r="FB977" s="1"/>
      <c r="FC977" s="1"/>
      <c r="FD977" s="1"/>
      <c r="FE977" s="1"/>
      <c r="FF977" s="1"/>
      <c r="FG977" s="1"/>
      <c r="FH977" s="1"/>
      <c r="FI977" s="1"/>
      <c r="FJ977" s="1"/>
      <c r="FK977" s="1"/>
      <c r="FL977" s="1"/>
      <c r="FM977" s="1"/>
      <c r="FN977" s="1"/>
      <c r="FO977" s="1"/>
      <c r="FP977" s="1"/>
      <c r="FQ977" s="1"/>
      <c r="FR977" s="2"/>
      <c r="FS977" s="1"/>
    </row>
    <row r="978" spans="1:175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R978" s="1"/>
      <c r="S978" s="1"/>
      <c r="T978" s="1"/>
      <c r="U978" s="1"/>
      <c r="V978" s="1"/>
      <c r="Y978" s="1"/>
      <c r="Z978" s="2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U978" s="1"/>
      <c r="AW978" s="1"/>
      <c r="AX978" s="1"/>
      <c r="AY978" s="1"/>
      <c r="AZ978" s="1"/>
      <c r="BA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/>
      <c r="CO978" s="1"/>
      <c r="CP978" s="1"/>
      <c r="CQ978" s="1"/>
      <c r="CR978" s="1"/>
      <c r="CS978" s="1"/>
      <c r="CT978" s="1"/>
      <c r="CU978" s="1"/>
      <c r="CV978" s="1"/>
      <c r="CW978" s="1"/>
      <c r="CX978" s="1"/>
      <c r="CY978" s="1"/>
      <c r="CZ978" s="1"/>
      <c r="DA978" s="1"/>
      <c r="DB978" s="1"/>
      <c r="DC978" s="1"/>
      <c r="DD978" s="1"/>
      <c r="DE978" s="1"/>
      <c r="DF978" s="1"/>
      <c r="DG978" s="1"/>
      <c r="DH978" s="1"/>
      <c r="DI978" s="1"/>
      <c r="DJ978" s="1"/>
      <c r="DK978" s="1"/>
      <c r="DL978" s="1"/>
      <c r="DM978" s="1"/>
      <c r="DN978" s="1"/>
      <c r="DO978" s="1"/>
      <c r="DP978" s="1"/>
      <c r="DQ978" s="1"/>
      <c r="DR978" s="1"/>
      <c r="DS978" s="1"/>
      <c r="DT978" s="1"/>
      <c r="DU978" s="1"/>
      <c r="DV978" s="1"/>
      <c r="DW978" s="1"/>
      <c r="DX978" s="1"/>
      <c r="DY978" s="1"/>
      <c r="DZ978" s="1"/>
      <c r="EA978" s="1"/>
      <c r="EB978" s="1"/>
      <c r="EC978" s="1"/>
      <c r="ED978" s="1"/>
      <c r="EE978" s="1"/>
      <c r="EF978" s="1"/>
      <c r="EG978" s="1"/>
      <c r="EH978" s="1"/>
      <c r="EI978" s="1"/>
      <c r="EJ978" s="1"/>
      <c r="EK978" s="1"/>
      <c r="EL978" s="1"/>
      <c r="EM978" s="1"/>
      <c r="EN978" s="1"/>
      <c r="EO978" s="1"/>
      <c r="EP978" s="1"/>
      <c r="EQ978" s="1"/>
      <c r="ER978" s="1"/>
      <c r="ES978" s="1"/>
      <c r="ET978" s="1"/>
      <c r="EU978" s="1"/>
      <c r="EV978" s="1"/>
      <c r="EW978" s="1"/>
      <c r="EX978" s="1"/>
      <c r="EY978" s="1"/>
      <c r="EZ978" s="1"/>
      <c r="FA978" s="1"/>
      <c r="FB978" s="1"/>
      <c r="FC978" s="1"/>
      <c r="FD978" s="1"/>
      <c r="FE978" s="1"/>
      <c r="FF978" s="1"/>
      <c r="FG978" s="1"/>
      <c r="FH978" s="1"/>
      <c r="FI978" s="1"/>
      <c r="FJ978" s="1"/>
      <c r="FK978" s="1"/>
      <c r="FL978" s="1"/>
      <c r="FM978" s="1"/>
      <c r="FN978" s="1"/>
      <c r="FO978" s="1"/>
      <c r="FP978" s="1"/>
      <c r="FQ978" s="1"/>
      <c r="FR978" s="2"/>
      <c r="FS978" s="1"/>
    </row>
    <row r="979" spans="1:175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R979" s="1"/>
      <c r="S979" s="1"/>
      <c r="T979" s="1"/>
      <c r="U979" s="1"/>
      <c r="V979" s="1"/>
      <c r="Y979" s="1"/>
      <c r="Z979" s="2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U979" s="1"/>
      <c r="AW979" s="1"/>
      <c r="AX979" s="1"/>
      <c r="AY979" s="1"/>
      <c r="AZ979" s="1"/>
      <c r="BA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  <c r="CN979" s="1"/>
      <c r="CO979" s="1"/>
      <c r="CP979" s="1"/>
      <c r="CQ979" s="1"/>
      <c r="CR979" s="1"/>
      <c r="CS979" s="1"/>
      <c r="CT979" s="1"/>
      <c r="CU979" s="1"/>
      <c r="CV979" s="1"/>
      <c r="CW979" s="1"/>
      <c r="CX979" s="1"/>
      <c r="CY979" s="1"/>
      <c r="CZ979" s="1"/>
      <c r="DA979" s="1"/>
      <c r="DB979" s="1"/>
      <c r="DC979" s="1"/>
      <c r="DD979" s="1"/>
      <c r="DE979" s="1"/>
      <c r="DF979" s="1"/>
      <c r="DG979" s="1"/>
      <c r="DH979" s="1"/>
      <c r="DI979" s="1"/>
      <c r="DJ979" s="1"/>
      <c r="DK979" s="1"/>
      <c r="DL979" s="1"/>
      <c r="DM979" s="1"/>
      <c r="DN979" s="1"/>
      <c r="DO979" s="1"/>
      <c r="DP979" s="1"/>
      <c r="DQ979" s="1"/>
      <c r="DR979" s="1"/>
      <c r="DS979" s="1"/>
      <c r="DT979" s="1"/>
      <c r="DU979" s="1"/>
      <c r="DV979" s="1"/>
      <c r="DW979" s="1"/>
      <c r="DX979" s="1"/>
      <c r="DY979" s="1"/>
      <c r="DZ979" s="1"/>
      <c r="EA979" s="1"/>
      <c r="EB979" s="1"/>
      <c r="EC979" s="1"/>
      <c r="ED979" s="1"/>
      <c r="EE979" s="1"/>
      <c r="EF979" s="1"/>
      <c r="EG979" s="1"/>
      <c r="EH979" s="1"/>
      <c r="EI979" s="1"/>
      <c r="EJ979" s="1"/>
      <c r="EK979" s="1"/>
      <c r="EL979" s="1"/>
      <c r="EM979" s="1"/>
      <c r="EN979" s="1"/>
      <c r="EO979" s="1"/>
      <c r="EP979" s="1"/>
      <c r="EQ979" s="1"/>
      <c r="ER979" s="1"/>
      <c r="ES979" s="1"/>
      <c r="ET979" s="1"/>
      <c r="EU979" s="1"/>
      <c r="EV979" s="1"/>
      <c r="EW979" s="1"/>
      <c r="EX979" s="1"/>
      <c r="EY979" s="1"/>
      <c r="EZ979" s="1"/>
      <c r="FA979" s="1"/>
      <c r="FB979" s="1"/>
      <c r="FC979" s="1"/>
      <c r="FD979" s="1"/>
      <c r="FE979" s="1"/>
      <c r="FF979" s="1"/>
      <c r="FG979" s="1"/>
      <c r="FH979" s="1"/>
      <c r="FI979" s="1"/>
      <c r="FJ979" s="1"/>
      <c r="FK979" s="1"/>
      <c r="FL979" s="1"/>
      <c r="FM979" s="1"/>
      <c r="FN979" s="1"/>
      <c r="FO979" s="1"/>
      <c r="FP979" s="1"/>
      <c r="FQ979" s="1"/>
      <c r="FR979" s="2"/>
      <c r="FS979" s="1"/>
    </row>
    <row r="980" spans="1:175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R980" s="1"/>
      <c r="S980" s="1"/>
      <c r="T980" s="1"/>
      <c r="U980" s="1"/>
      <c r="V980" s="1"/>
      <c r="Y980" s="1"/>
      <c r="Z980" s="2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U980" s="1"/>
      <c r="AW980" s="1"/>
      <c r="AX980" s="1"/>
      <c r="AY980" s="1"/>
      <c r="AZ980" s="1"/>
      <c r="BA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"/>
      <c r="CN980" s="1"/>
      <c r="CO980" s="1"/>
      <c r="CP980" s="1"/>
      <c r="CQ980" s="1"/>
      <c r="CR980" s="1"/>
      <c r="CS980" s="1"/>
      <c r="CT980" s="1"/>
      <c r="CU980" s="1"/>
      <c r="CV980" s="1"/>
      <c r="CW980" s="1"/>
      <c r="CX980" s="1"/>
      <c r="CY980" s="1"/>
      <c r="CZ980" s="1"/>
      <c r="DA980" s="1"/>
      <c r="DB980" s="1"/>
      <c r="DC980" s="1"/>
      <c r="DD980" s="1"/>
      <c r="DE980" s="1"/>
      <c r="DF980" s="1"/>
      <c r="DG980" s="1"/>
      <c r="DH980" s="1"/>
      <c r="DI980" s="1"/>
      <c r="DJ980" s="1"/>
      <c r="DK980" s="1"/>
      <c r="DL980" s="1"/>
      <c r="DM980" s="1"/>
      <c r="DN980" s="1"/>
      <c r="DO980" s="1"/>
      <c r="DP980" s="1"/>
      <c r="DQ980" s="1"/>
      <c r="DR980" s="1"/>
      <c r="DS980" s="1"/>
      <c r="DT980" s="1"/>
      <c r="DU980" s="1"/>
      <c r="DV980" s="1"/>
      <c r="DW980" s="1"/>
      <c r="DX980" s="1"/>
      <c r="DY980" s="1"/>
      <c r="DZ980" s="1"/>
      <c r="EA980" s="1"/>
      <c r="EB980" s="1"/>
      <c r="EC980" s="1"/>
      <c r="ED980" s="1"/>
      <c r="EE980" s="1"/>
      <c r="EF980" s="1"/>
      <c r="EG980" s="1"/>
      <c r="EH980" s="1"/>
      <c r="EI980" s="1"/>
      <c r="EJ980" s="1"/>
      <c r="EK980" s="1"/>
      <c r="EL980" s="1"/>
      <c r="EM980" s="1"/>
      <c r="EN980" s="1"/>
      <c r="EO980" s="1"/>
      <c r="EP980" s="1"/>
      <c r="EQ980" s="1"/>
      <c r="ER980" s="1"/>
      <c r="ES980" s="1"/>
      <c r="ET980" s="1"/>
      <c r="EU980" s="1"/>
      <c r="EV980" s="1"/>
      <c r="EW980" s="1"/>
      <c r="EX980" s="1"/>
      <c r="EY980" s="1"/>
      <c r="EZ980" s="1"/>
      <c r="FA980" s="1"/>
      <c r="FB980" s="1"/>
      <c r="FC980" s="1"/>
      <c r="FD980" s="1"/>
      <c r="FE980" s="1"/>
      <c r="FF980" s="1"/>
      <c r="FG980" s="1"/>
      <c r="FH980" s="1"/>
      <c r="FI980" s="1"/>
      <c r="FJ980" s="1"/>
      <c r="FK980" s="1"/>
      <c r="FL980" s="1"/>
      <c r="FM980" s="1"/>
      <c r="FN980" s="1"/>
      <c r="FO980" s="1"/>
      <c r="FP980" s="1"/>
      <c r="FQ980" s="1"/>
      <c r="FR980" s="2"/>
      <c r="FS980" s="1"/>
    </row>
    <row r="981" spans="1:175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R981" s="1"/>
      <c r="S981" s="1"/>
      <c r="T981" s="1"/>
      <c r="U981" s="1"/>
      <c r="V981" s="1"/>
      <c r="Y981" s="1"/>
      <c r="Z981" s="2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U981" s="1"/>
      <c r="AW981" s="1"/>
      <c r="AX981" s="1"/>
      <c r="AY981" s="1"/>
      <c r="AZ981" s="1"/>
      <c r="BA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  <c r="CM981" s="1"/>
      <c r="CN981" s="1"/>
      <c r="CO981" s="1"/>
      <c r="CP981" s="1"/>
      <c r="CQ981" s="1"/>
      <c r="CR981" s="1"/>
      <c r="CS981" s="1"/>
      <c r="CT981" s="1"/>
      <c r="CU981" s="1"/>
      <c r="CV981" s="1"/>
      <c r="CW981" s="1"/>
      <c r="CX981" s="1"/>
      <c r="CY981" s="1"/>
      <c r="CZ981" s="1"/>
      <c r="DA981" s="1"/>
      <c r="DB981" s="1"/>
      <c r="DC981" s="1"/>
      <c r="DD981" s="1"/>
      <c r="DE981" s="1"/>
      <c r="DF981" s="1"/>
      <c r="DG981" s="1"/>
      <c r="DH981" s="1"/>
      <c r="DI981" s="1"/>
      <c r="DJ981" s="1"/>
      <c r="DK981" s="1"/>
      <c r="DL981" s="1"/>
      <c r="DM981" s="1"/>
      <c r="DN981" s="1"/>
      <c r="DO981" s="1"/>
      <c r="DP981" s="1"/>
      <c r="DQ981" s="1"/>
      <c r="DR981" s="1"/>
      <c r="DS981" s="1"/>
      <c r="DT981" s="1"/>
      <c r="DU981" s="1"/>
      <c r="DV981" s="1"/>
      <c r="DW981" s="1"/>
      <c r="DX981" s="1"/>
      <c r="DY981" s="1"/>
      <c r="DZ981" s="1"/>
      <c r="EA981" s="1"/>
      <c r="EB981" s="1"/>
      <c r="EC981" s="1"/>
      <c r="ED981" s="1"/>
      <c r="EE981" s="1"/>
      <c r="EF981" s="1"/>
      <c r="EG981" s="1"/>
      <c r="EH981" s="1"/>
      <c r="EI981" s="1"/>
      <c r="EJ981" s="1"/>
      <c r="EK981" s="1"/>
      <c r="EL981" s="1"/>
      <c r="EM981" s="1"/>
      <c r="EN981" s="1"/>
      <c r="EO981" s="1"/>
      <c r="EP981" s="1"/>
      <c r="EQ981" s="1"/>
      <c r="ER981" s="1"/>
      <c r="ES981" s="1"/>
      <c r="ET981" s="1"/>
      <c r="EU981" s="1"/>
      <c r="EV981" s="1"/>
      <c r="EW981" s="1"/>
      <c r="EX981" s="1"/>
      <c r="EY981" s="1"/>
      <c r="EZ981" s="1"/>
      <c r="FA981" s="1"/>
      <c r="FB981" s="1"/>
      <c r="FC981" s="1"/>
      <c r="FD981" s="1"/>
      <c r="FE981" s="1"/>
      <c r="FF981" s="1"/>
      <c r="FG981" s="1"/>
      <c r="FH981" s="1"/>
      <c r="FI981" s="1"/>
      <c r="FJ981" s="1"/>
      <c r="FK981" s="1"/>
      <c r="FL981" s="1"/>
      <c r="FM981" s="1"/>
      <c r="FN981" s="1"/>
      <c r="FO981" s="1"/>
      <c r="FP981" s="1"/>
      <c r="FQ981" s="1"/>
      <c r="FR981" s="2"/>
      <c r="FS981" s="1"/>
    </row>
    <row r="982" spans="1:175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R982" s="1"/>
      <c r="S982" s="1"/>
      <c r="T982" s="1"/>
      <c r="U982" s="1"/>
      <c r="V982" s="1"/>
      <c r="Y982" s="1"/>
      <c r="Z982" s="2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U982" s="1"/>
      <c r="AW982" s="1"/>
      <c r="AX982" s="1"/>
      <c r="AY982" s="1"/>
      <c r="AZ982" s="1"/>
      <c r="BA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  <c r="CM982" s="1"/>
      <c r="CN982" s="1"/>
      <c r="CO982" s="1"/>
      <c r="CP982" s="1"/>
      <c r="CQ982" s="1"/>
      <c r="CR982" s="1"/>
      <c r="CS982" s="1"/>
      <c r="CT982" s="1"/>
      <c r="CU982" s="1"/>
      <c r="CV982" s="1"/>
      <c r="CW982" s="1"/>
      <c r="CX982" s="1"/>
      <c r="CY982" s="1"/>
      <c r="CZ982" s="1"/>
      <c r="DA982" s="1"/>
      <c r="DB982" s="1"/>
      <c r="DC982" s="1"/>
      <c r="DD982" s="1"/>
      <c r="DE982" s="1"/>
      <c r="DF982" s="1"/>
      <c r="DG982" s="1"/>
      <c r="DH982" s="1"/>
      <c r="DI982" s="1"/>
      <c r="DJ982" s="1"/>
      <c r="DK982" s="1"/>
      <c r="DL982" s="1"/>
      <c r="DM982" s="1"/>
      <c r="DN982" s="1"/>
      <c r="DO982" s="1"/>
      <c r="DP982" s="1"/>
      <c r="DQ982" s="1"/>
      <c r="DR982" s="1"/>
      <c r="DS982" s="1"/>
      <c r="DT982" s="1"/>
      <c r="DU982" s="1"/>
      <c r="DV982" s="1"/>
      <c r="DW982" s="1"/>
      <c r="DX982" s="1"/>
      <c r="DY982" s="1"/>
      <c r="DZ982" s="1"/>
      <c r="EA982" s="1"/>
      <c r="EB982" s="1"/>
      <c r="EC982" s="1"/>
      <c r="ED982" s="1"/>
      <c r="EE982" s="1"/>
      <c r="EF982" s="1"/>
      <c r="EG982" s="1"/>
      <c r="EH982" s="1"/>
      <c r="EI982" s="1"/>
      <c r="EJ982" s="1"/>
      <c r="EK982" s="1"/>
      <c r="EL982" s="1"/>
      <c r="EM982" s="1"/>
      <c r="EN982" s="1"/>
      <c r="EO982" s="1"/>
      <c r="EP982" s="1"/>
      <c r="EQ982" s="1"/>
      <c r="ER982" s="1"/>
      <c r="ES982" s="1"/>
      <c r="ET982" s="1"/>
      <c r="EU982" s="1"/>
      <c r="EV982" s="1"/>
      <c r="EW982" s="1"/>
      <c r="EX982" s="1"/>
      <c r="EY982" s="1"/>
      <c r="EZ982" s="1"/>
      <c r="FA982" s="1"/>
      <c r="FB982" s="1"/>
      <c r="FC982" s="1"/>
      <c r="FD982" s="1"/>
      <c r="FE982" s="1"/>
      <c r="FF982" s="1"/>
      <c r="FG982" s="1"/>
      <c r="FH982" s="1"/>
      <c r="FI982" s="1"/>
      <c r="FJ982" s="1"/>
      <c r="FK982" s="1"/>
      <c r="FL982" s="1"/>
      <c r="FM982" s="1"/>
      <c r="FN982" s="1"/>
      <c r="FO982" s="1"/>
      <c r="FP982" s="1"/>
      <c r="FQ982" s="1"/>
      <c r="FR982" s="2"/>
      <c r="FS982" s="1"/>
    </row>
    <row r="983" spans="1:175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R983" s="1"/>
      <c r="S983" s="1"/>
      <c r="T983" s="1"/>
      <c r="U983" s="1"/>
      <c r="V983" s="1"/>
      <c r="Y983" s="1"/>
      <c r="Z983" s="2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U983" s="1"/>
      <c r="AW983" s="1"/>
      <c r="AX983" s="1"/>
      <c r="AY983" s="1"/>
      <c r="AZ983" s="1"/>
      <c r="BA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"/>
      <c r="CN983" s="1"/>
      <c r="CO983" s="1"/>
      <c r="CP983" s="1"/>
      <c r="CQ983" s="1"/>
      <c r="CR983" s="1"/>
      <c r="CS983" s="1"/>
      <c r="CT983" s="1"/>
      <c r="CU983" s="1"/>
      <c r="CV983" s="1"/>
      <c r="CW983" s="1"/>
      <c r="CX983" s="1"/>
      <c r="CY983" s="1"/>
      <c r="CZ983" s="1"/>
      <c r="DA983" s="1"/>
      <c r="DB983" s="1"/>
      <c r="DC983" s="1"/>
      <c r="DD983" s="1"/>
      <c r="DE983" s="1"/>
      <c r="DF983" s="1"/>
      <c r="DG983" s="1"/>
      <c r="DH983" s="1"/>
      <c r="DI983" s="1"/>
      <c r="DJ983" s="1"/>
      <c r="DK983" s="1"/>
      <c r="DL983" s="1"/>
      <c r="DM983" s="1"/>
      <c r="DN983" s="1"/>
      <c r="DO983" s="1"/>
      <c r="DP983" s="1"/>
      <c r="DQ983" s="1"/>
      <c r="DR983" s="1"/>
      <c r="DS983" s="1"/>
      <c r="DT983" s="1"/>
      <c r="DU983" s="1"/>
      <c r="DV983" s="1"/>
      <c r="DW983" s="1"/>
      <c r="DX983" s="1"/>
      <c r="DY983" s="1"/>
      <c r="DZ983" s="1"/>
      <c r="EA983" s="1"/>
      <c r="EB983" s="1"/>
      <c r="EC983" s="1"/>
      <c r="ED983" s="1"/>
      <c r="EE983" s="1"/>
      <c r="EF983" s="1"/>
      <c r="EG983" s="1"/>
      <c r="EH983" s="1"/>
      <c r="EI983" s="1"/>
      <c r="EJ983" s="1"/>
      <c r="EK983" s="1"/>
      <c r="EL983" s="1"/>
      <c r="EM983" s="1"/>
      <c r="EN983" s="1"/>
      <c r="EO983" s="1"/>
      <c r="EP983" s="1"/>
      <c r="EQ983" s="1"/>
      <c r="ER983" s="1"/>
      <c r="ES983" s="1"/>
      <c r="ET983" s="1"/>
      <c r="EU983" s="1"/>
      <c r="EV983" s="1"/>
      <c r="EW983" s="1"/>
      <c r="EX983" s="1"/>
      <c r="EY983" s="1"/>
      <c r="EZ983" s="1"/>
      <c r="FA983" s="1"/>
      <c r="FB983" s="1"/>
      <c r="FC983" s="1"/>
      <c r="FD983" s="1"/>
      <c r="FE983" s="1"/>
      <c r="FF983" s="1"/>
      <c r="FG983" s="1"/>
      <c r="FH983" s="1"/>
      <c r="FI983" s="1"/>
      <c r="FJ983" s="1"/>
      <c r="FK983" s="1"/>
      <c r="FL983" s="1"/>
      <c r="FM983" s="1"/>
      <c r="FN983" s="1"/>
      <c r="FO983" s="1"/>
      <c r="FP983" s="1"/>
      <c r="FQ983" s="1"/>
      <c r="FR983" s="2"/>
      <c r="FS983" s="1"/>
    </row>
    <row r="984" spans="1:175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R984" s="1"/>
      <c r="S984" s="1"/>
      <c r="T984" s="1"/>
      <c r="U984" s="1"/>
      <c r="V984" s="1"/>
      <c r="Y984" s="1"/>
      <c r="Z984" s="2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U984" s="1"/>
      <c r="AW984" s="1"/>
      <c r="AX984" s="1"/>
      <c r="AY984" s="1"/>
      <c r="AZ984" s="1"/>
      <c r="BA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  <c r="CM984" s="1"/>
      <c r="CN984" s="1"/>
      <c r="CO984" s="1"/>
      <c r="CP984" s="1"/>
      <c r="CQ984" s="1"/>
      <c r="CR984" s="1"/>
      <c r="CS984" s="1"/>
      <c r="CT984" s="1"/>
      <c r="CU984" s="1"/>
      <c r="CV984" s="1"/>
      <c r="CW984" s="1"/>
      <c r="CX984" s="1"/>
      <c r="CY984" s="1"/>
      <c r="CZ984" s="1"/>
      <c r="DA984" s="1"/>
      <c r="DB984" s="1"/>
      <c r="DC984" s="1"/>
      <c r="DD984" s="1"/>
      <c r="DE984" s="1"/>
      <c r="DF984" s="1"/>
      <c r="DG984" s="1"/>
      <c r="DH984" s="1"/>
      <c r="DI984" s="1"/>
      <c r="DJ984" s="1"/>
      <c r="DK984" s="1"/>
      <c r="DL984" s="1"/>
      <c r="DM984" s="1"/>
      <c r="DN984" s="1"/>
      <c r="DO984" s="1"/>
      <c r="DP984" s="1"/>
      <c r="DQ984" s="1"/>
      <c r="DR984" s="1"/>
      <c r="DS984" s="1"/>
      <c r="DT984" s="1"/>
      <c r="DU984" s="1"/>
      <c r="DV984" s="1"/>
      <c r="DW984" s="1"/>
      <c r="DX984" s="1"/>
      <c r="DY984" s="1"/>
      <c r="DZ984" s="1"/>
      <c r="EA984" s="1"/>
      <c r="EB984" s="1"/>
      <c r="EC984" s="1"/>
      <c r="ED984" s="1"/>
      <c r="EE984" s="1"/>
      <c r="EF984" s="1"/>
      <c r="EG984" s="1"/>
      <c r="EH984" s="1"/>
      <c r="EI984" s="1"/>
      <c r="EJ984" s="1"/>
      <c r="EK984" s="1"/>
      <c r="EL984" s="1"/>
      <c r="EM984" s="1"/>
      <c r="EN984" s="1"/>
      <c r="EO984" s="1"/>
      <c r="EP984" s="1"/>
      <c r="EQ984" s="1"/>
      <c r="ER984" s="1"/>
      <c r="ES984" s="1"/>
      <c r="ET984" s="1"/>
      <c r="EU984" s="1"/>
      <c r="EV984" s="1"/>
      <c r="EW984" s="1"/>
      <c r="EX984" s="1"/>
      <c r="EY984" s="1"/>
      <c r="EZ984" s="1"/>
      <c r="FA984" s="1"/>
      <c r="FB984" s="1"/>
      <c r="FC984" s="1"/>
      <c r="FD984" s="1"/>
      <c r="FE984" s="1"/>
      <c r="FF984" s="1"/>
      <c r="FG984" s="1"/>
      <c r="FH984" s="1"/>
      <c r="FI984" s="1"/>
      <c r="FJ984" s="1"/>
      <c r="FK984" s="1"/>
      <c r="FL984" s="1"/>
      <c r="FM984" s="1"/>
      <c r="FN984" s="1"/>
      <c r="FO984" s="1"/>
      <c r="FP984" s="1"/>
      <c r="FQ984" s="1"/>
      <c r="FR984" s="2"/>
      <c r="FS984" s="1"/>
    </row>
    <row r="985" spans="1:175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R985" s="1"/>
      <c r="S985" s="1"/>
      <c r="T985" s="1"/>
      <c r="U985" s="1"/>
      <c r="V985" s="1"/>
      <c r="Y985" s="1"/>
      <c r="Z985" s="2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U985" s="1"/>
      <c r="AW985" s="1"/>
      <c r="AX985" s="1"/>
      <c r="AY985" s="1"/>
      <c r="AZ985" s="1"/>
      <c r="BA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  <c r="CN985" s="1"/>
      <c r="CO985" s="1"/>
      <c r="CP985" s="1"/>
      <c r="CQ985" s="1"/>
      <c r="CR985" s="1"/>
      <c r="CS985" s="1"/>
      <c r="CT985" s="1"/>
      <c r="CU985" s="1"/>
      <c r="CV985" s="1"/>
      <c r="CW985" s="1"/>
      <c r="CX985" s="1"/>
      <c r="CY985" s="1"/>
      <c r="CZ985" s="1"/>
      <c r="DA985" s="1"/>
      <c r="DB985" s="1"/>
      <c r="DC985" s="1"/>
      <c r="DD985" s="1"/>
      <c r="DE985" s="1"/>
      <c r="DF985" s="1"/>
      <c r="DG985" s="1"/>
      <c r="DH985" s="1"/>
      <c r="DI985" s="1"/>
      <c r="DJ985" s="1"/>
      <c r="DK985" s="1"/>
      <c r="DL985" s="1"/>
      <c r="DM985" s="1"/>
      <c r="DN985" s="1"/>
      <c r="DO985" s="1"/>
      <c r="DP985" s="1"/>
      <c r="DQ985" s="1"/>
      <c r="DR985" s="1"/>
      <c r="DS985" s="1"/>
      <c r="DT985" s="1"/>
      <c r="DU985" s="1"/>
      <c r="DV985" s="1"/>
      <c r="DW985" s="1"/>
      <c r="DX985" s="1"/>
      <c r="DY985" s="1"/>
      <c r="DZ985" s="1"/>
      <c r="EA985" s="1"/>
      <c r="EB985" s="1"/>
      <c r="EC985" s="1"/>
      <c r="ED985" s="1"/>
      <c r="EE985" s="1"/>
      <c r="EF985" s="1"/>
      <c r="EG985" s="1"/>
      <c r="EH985" s="1"/>
      <c r="EI985" s="1"/>
      <c r="EJ985" s="1"/>
      <c r="EK985" s="1"/>
      <c r="EL985" s="1"/>
      <c r="EM985" s="1"/>
      <c r="EN985" s="1"/>
      <c r="EO985" s="1"/>
      <c r="EP985" s="1"/>
      <c r="EQ985" s="1"/>
      <c r="ER985" s="1"/>
      <c r="ES985" s="1"/>
      <c r="ET985" s="1"/>
      <c r="EU985" s="1"/>
      <c r="EV985" s="1"/>
      <c r="EW985" s="1"/>
      <c r="EX985" s="1"/>
      <c r="EY985" s="1"/>
      <c r="EZ985" s="1"/>
      <c r="FA985" s="1"/>
      <c r="FB985" s="1"/>
      <c r="FC985" s="1"/>
      <c r="FD985" s="1"/>
      <c r="FE985" s="1"/>
      <c r="FF985" s="1"/>
      <c r="FG985" s="1"/>
      <c r="FH985" s="1"/>
      <c r="FI985" s="1"/>
      <c r="FJ985" s="1"/>
      <c r="FK985" s="1"/>
      <c r="FL985" s="1"/>
      <c r="FM985" s="1"/>
      <c r="FN985" s="1"/>
      <c r="FO985" s="1"/>
      <c r="FP985" s="1"/>
      <c r="FQ985" s="1"/>
      <c r="FR985" s="2"/>
      <c r="FS985" s="1"/>
    </row>
    <row r="986" spans="1:175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R986" s="1"/>
      <c r="S986" s="1"/>
      <c r="T986" s="1"/>
      <c r="U986" s="1"/>
      <c r="V986" s="1"/>
      <c r="Y986" s="1"/>
      <c r="Z986" s="2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U986" s="1"/>
      <c r="AW986" s="1"/>
      <c r="AX986" s="1"/>
      <c r="AY986" s="1"/>
      <c r="AZ986" s="1"/>
      <c r="BA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  <c r="CN986" s="1"/>
      <c r="CO986" s="1"/>
      <c r="CP986" s="1"/>
      <c r="CQ986" s="1"/>
      <c r="CR986" s="1"/>
      <c r="CS986" s="1"/>
      <c r="CT986" s="1"/>
      <c r="CU986" s="1"/>
      <c r="CV986" s="1"/>
      <c r="CW986" s="1"/>
      <c r="CX986" s="1"/>
      <c r="CY986" s="1"/>
      <c r="CZ986" s="1"/>
      <c r="DA986" s="1"/>
      <c r="DB986" s="1"/>
      <c r="DC986" s="1"/>
      <c r="DD986" s="1"/>
      <c r="DE986" s="1"/>
      <c r="DF986" s="1"/>
      <c r="DG986" s="1"/>
      <c r="DH986" s="1"/>
      <c r="DI986" s="1"/>
      <c r="DJ986" s="1"/>
      <c r="DK986" s="1"/>
      <c r="DL986" s="1"/>
      <c r="DM986" s="1"/>
      <c r="DN986" s="1"/>
      <c r="DO986" s="1"/>
      <c r="DP986" s="1"/>
      <c r="DQ986" s="1"/>
      <c r="DR986" s="1"/>
      <c r="DS986" s="1"/>
      <c r="DT986" s="1"/>
      <c r="DU986" s="1"/>
      <c r="DV986" s="1"/>
      <c r="DW986" s="1"/>
      <c r="DX986" s="1"/>
      <c r="DY986" s="1"/>
      <c r="DZ986" s="1"/>
      <c r="EA986" s="1"/>
      <c r="EB986" s="1"/>
      <c r="EC986" s="1"/>
      <c r="ED986" s="1"/>
      <c r="EE986" s="1"/>
      <c r="EF986" s="1"/>
      <c r="EG986" s="1"/>
      <c r="EH986" s="1"/>
      <c r="EI986" s="1"/>
      <c r="EJ986" s="1"/>
      <c r="EK986" s="1"/>
      <c r="EL986" s="1"/>
      <c r="EM986" s="1"/>
      <c r="EN986" s="1"/>
      <c r="EO986" s="1"/>
      <c r="EP986" s="1"/>
      <c r="EQ986" s="1"/>
      <c r="ER986" s="1"/>
      <c r="ES986" s="1"/>
      <c r="ET986" s="1"/>
      <c r="EU986" s="1"/>
      <c r="EV986" s="1"/>
      <c r="EW986" s="1"/>
      <c r="EX986" s="1"/>
      <c r="EY986" s="1"/>
      <c r="EZ986" s="1"/>
      <c r="FA986" s="1"/>
      <c r="FB986" s="1"/>
      <c r="FC986" s="1"/>
      <c r="FD986" s="1"/>
      <c r="FE986" s="1"/>
      <c r="FF986" s="1"/>
      <c r="FG986" s="1"/>
      <c r="FH986" s="1"/>
      <c r="FI986" s="1"/>
      <c r="FJ986" s="1"/>
      <c r="FK986" s="1"/>
      <c r="FL986" s="1"/>
      <c r="FM986" s="1"/>
      <c r="FN986" s="1"/>
      <c r="FO986" s="1"/>
      <c r="FP986" s="1"/>
      <c r="FQ986" s="1"/>
      <c r="FR986" s="2"/>
      <c r="FS986" s="1"/>
    </row>
    <row r="987" spans="1:175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R987" s="1"/>
      <c r="S987" s="1"/>
      <c r="T987" s="1"/>
      <c r="U987" s="1"/>
      <c r="V987" s="1"/>
      <c r="Y987" s="1"/>
      <c r="Z987" s="2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U987" s="1"/>
      <c r="AW987" s="1"/>
      <c r="AX987" s="1"/>
      <c r="AY987" s="1"/>
      <c r="AZ987" s="1"/>
      <c r="BA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  <c r="CN987" s="1"/>
      <c r="CO987" s="1"/>
      <c r="CP987" s="1"/>
      <c r="CQ987" s="1"/>
      <c r="CR987" s="1"/>
      <c r="CS987" s="1"/>
      <c r="CT987" s="1"/>
      <c r="CU987" s="1"/>
      <c r="CV987" s="1"/>
      <c r="CW987" s="1"/>
      <c r="CX987" s="1"/>
      <c r="CY987" s="1"/>
      <c r="CZ987" s="1"/>
      <c r="DA987" s="1"/>
      <c r="DB987" s="1"/>
      <c r="DC987" s="1"/>
      <c r="DD987" s="1"/>
      <c r="DE987" s="1"/>
      <c r="DF987" s="1"/>
      <c r="DG987" s="1"/>
      <c r="DH987" s="1"/>
      <c r="DI987" s="1"/>
      <c r="DJ987" s="1"/>
      <c r="DK987" s="1"/>
      <c r="DL987" s="1"/>
      <c r="DM987" s="1"/>
      <c r="DN987" s="1"/>
      <c r="DO987" s="1"/>
      <c r="DP987" s="1"/>
      <c r="DQ987" s="1"/>
      <c r="DR987" s="1"/>
      <c r="DS987" s="1"/>
      <c r="DT987" s="1"/>
      <c r="DU987" s="1"/>
      <c r="DV987" s="1"/>
      <c r="DW987" s="1"/>
      <c r="DX987" s="1"/>
      <c r="DY987" s="1"/>
      <c r="DZ987" s="1"/>
      <c r="EA987" s="1"/>
      <c r="EB987" s="1"/>
      <c r="EC987" s="1"/>
      <c r="ED987" s="1"/>
      <c r="EE987" s="1"/>
      <c r="EF987" s="1"/>
      <c r="EG987" s="1"/>
      <c r="EH987" s="1"/>
      <c r="EI987" s="1"/>
      <c r="EJ987" s="1"/>
      <c r="EK987" s="1"/>
      <c r="EL987" s="1"/>
      <c r="EM987" s="1"/>
      <c r="EN987" s="1"/>
      <c r="EO987" s="1"/>
      <c r="EP987" s="1"/>
      <c r="EQ987" s="1"/>
      <c r="ER987" s="1"/>
      <c r="ES987" s="1"/>
      <c r="ET987" s="1"/>
      <c r="EU987" s="1"/>
      <c r="EV987" s="1"/>
      <c r="EW987" s="1"/>
      <c r="EX987" s="1"/>
      <c r="EY987" s="1"/>
      <c r="EZ987" s="1"/>
      <c r="FA987" s="1"/>
      <c r="FB987" s="1"/>
      <c r="FC987" s="1"/>
      <c r="FD987" s="1"/>
      <c r="FE987" s="1"/>
      <c r="FF987" s="1"/>
      <c r="FG987" s="1"/>
      <c r="FH987" s="1"/>
      <c r="FI987" s="1"/>
      <c r="FJ987" s="1"/>
      <c r="FK987" s="1"/>
      <c r="FL987" s="1"/>
      <c r="FM987" s="1"/>
      <c r="FN987" s="1"/>
      <c r="FO987" s="1"/>
      <c r="FP987" s="1"/>
      <c r="FQ987" s="1"/>
      <c r="FR987" s="2"/>
      <c r="FS987" s="1"/>
    </row>
    <row r="988" spans="1:175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R988" s="1"/>
      <c r="S988" s="1"/>
      <c r="T988" s="1"/>
      <c r="U988" s="1"/>
      <c r="V988" s="1"/>
      <c r="Y988" s="1"/>
      <c r="Z988" s="2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U988" s="1"/>
      <c r="AW988" s="1"/>
      <c r="AX988" s="1"/>
      <c r="AY988" s="1"/>
      <c r="AZ988" s="1"/>
      <c r="BA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  <c r="CM988" s="1"/>
      <c r="CN988" s="1"/>
      <c r="CO988" s="1"/>
      <c r="CP988" s="1"/>
      <c r="CQ988" s="1"/>
      <c r="CR988" s="1"/>
      <c r="CS988" s="1"/>
      <c r="CT988" s="1"/>
      <c r="CU988" s="1"/>
      <c r="CV988" s="1"/>
      <c r="CW988" s="1"/>
      <c r="CX988" s="1"/>
      <c r="CY988" s="1"/>
      <c r="CZ988" s="1"/>
      <c r="DA988" s="1"/>
      <c r="DB988" s="1"/>
      <c r="DC988" s="1"/>
      <c r="DD988" s="1"/>
      <c r="DE988" s="1"/>
      <c r="DF988" s="1"/>
      <c r="DG988" s="1"/>
      <c r="DH988" s="1"/>
      <c r="DI988" s="1"/>
      <c r="DJ988" s="1"/>
      <c r="DK988" s="1"/>
      <c r="DL988" s="1"/>
      <c r="DM988" s="1"/>
      <c r="DN988" s="1"/>
      <c r="DO988" s="1"/>
      <c r="DP988" s="1"/>
      <c r="DQ988" s="1"/>
      <c r="DR988" s="1"/>
      <c r="DS988" s="1"/>
      <c r="DT988" s="1"/>
      <c r="DU988" s="1"/>
      <c r="DV988" s="1"/>
      <c r="DW988" s="1"/>
      <c r="DX988" s="1"/>
      <c r="DY988" s="1"/>
      <c r="DZ988" s="1"/>
      <c r="EA988" s="1"/>
      <c r="EB988" s="1"/>
      <c r="EC988" s="1"/>
      <c r="ED988" s="1"/>
      <c r="EE988" s="1"/>
      <c r="EF988" s="1"/>
      <c r="EG988" s="1"/>
      <c r="EH988" s="1"/>
      <c r="EI988" s="1"/>
      <c r="EJ988" s="1"/>
      <c r="EK988" s="1"/>
      <c r="EL988" s="1"/>
      <c r="EM988" s="1"/>
      <c r="EN988" s="1"/>
      <c r="EO988" s="1"/>
      <c r="EP988" s="1"/>
      <c r="EQ988" s="1"/>
      <c r="ER988" s="1"/>
      <c r="ES988" s="1"/>
      <c r="ET988" s="1"/>
      <c r="EU988" s="1"/>
      <c r="EV988" s="1"/>
      <c r="EW988" s="1"/>
      <c r="EX988" s="1"/>
      <c r="EY988" s="1"/>
      <c r="EZ988" s="1"/>
      <c r="FA988" s="1"/>
      <c r="FB988" s="1"/>
      <c r="FC988" s="1"/>
      <c r="FD988" s="1"/>
      <c r="FE988" s="1"/>
      <c r="FF988" s="1"/>
      <c r="FG988" s="1"/>
      <c r="FH988" s="1"/>
      <c r="FI988" s="1"/>
      <c r="FJ988" s="1"/>
      <c r="FK988" s="1"/>
      <c r="FL988" s="1"/>
      <c r="FM988" s="1"/>
      <c r="FN988" s="1"/>
      <c r="FO988" s="1"/>
      <c r="FP988" s="1"/>
      <c r="FQ988" s="1"/>
      <c r="FR988" s="2"/>
      <c r="FS988" s="1"/>
    </row>
    <row r="989" spans="1:175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R989" s="1"/>
      <c r="S989" s="1"/>
      <c r="T989" s="1"/>
      <c r="U989" s="1"/>
      <c r="V989" s="1"/>
      <c r="Y989" s="1"/>
      <c r="Z989" s="2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U989" s="1"/>
      <c r="AW989" s="1"/>
      <c r="AX989" s="1"/>
      <c r="AY989" s="1"/>
      <c r="AZ989" s="1"/>
      <c r="BA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/>
      <c r="CM989" s="1"/>
      <c r="CN989" s="1"/>
      <c r="CO989" s="1"/>
      <c r="CP989" s="1"/>
      <c r="CQ989" s="1"/>
      <c r="CR989" s="1"/>
      <c r="CS989" s="1"/>
      <c r="CT989" s="1"/>
      <c r="CU989" s="1"/>
      <c r="CV989" s="1"/>
      <c r="CW989" s="1"/>
      <c r="CX989" s="1"/>
      <c r="CY989" s="1"/>
      <c r="CZ989" s="1"/>
      <c r="DA989" s="1"/>
      <c r="DB989" s="1"/>
      <c r="DC989" s="1"/>
      <c r="DD989" s="1"/>
      <c r="DE989" s="1"/>
      <c r="DF989" s="1"/>
      <c r="DG989" s="1"/>
      <c r="DH989" s="1"/>
      <c r="DI989" s="1"/>
      <c r="DJ989" s="1"/>
      <c r="DK989" s="1"/>
      <c r="DL989" s="1"/>
      <c r="DM989" s="1"/>
      <c r="DN989" s="1"/>
      <c r="DO989" s="1"/>
      <c r="DP989" s="1"/>
      <c r="DQ989" s="1"/>
      <c r="DR989" s="1"/>
      <c r="DS989" s="1"/>
      <c r="DT989" s="1"/>
      <c r="DU989" s="1"/>
      <c r="DV989" s="1"/>
      <c r="DW989" s="1"/>
      <c r="DX989" s="1"/>
      <c r="DY989" s="1"/>
      <c r="DZ989" s="1"/>
      <c r="EA989" s="1"/>
      <c r="EB989" s="1"/>
      <c r="EC989" s="1"/>
      <c r="ED989" s="1"/>
      <c r="EE989" s="1"/>
      <c r="EF989" s="1"/>
      <c r="EG989" s="1"/>
      <c r="EH989" s="1"/>
      <c r="EI989" s="1"/>
      <c r="EJ989" s="1"/>
      <c r="EK989" s="1"/>
      <c r="EL989" s="1"/>
      <c r="EM989" s="1"/>
      <c r="EN989" s="1"/>
      <c r="EO989" s="1"/>
      <c r="EP989" s="1"/>
      <c r="EQ989" s="1"/>
      <c r="ER989" s="1"/>
      <c r="ES989" s="1"/>
      <c r="ET989" s="1"/>
      <c r="EU989" s="1"/>
      <c r="EV989" s="1"/>
      <c r="EW989" s="1"/>
      <c r="EX989" s="1"/>
      <c r="EY989" s="1"/>
      <c r="EZ989" s="1"/>
      <c r="FA989" s="1"/>
      <c r="FB989" s="1"/>
      <c r="FC989" s="1"/>
      <c r="FD989" s="1"/>
      <c r="FE989" s="1"/>
      <c r="FF989" s="1"/>
      <c r="FG989" s="1"/>
      <c r="FH989" s="1"/>
      <c r="FI989" s="1"/>
      <c r="FJ989" s="1"/>
      <c r="FK989" s="1"/>
      <c r="FL989" s="1"/>
      <c r="FM989" s="1"/>
      <c r="FN989" s="1"/>
      <c r="FO989" s="1"/>
      <c r="FP989" s="1"/>
      <c r="FQ989" s="1"/>
      <c r="FR989" s="2"/>
      <c r="FS989" s="1"/>
    </row>
    <row r="990" spans="1:175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R990" s="1"/>
      <c r="S990" s="1"/>
      <c r="T990" s="1"/>
      <c r="U990" s="1"/>
      <c r="V990" s="1"/>
      <c r="Y990" s="1"/>
      <c r="Z990" s="2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U990" s="1"/>
      <c r="AW990" s="1"/>
      <c r="AX990" s="1"/>
      <c r="AY990" s="1"/>
      <c r="AZ990" s="1"/>
      <c r="BA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/>
      <c r="CM990" s="1"/>
      <c r="CN990" s="1"/>
      <c r="CO990" s="1"/>
      <c r="CP990" s="1"/>
      <c r="CQ990" s="1"/>
      <c r="CR990" s="1"/>
      <c r="CS990" s="1"/>
      <c r="CT990" s="1"/>
      <c r="CU990" s="1"/>
      <c r="CV990" s="1"/>
      <c r="CW990" s="1"/>
      <c r="CX990" s="1"/>
      <c r="CY990" s="1"/>
      <c r="CZ990" s="1"/>
      <c r="DA990" s="1"/>
      <c r="DB990" s="1"/>
      <c r="DC990" s="1"/>
      <c r="DD990" s="1"/>
      <c r="DE990" s="1"/>
      <c r="DF990" s="1"/>
      <c r="DG990" s="1"/>
      <c r="DH990" s="1"/>
      <c r="DI990" s="1"/>
      <c r="DJ990" s="1"/>
      <c r="DK990" s="1"/>
      <c r="DL990" s="1"/>
      <c r="DM990" s="1"/>
      <c r="DN990" s="1"/>
      <c r="DO990" s="1"/>
      <c r="DP990" s="1"/>
      <c r="DQ990" s="1"/>
      <c r="DR990" s="1"/>
      <c r="DS990" s="1"/>
      <c r="DT990" s="1"/>
      <c r="DU990" s="1"/>
      <c r="DV990" s="1"/>
      <c r="DW990" s="1"/>
      <c r="DX990" s="1"/>
      <c r="DY990" s="1"/>
      <c r="DZ990" s="1"/>
      <c r="EA990" s="1"/>
      <c r="EB990" s="1"/>
      <c r="EC990" s="1"/>
      <c r="ED990" s="1"/>
      <c r="EE990" s="1"/>
      <c r="EF990" s="1"/>
      <c r="EG990" s="1"/>
      <c r="EH990" s="1"/>
      <c r="EI990" s="1"/>
      <c r="EJ990" s="1"/>
      <c r="EK990" s="1"/>
      <c r="EL990" s="1"/>
      <c r="EM990" s="1"/>
      <c r="EN990" s="1"/>
      <c r="EO990" s="1"/>
      <c r="EP990" s="1"/>
      <c r="EQ990" s="1"/>
      <c r="ER990" s="1"/>
      <c r="ES990" s="1"/>
      <c r="ET990" s="1"/>
      <c r="EU990" s="1"/>
      <c r="EV990" s="1"/>
      <c r="EW990" s="1"/>
      <c r="EX990" s="1"/>
      <c r="EY990" s="1"/>
      <c r="EZ990" s="1"/>
      <c r="FA990" s="1"/>
      <c r="FB990" s="1"/>
      <c r="FC990" s="1"/>
      <c r="FD990" s="1"/>
      <c r="FE990" s="1"/>
      <c r="FF990" s="1"/>
      <c r="FG990" s="1"/>
      <c r="FH990" s="1"/>
      <c r="FI990" s="1"/>
      <c r="FJ990" s="1"/>
      <c r="FK990" s="1"/>
      <c r="FL990" s="1"/>
      <c r="FM990" s="1"/>
      <c r="FN990" s="1"/>
      <c r="FO990" s="1"/>
      <c r="FP990" s="1"/>
      <c r="FQ990" s="1"/>
      <c r="FR990" s="2"/>
      <c r="FS990" s="1"/>
    </row>
    <row r="991" spans="1:175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R991" s="1"/>
      <c r="S991" s="1"/>
      <c r="T991" s="1"/>
      <c r="U991" s="1"/>
      <c r="V991" s="1"/>
      <c r="Y991" s="1"/>
      <c r="Z991" s="2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U991" s="1"/>
      <c r="AW991" s="1"/>
      <c r="AX991" s="1"/>
      <c r="AY991" s="1"/>
      <c r="AZ991" s="1"/>
      <c r="BA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1"/>
      <c r="CK991" s="1"/>
      <c r="CL991" s="1"/>
      <c r="CM991" s="1"/>
      <c r="CN991" s="1"/>
      <c r="CO991" s="1"/>
      <c r="CP991" s="1"/>
      <c r="CQ991" s="1"/>
      <c r="CR991" s="1"/>
      <c r="CS991" s="1"/>
      <c r="CT991" s="1"/>
      <c r="CU991" s="1"/>
      <c r="CV991" s="1"/>
      <c r="CW991" s="1"/>
      <c r="CX991" s="1"/>
      <c r="CY991" s="1"/>
      <c r="CZ991" s="1"/>
      <c r="DA991" s="1"/>
      <c r="DB991" s="1"/>
      <c r="DC991" s="1"/>
      <c r="DD991" s="1"/>
      <c r="DE991" s="1"/>
      <c r="DF991" s="1"/>
      <c r="DG991" s="1"/>
      <c r="DH991" s="1"/>
      <c r="DI991" s="1"/>
      <c r="DJ991" s="1"/>
      <c r="DK991" s="1"/>
      <c r="DL991" s="1"/>
      <c r="DM991" s="1"/>
      <c r="DN991" s="1"/>
      <c r="DO991" s="1"/>
      <c r="DP991" s="1"/>
      <c r="DQ991" s="1"/>
      <c r="DR991" s="1"/>
      <c r="DS991" s="1"/>
      <c r="DT991" s="1"/>
      <c r="DU991" s="1"/>
      <c r="DV991" s="1"/>
      <c r="DW991" s="1"/>
      <c r="DX991" s="1"/>
      <c r="DY991" s="1"/>
      <c r="DZ991" s="1"/>
      <c r="EA991" s="1"/>
      <c r="EB991" s="1"/>
      <c r="EC991" s="1"/>
      <c r="ED991" s="1"/>
      <c r="EE991" s="1"/>
      <c r="EF991" s="1"/>
      <c r="EG991" s="1"/>
      <c r="EH991" s="1"/>
      <c r="EI991" s="1"/>
      <c r="EJ991" s="1"/>
      <c r="EK991" s="1"/>
      <c r="EL991" s="1"/>
      <c r="EM991" s="1"/>
      <c r="EN991" s="1"/>
      <c r="EO991" s="1"/>
      <c r="EP991" s="1"/>
      <c r="EQ991" s="1"/>
      <c r="ER991" s="1"/>
      <c r="ES991" s="1"/>
      <c r="ET991" s="1"/>
      <c r="EU991" s="1"/>
      <c r="EV991" s="1"/>
      <c r="EW991" s="1"/>
      <c r="EX991" s="1"/>
      <c r="EY991" s="1"/>
      <c r="EZ991" s="1"/>
      <c r="FA991" s="1"/>
      <c r="FB991" s="1"/>
      <c r="FC991" s="1"/>
      <c r="FD991" s="1"/>
      <c r="FE991" s="1"/>
      <c r="FF991" s="1"/>
      <c r="FG991" s="1"/>
      <c r="FH991" s="1"/>
      <c r="FI991" s="1"/>
      <c r="FJ991" s="1"/>
      <c r="FK991" s="1"/>
      <c r="FL991" s="1"/>
      <c r="FM991" s="1"/>
      <c r="FN991" s="1"/>
      <c r="FO991" s="1"/>
      <c r="FP991" s="1"/>
      <c r="FQ991" s="1"/>
      <c r="FR991" s="2"/>
      <c r="FS991" s="1"/>
    </row>
    <row r="992" spans="1:175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R992" s="1"/>
      <c r="S992" s="1"/>
      <c r="T992" s="1"/>
      <c r="U992" s="1"/>
      <c r="V992" s="1"/>
      <c r="Y992" s="1"/>
      <c r="Z992" s="2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U992" s="1"/>
      <c r="AW992" s="1"/>
      <c r="AX992" s="1"/>
      <c r="AY992" s="1"/>
      <c r="AZ992" s="1"/>
      <c r="BA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1"/>
      <c r="CK992" s="1"/>
      <c r="CL992" s="1"/>
      <c r="CM992" s="1"/>
      <c r="CN992" s="1"/>
      <c r="CO992" s="1"/>
      <c r="CP992" s="1"/>
      <c r="CQ992" s="1"/>
      <c r="CR992" s="1"/>
      <c r="CS992" s="1"/>
      <c r="CT992" s="1"/>
      <c r="CU992" s="1"/>
      <c r="CV992" s="1"/>
      <c r="CW992" s="1"/>
      <c r="CX992" s="1"/>
      <c r="CY992" s="1"/>
      <c r="CZ992" s="1"/>
      <c r="DA992" s="1"/>
      <c r="DB992" s="1"/>
      <c r="DC992" s="1"/>
      <c r="DD992" s="1"/>
      <c r="DE992" s="1"/>
      <c r="DF992" s="1"/>
      <c r="DG992" s="1"/>
      <c r="DH992" s="1"/>
      <c r="DI992" s="1"/>
      <c r="DJ992" s="1"/>
      <c r="DK992" s="1"/>
      <c r="DL992" s="1"/>
      <c r="DM992" s="1"/>
      <c r="DN992" s="1"/>
      <c r="DO992" s="1"/>
      <c r="DP992" s="1"/>
      <c r="DQ992" s="1"/>
      <c r="DR992" s="1"/>
      <c r="DS992" s="1"/>
      <c r="DT992" s="1"/>
      <c r="DU992" s="1"/>
      <c r="DV992" s="1"/>
      <c r="DW992" s="1"/>
      <c r="DX992" s="1"/>
      <c r="DY992" s="1"/>
      <c r="DZ992" s="1"/>
      <c r="EA992" s="1"/>
      <c r="EB992" s="1"/>
      <c r="EC992" s="1"/>
      <c r="ED992" s="1"/>
      <c r="EE992" s="1"/>
      <c r="EF992" s="1"/>
      <c r="EG992" s="1"/>
      <c r="EH992" s="1"/>
      <c r="EI992" s="1"/>
      <c r="EJ992" s="1"/>
      <c r="EK992" s="1"/>
      <c r="EL992" s="1"/>
      <c r="EM992" s="1"/>
      <c r="EN992" s="1"/>
      <c r="EO992" s="1"/>
      <c r="EP992" s="1"/>
      <c r="EQ992" s="1"/>
      <c r="ER992" s="1"/>
      <c r="ES992" s="1"/>
      <c r="ET992" s="1"/>
      <c r="EU992" s="1"/>
      <c r="EV992" s="1"/>
      <c r="EW992" s="1"/>
      <c r="EX992" s="1"/>
      <c r="EY992" s="1"/>
      <c r="EZ992" s="1"/>
      <c r="FA992" s="1"/>
      <c r="FB992" s="1"/>
      <c r="FC992" s="1"/>
      <c r="FD992" s="1"/>
      <c r="FE992" s="1"/>
      <c r="FF992" s="1"/>
      <c r="FG992" s="1"/>
      <c r="FH992" s="1"/>
      <c r="FI992" s="1"/>
      <c r="FJ992" s="1"/>
      <c r="FK992" s="1"/>
      <c r="FL992" s="1"/>
      <c r="FM992" s="1"/>
      <c r="FN992" s="1"/>
      <c r="FO992" s="1"/>
      <c r="FP992" s="1"/>
      <c r="FQ992" s="1"/>
      <c r="FR992" s="2"/>
      <c r="FS992" s="1"/>
    </row>
    <row r="993" spans="1:175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R993" s="1"/>
      <c r="S993" s="1"/>
      <c r="T993" s="1"/>
      <c r="U993" s="1"/>
      <c r="V993" s="1"/>
      <c r="Y993" s="1"/>
      <c r="Z993" s="2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U993" s="1"/>
      <c r="AW993" s="1"/>
      <c r="AX993" s="1"/>
      <c r="AY993" s="1"/>
      <c r="AZ993" s="1"/>
      <c r="BA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  <c r="CL993" s="1"/>
      <c r="CM993" s="1"/>
      <c r="CN993" s="1"/>
      <c r="CO993" s="1"/>
      <c r="CP993" s="1"/>
      <c r="CQ993" s="1"/>
      <c r="CR993" s="1"/>
      <c r="CS993" s="1"/>
      <c r="CT993" s="1"/>
      <c r="CU993" s="1"/>
      <c r="CV993" s="1"/>
      <c r="CW993" s="1"/>
      <c r="CX993" s="1"/>
      <c r="CY993" s="1"/>
      <c r="CZ993" s="1"/>
      <c r="DA993" s="1"/>
      <c r="DB993" s="1"/>
      <c r="DC993" s="1"/>
      <c r="DD993" s="1"/>
      <c r="DE993" s="1"/>
      <c r="DF993" s="1"/>
      <c r="DG993" s="1"/>
      <c r="DH993" s="1"/>
      <c r="DI993" s="1"/>
      <c r="DJ993" s="1"/>
      <c r="DK993" s="1"/>
      <c r="DL993" s="1"/>
      <c r="DM993" s="1"/>
      <c r="DN993" s="1"/>
      <c r="DO993" s="1"/>
      <c r="DP993" s="1"/>
      <c r="DQ993" s="1"/>
      <c r="DR993" s="1"/>
      <c r="DS993" s="1"/>
      <c r="DT993" s="1"/>
      <c r="DU993" s="1"/>
      <c r="DV993" s="1"/>
      <c r="DW993" s="1"/>
      <c r="DX993" s="1"/>
      <c r="DY993" s="1"/>
      <c r="DZ993" s="1"/>
      <c r="EA993" s="1"/>
      <c r="EB993" s="1"/>
      <c r="EC993" s="1"/>
      <c r="ED993" s="1"/>
      <c r="EE993" s="1"/>
      <c r="EF993" s="1"/>
      <c r="EG993" s="1"/>
      <c r="EH993" s="1"/>
      <c r="EI993" s="1"/>
      <c r="EJ993" s="1"/>
      <c r="EK993" s="1"/>
      <c r="EL993" s="1"/>
      <c r="EM993" s="1"/>
      <c r="EN993" s="1"/>
      <c r="EO993" s="1"/>
      <c r="EP993" s="1"/>
      <c r="EQ993" s="1"/>
      <c r="ER993" s="1"/>
      <c r="ES993" s="1"/>
      <c r="ET993" s="1"/>
      <c r="EU993" s="1"/>
      <c r="EV993" s="1"/>
      <c r="EW993" s="1"/>
      <c r="EX993" s="1"/>
      <c r="EY993" s="1"/>
      <c r="EZ993" s="1"/>
      <c r="FA993" s="1"/>
      <c r="FB993" s="1"/>
      <c r="FC993" s="1"/>
      <c r="FD993" s="1"/>
      <c r="FE993" s="1"/>
      <c r="FF993" s="1"/>
      <c r="FG993" s="1"/>
      <c r="FH993" s="1"/>
      <c r="FI993" s="1"/>
      <c r="FJ993" s="1"/>
      <c r="FK993" s="1"/>
      <c r="FL993" s="1"/>
      <c r="FM993" s="1"/>
      <c r="FN993" s="1"/>
      <c r="FO993" s="1"/>
      <c r="FP993" s="1"/>
      <c r="FQ993" s="1"/>
      <c r="FR993" s="2"/>
      <c r="FS993" s="1"/>
    </row>
    <row r="994" spans="1:175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R994" s="1"/>
      <c r="S994" s="1"/>
      <c r="T994" s="1"/>
      <c r="U994" s="1"/>
      <c r="V994" s="1"/>
      <c r="Y994" s="1"/>
      <c r="Z994" s="2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U994" s="1"/>
      <c r="AW994" s="1"/>
      <c r="AX994" s="1"/>
      <c r="AY994" s="1"/>
      <c r="AZ994" s="1"/>
      <c r="BA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  <c r="CH994" s="1"/>
      <c r="CI994" s="1"/>
      <c r="CJ994" s="1"/>
      <c r="CK994" s="1"/>
      <c r="CL994" s="1"/>
      <c r="CM994" s="1"/>
      <c r="CN994" s="1"/>
      <c r="CO994" s="1"/>
      <c r="CP994" s="1"/>
      <c r="CQ994" s="1"/>
      <c r="CR994" s="1"/>
      <c r="CS994" s="1"/>
      <c r="CT994" s="1"/>
      <c r="CU994" s="1"/>
      <c r="CV994" s="1"/>
      <c r="CW994" s="1"/>
      <c r="CX994" s="1"/>
      <c r="CY994" s="1"/>
      <c r="CZ994" s="1"/>
      <c r="DA994" s="1"/>
      <c r="DB994" s="1"/>
      <c r="DC994" s="1"/>
      <c r="DD994" s="1"/>
      <c r="DE994" s="1"/>
      <c r="DF994" s="1"/>
      <c r="DG994" s="1"/>
      <c r="DH994" s="1"/>
      <c r="DI994" s="1"/>
      <c r="DJ994" s="1"/>
      <c r="DK994" s="1"/>
      <c r="DL994" s="1"/>
      <c r="DM994" s="1"/>
      <c r="DN994" s="1"/>
      <c r="DO994" s="1"/>
      <c r="DP994" s="1"/>
      <c r="DQ994" s="1"/>
      <c r="DR994" s="1"/>
      <c r="DS994" s="1"/>
      <c r="DT994" s="1"/>
      <c r="DU994" s="1"/>
      <c r="DV994" s="1"/>
      <c r="DW994" s="1"/>
      <c r="DX994" s="1"/>
      <c r="DY994" s="1"/>
      <c r="DZ994" s="1"/>
      <c r="EA994" s="1"/>
      <c r="EB994" s="1"/>
      <c r="EC994" s="1"/>
      <c r="ED994" s="1"/>
      <c r="EE994" s="1"/>
      <c r="EF994" s="1"/>
      <c r="EG994" s="1"/>
      <c r="EH994" s="1"/>
      <c r="EI994" s="1"/>
      <c r="EJ994" s="1"/>
      <c r="EK994" s="1"/>
      <c r="EL994" s="1"/>
      <c r="EM994" s="1"/>
      <c r="EN994" s="1"/>
      <c r="EO994" s="1"/>
      <c r="EP994" s="1"/>
      <c r="EQ994" s="1"/>
      <c r="ER994" s="1"/>
      <c r="ES994" s="1"/>
      <c r="ET994" s="1"/>
      <c r="EU994" s="1"/>
      <c r="EV994" s="1"/>
      <c r="EW994" s="1"/>
      <c r="EX994" s="1"/>
      <c r="EY994" s="1"/>
      <c r="EZ994" s="1"/>
      <c r="FA994" s="1"/>
      <c r="FB994" s="1"/>
      <c r="FC994" s="1"/>
      <c r="FD994" s="1"/>
      <c r="FE994" s="1"/>
      <c r="FF994" s="1"/>
      <c r="FG994" s="1"/>
      <c r="FH994" s="1"/>
      <c r="FI994" s="1"/>
      <c r="FJ994" s="1"/>
      <c r="FK994" s="1"/>
      <c r="FL994" s="1"/>
      <c r="FM994" s="1"/>
      <c r="FN994" s="1"/>
      <c r="FO994" s="1"/>
      <c r="FP994" s="1"/>
      <c r="FQ994" s="1"/>
      <c r="FR994" s="2"/>
      <c r="FS994" s="1"/>
    </row>
    <row r="995" spans="1:175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R995" s="1"/>
      <c r="S995" s="1"/>
      <c r="T995" s="1"/>
      <c r="U995" s="1"/>
      <c r="V995" s="1"/>
      <c r="Y995" s="1"/>
      <c r="Z995" s="2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U995" s="1"/>
      <c r="AW995" s="1"/>
      <c r="AX995" s="1"/>
      <c r="AY995" s="1"/>
      <c r="AZ995" s="1"/>
      <c r="BA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  <c r="CG995" s="1"/>
      <c r="CH995" s="1"/>
      <c r="CI995" s="1"/>
      <c r="CJ995" s="1"/>
      <c r="CK995" s="1"/>
      <c r="CL995" s="1"/>
      <c r="CM995" s="1"/>
      <c r="CN995" s="1"/>
      <c r="CO995" s="1"/>
      <c r="CP995" s="1"/>
      <c r="CQ995" s="1"/>
      <c r="CR995" s="1"/>
      <c r="CS995" s="1"/>
      <c r="CT995" s="1"/>
      <c r="CU995" s="1"/>
      <c r="CV995" s="1"/>
      <c r="CW995" s="1"/>
      <c r="CX995" s="1"/>
      <c r="CY995" s="1"/>
      <c r="CZ995" s="1"/>
      <c r="DA995" s="1"/>
      <c r="DB995" s="1"/>
      <c r="DC995" s="1"/>
      <c r="DD995" s="1"/>
      <c r="DE995" s="1"/>
      <c r="DF995" s="1"/>
      <c r="DG995" s="1"/>
      <c r="DH995" s="1"/>
      <c r="DI995" s="1"/>
      <c r="DJ995" s="1"/>
      <c r="DK995" s="1"/>
      <c r="DL995" s="1"/>
      <c r="DM995" s="1"/>
      <c r="DN995" s="1"/>
      <c r="DO995" s="1"/>
      <c r="DP995" s="1"/>
      <c r="DQ995" s="1"/>
      <c r="DR995" s="1"/>
      <c r="DS995" s="1"/>
      <c r="DT995" s="1"/>
      <c r="DU995" s="1"/>
      <c r="DV995" s="1"/>
      <c r="DW995" s="1"/>
      <c r="DX995" s="1"/>
      <c r="DY995" s="1"/>
      <c r="DZ995" s="1"/>
      <c r="EA995" s="1"/>
      <c r="EB995" s="1"/>
      <c r="EC995" s="1"/>
      <c r="ED995" s="1"/>
      <c r="EE995" s="1"/>
      <c r="EF995" s="1"/>
      <c r="EG995" s="1"/>
      <c r="EH995" s="1"/>
      <c r="EI995" s="1"/>
      <c r="EJ995" s="1"/>
      <c r="EK995" s="1"/>
      <c r="EL995" s="1"/>
      <c r="EM995" s="1"/>
      <c r="EN995" s="1"/>
      <c r="EO995" s="1"/>
      <c r="EP995" s="1"/>
      <c r="EQ995" s="1"/>
      <c r="ER995" s="1"/>
      <c r="ES995" s="1"/>
      <c r="ET995" s="1"/>
      <c r="EU995" s="1"/>
      <c r="EV995" s="1"/>
      <c r="EW995" s="1"/>
      <c r="EX995" s="1"/>
      <c r="EY995" s="1"/>
      <c r="EZ995" s="1"/>
      <c r="FA995" s="1"/>
      <c r="FB995" s="1"/>
      <c r="FC995" s="1"/>
      <c r="FD995" s="1"/>
      <c r="FE995" s="1"/>
      <c r="FF995" s="1"/>
      <c r="FG995" s="1"/>
      <c r="FH995" s="1"/>
      <c r="FI995" s="1"/>
      <c r="FJ995" s="1"/>
      <c r="FK995" s="1"/>
      <c r="FL995" s="1"/>
      <c r="FM995" s="1"/>
      <c r="FN995" s="1"/>
      <c r="FO995" s="1"/>
      <c r="FP995" s="1"/>
      <c r="FQ995" s="1"/>
      <c r="FR995" s="2"/>
      <c r="FS995" s="1"/>
    </row>
    <row r="996" spans="1:175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R996" s="1"/>
      <c r="S996" s="1"/>
      <c r="T996" s="1"/>
      <c r="U996" s="1"/>
      <c r="V996" s="1"/>
      <c r="Y996" s="1"/>
      <c r="Z996" s="2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U996" s="1"/>
      <c r="AW996" s="1"/>
      <c r="AX996" s="1"/>
      <c r="AY996" s="1"/>
      <c r="AZ996" s="1"/>
      <c r="BA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  <c r="CG996" s="1"/>
      <c r="CH996" s="1"/>
      <c r="CI996" s="1"/>
      <c r="CJ996" s="1"/>
      <c r="CK996" s="1"/>
      <c r="CL996" s="1"/>
      <c r="CM996" s="1"/>
      <c r="CN996" s="1"/>
      <c r="CO996" s="1"/>
      <c r="CP996" s="1"/>
      <c r="CQ996" s="1"/>
      <c r="CR996" s="1"/>
      <c r="CS996" s="1"/>
      <c r="CT996" s="1"/>
      <c r="CU996" s="1"/>
      <c r="CV996" s="1"/>
      <c r="CW996" s="1"/>
      <c r="CX996" s="1"/>
      <c r="CY996" s="1"/>
      <c r="CZ996" s="1"/>
      <c r="DA996" s="1"/>
      <c r="DB996" s="1"/>
      <c r="DC996" s="1"/>
      <c r="DD996" s="1"/>
      <c r="DE996" s="1"/>
      <c r="DF996" s="1"/>
      <c r="DG996" s="1"/>
      <c r="DH996" s="1"/>
      <c r="DI996" s="1"/>
      <c r="DJ996" s="1"/>
      <c r="DK996" s="1"/>
      <c r="DL996" s="1"/>
      <c r="DM996" s="1"/>
      <c r="DN996" s="1"/>
      <c r="DO996" s="1"/>
      <c r="DP996" s="1"/>
      <c r="DQ996" s="1"/>
      <c r="DR996" s="1"/>
      <c r="DS996" s="1"/>
      <c r="DT996" s="1"/>
      <c r="DU996" s="1"/>
      <c r="DV996" s="1"/>
      <c r="DW996" s="1"/>
      <c r="DX996" s="1"/>
      <c r="DY996" s="1"/>
      <c r="DZ996" s="1"/>
      <c r="EA996" s="1"/>
      <c r="EB996" s="1"/>
      <c r="EC996" s="1"/>
      <c r="ED996" s="1"/>
      <c r="EE996" s="1"/>
      <c r="EF996" s="1"/>
      <c r="EG996" s="1"/>
      <c r="EH996" s="1"/>
      <c r="EI996" s="1"/>
      <c r="EJ996" s="1"/>
      <c r="EK996" s="1"/>
      <c r="EL996" s="1"/>
      <c r="EM996" s="1"/>
      <c r="EN996" s="1"/>
      <c r="EO996" s="1"/>
      <c r="EP996" s="1"/>
      <c r="EQ996" s="1"/>
      <c r="ER996" s="1"/>
      <c r="ES996" s="1"/>
      <c r="ET996" s="1"/>
      <c r="EU996" s="1"/>
      <c r="EV996" s="1"/>
      <c r="EW996" s="1"/>
      <c r="EX996" s="1"/>
      <c r="EY996" s="1"/>
      <c r="EZ996" s="1"/>
      <c r="FA996" s="1"/>
      <c r="FB996" s="1"/>
      <c r="FC996" s="1"/>
      <c r="FD996" s="1"/>
      <c r="FE996" s="1"/>
      <c r="FF996" s="1"/>
      <c r="FG996" s="1"/>
      <c r="FH996" s="1"/>
      <c r="FI996" s="1"/>
      <c r="FJ996" s="1"/>
      <c r="FK996" s="1"/>
      <c r="FL996" s="1"/>
      <c r="FM996" s="1"/>
      <c r="FN996" s="1"/>
      <c r="FO996" s="1"/>
      <c r="FP996" s="1"/>
      <c r="FQ996" s="1"/>
      <c r="FR996" s="2"/>
      <c r="FS996" s="1"/>
    </row>
    <row r="997" spans="1:175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R997" s="1"/>
      <c r="S997" s="1"/>
      <c r="T997" s="1"/>
      <c r="U997" s="1"/>
      <c r="V997" s="1"/>
      <c r="Y997" s="1"/>
      <c r="Z997" s="2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U997" s="1"/>
      <c r="AW997" s="1"/>
      <c r="AX997" s="1"/>
      <c r="AY997" s="1"/>
      <c r="AZ997" s="1"/>
      <c r="BA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1"/>
      <c r="CG997" s="1"/>
      <c r="CH997" s="1"/>
      <c r="CI997" s="1"/>
      <c r="CJ997" s="1"/>
      <c r="CK997" s="1"/>
      <c r="CL997" s="1"/>
      <c r="CM997" s="1"/>
      <c r="CN997" s="1"/>
      <c r="CO997" s="1"/>
      <c r="CP997" s="1"/>
      <c r="CQ997" s="1"/>
      <c r="CR997" s="1"/>
      <c r="CS997" s="1"/>
      <c r="CT997" s="1"/>
      <c r="CU997" s="1"/>
      <c r="CV997" s="1"/>
      <c r="CW997" s="1"/>
      <c r="CX997" s="1"/>
      <c r="CY997" s="1"/>
      <c r="CZ997" s="1"/>
      <c r="DA997" s="1"/>
      <c r="DB997" s="1"/>
      <c r="DC997" s="1"/>
      <c r="DD997" s="1"/>
      <c r="DE997" s="1"/>
      <c r="DF997" s="1"/>
      <c r="DG997" s="1"/>
      <c r="DH997" s="1"/>
      <c r="DI997" s="1"/>
      <c r="DJ997" s="1"/>
      <c r="DK997" s="1"/>
      <c r="DL997" s="1"/>
      <c r="DM997" s="1"/>
      <c r="DN997" s="1"/>
      <c r="DO997" s="1"/>
      <c r="DP997" s="1"/>
      <c r="DQ997" s="1"/>
      <c r="DR997" s="1"/>
      <c r="DS997" s="1"/>
      <c r="DT997" s="1"/>
      <c r="DU997" s="1"/>
      <c r="DV997" s="1"/>
      <c r="DW997" s="1"/>
      <c r="DX997" s="1"/>
      <c r="DY997" s="1"/>
      <c r="DZ997" s="1"/>
      <c r="EA997" s="1"/>
      <c r="EB997" s="1"/>
      <c r="EC997" s="1"/>
      <c r="ED997" s="1"/>
      <c r="EE997" s="1"/>
      <c r="EF997" s="1"/>
      <c r="EG997" s="1"/>
      <c r="EH997" s="1"/>
      <c r="EI997" s="1"/>
      <c r="EJ997" s="1"/>
      <c r="EK997" s="1"/>
      <c r="EL997" s="1"/>
      <c r="EM997" s="1"/>
      <c r="EN997" s="1"/>
      <c r="EO997" s="1"/>
      <c r="EP997" s="1"/>
      <c r="EQ997" s="1"/>
      <c r="ER997" s="1"/>
      <c r="ES997" s="1"/>
      <c r="ET997" s="1"/>
      <c r="EU997" s="1"/>
      <c r="EV997" s="1"/>
      <c r="EW997" s="1"/>
      <c r="EX997" s="1"/>
      <c r="EY997" s="1"/>
      <c r="EZ997" s="1"/>
      <c r="FA997" s="1"/>
      <c r="FB997" s="1"/>
      <c r="FC997" s="1"/>
      <c r="FD997" s="1"/>
      <c r="FE997" s="1"/>
      <c r="FF997" s="1"/>
      <c r="FG997" s="1"/>
      <c r="FH997" s="1"/>
      <c r="FI997" s="1"/>
      <c r="FJ997" s="1"/>
      <c r="FK997" s="1"/>
      <c r="FL997" s="1"/>
      <c r="FM997" s="1"/>
      <c r="FN997" s="1"/>
      <c r="FO997" s="1"/>
      <c r="FP997" s="1"/>
      <c r="FQ997" s="1"/>
      <c r="FR997" s="2"/>
      <c r="FS997" s="1"/>
    </row>
    <row r="998" spans="1:175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R998" s="1"/>
      <c r="S998" s="1"/>
      <c r="T998" s="1"/>
      <c r="U998" s="1"/>
      <c r="V998" s="1"/>
      <c r="Y998" s="1"/>
      <c r="Z998" s="2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U998" s="1"/>
      <c r="AW998" s="1"/>
      <c r="AX998" s="1"/>
      <c r="AY998" s="1"/>
      <c r="AZ998" s="1"/>
      <c r="BA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  <c r="CE998" s="1"/>
      <c r="CF998" s="1"/>
      <c r="CG998" s="1"/>
      <c r="CH998" s="1"/>
      <c r="CI998" s="1"/>
      <c r="CJ998" s="1"/>
      <c r="CK998" s="1"/>
      <c r="CL998" s="1"/>
      <c r="CM998" s="1"/>
      <c r="CN998" s="1"/>
      <c r="CO998" s="1"/>
      <c r="CP998" s="1"/>
      <c r="CQ998" s="1"/>
      <c r="CR998" s="1"/>
      <c r="CS998" s="1"/>
      <c r="CT998" s="1"/>
      <c r="CU998" s="1"/>
      <c r="CV998" s="1"/>
      <c r="CW998" s="1"/>
      <c r="CX998" s="1"/>
      <c r="CY998" s="1"/>
      <c r="CZ998" s="1"/>
      <c r="DA998" s="1"/>
      <c r="DB998" s="1"/>
      <c r="DC998" s="1"/>
      <c r="DD998" s="1"/>
      <c r="DE998" s="1"/>
      <c r="DF998" s="1"/>
      <c r="DG998" s="1"/>
      <c r="DH998" s="1"/>
      <c r="DI998" s="1"/>
      <c r="DJ998" s="1"/>
      <c r="DK998" s="1"/>
      <c r="DL998" s="1"/>
      <c r="DM998" s="1"/>
      <c r="DN998" s="1"/>
      <c r="DO998" s="1"/>
      <c r="DP998" s="1"/>
      <c r="DQ998" s="1"/>
      <c r="DR998" s="1"/>
      <c r="DS998" s="1"/>
      <c r="DT998" s="1"/>
      <c r="DU998" s="1"/>
      <c r="DV998" s="1"/>
      <c r="DW998" s="1"/>
      <c r="DX998" s="1"/>
      <c r="DY998" s="1"/>
      <c r="DZ998" s="1"/>
      <c r="EA998" s="1"/>
      <c r="EB998" s="1"/>
      <c r="EC998" s="1"/>
      <c r="ED998" s="1"/>
      <c r="EE998" s="1"/>
      <c r="EF998" s="1"/>
      <c r="EG998" s="1"/>
      <c r="EH998" s="1"/>
      <c r="EI998" s="1"/>
      <c r="EJ998" s="1"/>
      <c r="EK998" s="1"/>
      <c r="EL998" s="1"/>
      <c r="EM998" s="1"/>
      <c r="EN998" s="1"/>
      <c r="EO998" s="1"/>
      <c r="EP998" s="1"/>
      <c r="EQ998" s="1"/>
      <c r="ER998" s="1"/>
      <c r="ES998" s="1"/>
      <c r="ET998" s="1"/>
      <c r="EU998" s="1"/>
      <c r="EV998" s="1"/>
      <c r="EW998" s="1"/>
      <c r="EX998" s="1"/>
      <c r="EY998" s="1"/>
      <c r="EZ998" s="1"/>
      <c r="FA998" s="1"/>
      <c r="FB998" s="1"/>
      <c r="FC998" s="1"/>
      <c r="FD998" s="1"/>
      <c r="FE998" s="1"/>
      <c r="FF998" s="1"/>
      <c r="FG998" s="1"/>
      <c r="FH998" s="1"/>
      <c r="FI998" s="1"/>
      <c r="FJ998" s="1"/>
      <c r="FK998" s="1"/>
      <c r="FL998" s="1"/>
      <c r="FM998" s="1"/>
      <c r="FN998" s="1"/>
      <c r="FO998" s="1"/>
      <c r="FP998" s="1"/>
      <c r="FQ998" s="1"/>
      <c r="FR998" s="2"/>
      <c r="FS998" s="1"/>
    </row>
    <row r="999" spans="1:175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R999" s="1"/>
      <c r="S999" s="1"/>
      <c r="T999" s="1"/>
      <c r="U999" s="1"/>
      <c r="V999" s="1"/>
      <c r="Y999" s="1"/>
      <c r="Z999" s="2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U999" s="1"/>
      <c r="AW999" s="1"/>
      <c r="AX999" s="1"/>
      <c r="AY999" s="1"/>
      <c r="AZ999" s="1"/>
      <c r="BA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  <c r="CE999" s="1"/>
      <c r="CF999" s="1"/>
      <c r="CG999" s="1"/>
      <c r="CH999" s="1"/>
      <c r="CI999" s="1"/>
      <c r="CJ999" s="1"/>
      <c r="CK999" s="1"/>
      <c r="CL999" s="1"/>
      <c r="CM999" s="1"/>
      <c r="CN999" s="1"/>
      <c r="CO999" s="1"/>
      <c r="CP999" s="1"/>
      <c r="CQ999" s="1"/>
      <c r="CR999" s="1"/>
      <c r="CS999" s="1"/>
      <c r="CT999" s="1"/>
      <c r="CU999" s="1"/>
      <c r="CV999" s="1"/>
      <c r="CW999" s="1"/>
      <c r="CX999" s="1"/>
      <c r="CY999" s="1"/>
      <c r="CZ999" s="1"/>
      <c r="DA999" s="1"/>
      <c r="DB999" s="1"/>
      <c r="DC999" s="1"/>
      <c r="DD999" s="1"/>
      <c r="DE999" s="1"/>
      <c r="DF999" s="1"/>
      <c r="DG999" s="1"/>
      <c r="DH999" s="1"/>
      <c r="DI999" s="1"/>
      <c r="DJ999" s="1"/>
      <c r="DK999" s="1"/>
      <c r="DL999" s="1"/>
      <c r="DM999" s="1"/>
      <c r="DN999" s="1"/>
      <c r="DO999" s="1"/>
      <c r="DP999" s="1"/>
      <c r="DQ999" s="1"/>
      <c r="DR999" s="1"/>
      <c r="DS999" s="1"/>
      <c r="DT999" s="1"/>
      <c r="DU999" s="1"/>
      <c r="DV999" s="1"/>
      <c r="DW999" s="1"/>
      <c r="DX999" s="1"/>
      <c r="DY999" s="1"/>
      <c r="DZ999" s="1"/>
      <c r="EA999" s="1"/>
      <c r="EB999" s="1"/>
      <c r="EC999" s="1"/>
      <c r="ED999" s="1"/>
      <c r="EE999" s="1"/>
      <c r="EF999" s="1"/>
      <c r="EG999" s="1"/>
      <c r="EH999" s="1"/>
      <c r="EI999" s="1"/>
      <c r="EJ999" s="1"/>
      <c r="EK999" s="1"/>
      <c r="EL999" s="1"/>
      <c r="EM999" s="1"/>
      <c r="EN999" s="1"/>
      <c r="EO999" s="1"/>
      <c r="EP999" s="1"/>
      <c r="EQ999" s="1"/>
      <c r="ER999" s="1"/>
      <c r="ES999" s="1"/>
      <c r="ET999" s="1"/>
      <c r="EU999" s="1"/>
      <c r="EV999" s="1"/>
      <c r="EW999" s="1"/>
      <c r="EX999" s="1"/>
      <c r="EY999" s="1"/>
      <c r="EZ999" s="1"/>
      <c r="FA999" s="1"/>
      <c r="FB999" s="1"/>
      <c r="FC999" s="1"/>
      <c r="FD999" s="1"/>
      <c r="FE999" s="1"/>
      <c r="FF999" s="1"/>
      <c r="FG999" s="1"/>
      <c r="FH999" s="1"/>
      <c r="FI999" s="1"/>
      <c r="FJ999" s="1"/>
      <c r="FK999" s="1"/>
      <c r="FL999" s="1"/>
      <c r="FM999" s="1"/>
      <c r="FN999" s="1"/>
      <c r="FO999" s="1"/>
      <c r="FP999" s="1"/>
      <c r="FQ999" s="1"/>
      <c r="FR999" s="2"/>
      <c r="FS999" s="1"/>
    </row>
    <row r="1000" spans="1:175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R1000" s="1"/>
      <c r="S1000" s="1"/>
      <c r="T1000" s="1"/>
      <c r="U1000" s="1"/>
      <c r="V1000" s="1"/>
      <c r="Y1000" s="1"/>
      <c r="Z1000" s="2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U1000" s="1"/>
      <c r="AW1000" s="1"/>
      <c r="AX1000" s="1"/>
      <c r="AY1000" s="1"/>
      <c r="AZ1000" s="1"/>
      <c r="BA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  <c r="CE1000" s="1"/>
      <c r="CF1000" s="1"/>
      <c r="CG1000" s="1"/>
      <c r="CH1000" s="1"/>
      <c r="CI1000" s="1"/>
      <c r="CJ1000" s="1"/>
      <c r="CK1000" s="1"/>
      <c r="CL1000" s="1"/>
      <c r="CM1000" s="1"/>
      <c r="CN1000" s="1"/>
      <c r="CO1000" s="1"/>
      <c r="CP1000" s="1"/>
      <c r="CQ1000" s="1"/>
      <c r="CR1000" s="1"/>
      <c r="CS1000" s="1"/>
      <c r="CT1000" s="1"/>
      <c r="CU1000" s="1"/>
      <c r="CV1000" s="1"/>
      <c r="CW1000" s="1"/>
      <c r="CX1000" s="1"/>
      <c r="CY1000" s="1"/>
      <c r="CZ1000" s="1"/>
      <c r="DA1000" s="1"/>
      <c r="DB1000" s="1"/>
      <c r="DC1000" s="1"/>
      <c r="DD1000" s="1"/>
      <c r="DE1000" s="1"/>
      <c r="DF1000" s="1"/>
      <c r="DG1000" s="1"/>
      <c r="DH1000" s="1"/>
      <c r="DI1000" s="1"/>
      <c r="DJ1000" s="1"/>
      <c r="DK1000" s="1"/>
      <c r="DL1000" s="1"/>
      <c r="DM1000" s="1"/>
      <c r="DN1000" s="1"/>
      <c r="DO1000" s="1"/>
      <c r="DP1000" s="1"/>
      <c r="DQ1000" s="1"/>
      <c r="DR1000" s="1"/>
      <c r="DS1000" s="1"/>
      <c r="DT1000" s="1"/>
      <c r="DU1000" s="1"/>
      <c r="DV1000" s="1"/>
      <c r="DW1000" s="1"/>
      <c r="DX1000" s="1"/>
      <c r="DY1000" s="1"/>
      <c r="DZ1000" s="1"/>
      <c r="EA1000" s="1"/>
      <c r="EB1000" s="1"/>
      <c r="EC1000" s="1"/>
      <c r="ED1000" s="1"/>
      <c r="EE1000" s="1"/>
      <c r="EF1000" s="1"/>
      <c r="EG1000" s="1"/>
      <c r="EH1000" s="1"/>
      <c r="EI1000" s="1"/>
      <c r="EJ1000" s="1"/>
      <c r="EK1000" s="1"/>
      <c r="EL1000" s="1"/>
      <c r="EM1000" s="1"/>
      <c r="EN1000" s="1"/>
      <c r="EO1000" s="1"/>
      <c r="EP1000" s="1"/>
      <c r="EQ1000" s="1"/>
      <c r="ER1000" s="1"/>
      <c r="ES1000" s="1"/>
      <c r="ET1000" s="1"/>
      <c r="EU1000" s="1"/>
      <c r="EV1000" s="1"/>
      <c r="EW1000" s="1"/>
      <c r="EX1000" s="1"/>
      <c r="EY1000" s="1"/>
      <c r="EZ1000" s="1"/>
      <c r="FA1000" s="1"/>
      <c r="FB1000" s="1"/>
      <c r="FC1000" s="1"/>
      <c r="FD1000" s="1"/>
      <c r="FE1000" s="1"/>
      <c r="FF1000" s="1"/>
      <c r="FG1000" s="1"/>
      <c r="FH1000" s="1"/>
      <c r="FI1000" s="1"/>
      <c r="FJ1000" s="1"/>
      <c r="FK1000" s="1"/>
      <c r="FL1000" s="1"/>
      <c r="FM1000" s="1"/>
      <c r="FN1000" s="1"/>
      <c r="FO1000" s="1"/>
      <c r="FP1000" s="1"/>
      <c r="FQ1000" s="1"/>
      <c r="FR1000" s="2"/>
      <c r="FS1000" s="1"/>
    </row>
    <row r="1001" spans="1:175" x14ac:dyDescent="0.3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R1001" s="1"/>
      <c r="S1001" s="1"/>
      <c r="T1001" s="1"/>
      <c r="U1001" s="1"/>
      <c r="V1001" s="1"/>
      <c r="Y1001" s="1"/>
      <c r="Z1001" s="2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U1001" s="1"/>
      <c r="AW1001" s="1"/>
      <c r="AX1001" s="1"/>
      <c r="AY1001" s="1"/>
      <c r="AZ1001" s="1"/>
      <c r="BA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  <c r="BR1001" s="1"/>
      <c r="BS1001" s="1"/>
      <c r="BT1001" s="1"/>
      <c r="BU1001" s="1"/>
      <c r="BV1001" s="1"/>
      <c r="BW1001" s="1"/>
      <c r="BX1001" s="1"/>
      <c r="BY1001" s="1"/>
      <c r="BZ1001" s="1"/>
      <c r="CA1001" s="1"/>
      <c r="CB1001" s="1"/>
      <c r="CC1001" s="1"/>
      <c r="CD1001" s="1"/>
      <c r="CE1001" s="1"/>
      <c r="CF1001" s="1"/>
      <c r="CG1001" s="1"/>
      <c r="CH1001" s="1"/>
      <c r="CI1001" s="1"/>
      <c r="CJ1001" s="1"/>
      <c r="CK1001" s="1"/>
      <c r="CL1001" s="1"/>
      <c r="CM1001" s="1"/>
      <c r="CN1001" s="1"/>
      <c r="CO1001" s="1"/>
      <c r="CP1001" s="1"/>
      <c r="CQ1001" s="1"/>
      <c r="CR1001" s="1"/>
      <c r="CS1001" s="1"/>
      <c r="CT1001" s="1"/>
      <c r="CU1001" s="1"/>
      <c r="CV1001" s="1"/>
      <c r="CW1001" s="1"/>
      <c r="CX1001" s="1"/>
      <c r="CY1001" s="1"/>
      <c r="CZ1001" s="1"/>
      <c r="DA1001" s="1"/>
      <c r="DB1001" s="1"/>
      <c r="DC1001" s="1"/>
      <c r="DD1001" s="1"/>
      <c r="DE1001" s="1"/>
      <c r="DF1001" s="1"/>
      <c r="DG1001" s="1"/>
      <c r="DH1001" s="1"/>
      <c r="DI1001" s="1"/>
      <c r="DJ1001" s="1"/>
      <c r="DK1001" s="1"/>
      <c r="DL1001" s="1"/>
      <c r="DM1001" s="1"/>
      <c r="DN1001" s="1"/>
      <c r="DO1001" s="1"/>
      <c r="DP1001" s="1"/>
      <c r="DQ1001" s="1"/>
      <c r="DR1001" s="1"/>
      <c r="DS1001" s="1"/>
      <c r="DT1001" s="1"/>
      <c r="DU1001" s="1"/>
      <c r="DV1001" s="1"/>
      <c r="DW1001" s="1"/>
      <c r="DX1001" s="1"/>
      <c r="DY1001" s="1"/>
      <c r="DZ1001" s="1"/>
      <c r="EA1001" s="1"/>
      <c r="EB1001" s="1"/>
      <c r="EC1001" s="1"/>
      <c r="ED1001" s="1"/>
      <c r="EE1001" s="1"/>
      <c r="EF1001" s="1"/>
      <c r="EG1001" s="1"/>
      <c r="EH1001" s="1"/>
      <c r="EI1001" s="1"/>
      <c r="EJ1001" s="1"/>
      <c r="EK1001" s="1"/>
      <c r="EL1001" s="1"/>
      <c r="EM1001" s="1"/>
      <c r="EN1001" s="1"/>
      <c r="EO1001" s="1"/>
      <c r="EP1001" s="1"/>
      <c r="EQ1001" s="1"/>
      <c r="ER1001" s="1"/>
      <c r="ES1001" s="1"/>
      <c r="ET1001" s="1"/>
      <c r="EU1001" s="1"/>
      <c r="EV1001" s="1"/>
      <c r="EW1001" s="1"/>
      <c r="EX1001" s="1"/>
      <c r="EY1001" s="1"/>
      <c r="EZ1001" s="1"/>
      <c r="FA1001" s="1"/>
      <c r="FB1001" s="1"/>
      <c r="FC1001" s="1"/>
      <c r="FD1001" s="1"/>
      <c r="FE1001" s="1"/>
      <c r="FF1001" s="1"/>
      <c r="FG1001" s="1"/>
      <c r="FH1001" s="1"/>
      <c r="FI1001" s="1"/>
      <c r="FJ1001" s="1"/>
      <c r="FK1001" s="1"/>
      <c r="FL1001" s="1"/>
      <c r="FM1001" s="1"/>
      <c r="FN1001" s="1"/>
      <c r="FO1001" s="1"/>
      <c r="FP1001" s="1"/>
      <c r="FQ1001" s="1"/>
      <c r="FR1001" s="2"/>
      <c r="FS1001" s="1"/>
    </row>
    <row r="1002" spans="1:175" x14ac:dyDescent="0.3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R1002" s="1"/>
      <c r="S1002" s="1"/>
      <c r="T1002" s="1"/>
      <c r="U1002" s="1"/>
      <c r="V1002" s="1"/>
      <c r="Y1002" s="1"/>
      <c r="Z1002" s="2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U1002" s="1"/>
      <c r="AW1002" s="1"/>
      <c r="AX1002" s="1"/>
      <c r="AY1002" s="1"/>
      <c r="AZ1002" s="1"/>
      <c r="BA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  <c r="BR1002" s="1"/>
      <c r="BS1002" s="1"/>
      <c r="BT1002" s="1"/>
      <c r="BU1002" s="1"/>
      <c r="BV1002" s="1"/>
      <c r="BW1002" s="1"/>
      <c r="BX1002" s="1"/>
      <c r="BY1002" s="1"/>
      <c r="BZ1002" s="1"/>
      <c r="CA1002" s="1"/>
      <c r="CB1002" s="1"/>
      <c r="CC1002" s="1"/>
      <c r="CD1002" s="1"/>
      <c r="CE1002" s="1"/>
      <c r="CF1002" s="1"/>
      <c r="CG1002" s="1"/>
      <c r="CH1002" s="1"/>
      <c r="CI1002" s="1"/>
      <c r="CJ1002" s="1"/>
      <c r="CK1002" s="1"/>
      <c r="CL1002" s="1"/>
      <c r="CM1002" s="1"/>
      <c r="CN1002" s="1"/>
      <c r="CO1002" s="1"/>
      <c r="CP1002" s="1"/>
      <c r="CQ1002" s="1"/>
      <c r="CR1002" s="1"/>
      <c r="CS1002" s="1"/>
      <c r="CT1002" s="1"/>
      <c r="CU1002" s="1"/>
      <c r="CV1002" s="1"/>
      <c r="CW1002" s="1"/>
      <c r="CX1002" s="1"/>
      <c r="CY1002" s="1"/>
      <c r="CZ1002" s="1"/>
      <c r="DA1002" s="1"/>
      <c r="DB1002" s="1"/>
      <c r="DC1002" s="1"/>
      <c r="DD1002" s="1"/>
      <c r="DE1002" s="1"/>
      <c r="DF1002" s="1"/>
      <c r="DG1002" s="1"/>
      <c r="DH1002" s="1"/>
      <c r="DI1002" s="1"/>
      <c r="DJ1002" s="1"/>
      <c r="DK1002" s="1"/>
      <c r="DL1002" s="1"/>
      <c r="DM1002" s="1"/>
      <c r="DN1002" s="1"/>
      <c r="DO1002" s="1"/>
      <c r="DP1002" s="1"/>
      <c r="DQ1002" s="1"/>
      <c r="DR1002" s="1"/>
      <c r="DS1002" s="1"/>
      <c r="DT1002" s="1"/>
      <c r="DU1002" s="1"/>
      <c r="DV1002" s="1"/>
      <c r="DW1002" s="1"/>
      <c r="DX1002" s="1"/>
      <c r="DY1002" s="1"/>
      <c r="DZ1002" s="1"/>
      <c r="EA1002" s="1"/>
      <c r="EB1002" s="1"/>
      <c r="EC1002" s="1"/>
      <c r="ED1002" s="1"/>
      <c r="EE1002" s="1"/>
      <c r="EF1002" s="1"/>
      <c r="EG1002" s="1"/>
      <c r="EH1002" s="1"/>
      <c r="EI1002" s="1"/>
      <c r="EJ1002" s="1"/>
      <c r="EK1002" s="1"/>
      <c r="EL1002" s="1"/>
      <c r="EM1002" s="1"/>
      <c r="EN1002" s="1"/>
      <c r="EO1002" s="1"/>
      <c r="EP1002" s="1"/>
      <c r="EQ1002" s="1"/>
      <c r="ER1002" s="1"/>
      <c r="ES1002" s="1"/>
      <c r="ET1002" s="1"/>
      <c r="EU1002" s="1"/>
      <c r="EV1002" s="1"/>
      <c r="EW1002" s="1"/>
      <c r="EX1002" s="1"/>
      <c r="EY1002" s="1"/>
      <c r="EZ1002" s="1"/>
      <c r="FA1002" s="1"/>
      <c r="FB1002" s="1"/>
      <c r="FC1002" s="1"/>
      <c r="FD1002" s="1"/>
      <c r="FE1002" s="1"/>
      <c r="FF1002" s="1"/>
      <c r="FG1002" s="1"/>
      <c r="FH1002" s="1"/>
      <c r="FI1002" s="1"/>
      <c r="FJ1002" s="1"/>
      <c r="FK1002" s="1"/>
      <c r="FL1002" s="1"/>
      <c r="FM1002" s="1"/>
      <c r="FN1002" s="1"/>
      <c r="FO1002" s="1"/>
      <c r="FP1002" s="1"/>
      <c r="FQ1002" s="1"/>
      <c r="FR1002" s="2"/>
      <c r="FS1002" s="1"/>
    </row>
    <row r="1003" spans="1:175" x14ac:dyDescent="0.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R1003" s="1"/>
      <c r="S1003" s="1"/>
      <c r="T1003" s="1"/>
      <c r="U1003" s="1"/>
      <c r="V1003" s="1"/>
      <c r="Y1003" s="1"/>
      <c r="Z1003" s="2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U1003" s="1"/>
      <c r="AW1003" s="1"/>
      <c r="AX1003" s="1"/>
      <c r="AY1003" s="1"/>
      <c r="AZ1003" s="1"/>
      <c r="BA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  <c r="BR1003" s="1"/>
      <c r="BS1003" s="1"/>
      <c r="BT1003" s="1"/>
      <c r="BU1003" s="1"/>
      <c r="BV1003" s="1"/>
      <c r="BW1003" s="1"/>
      <c r="BX1003" s="1"/>
      <c r="BY1003" s="1"/>
      <c r="BZ1003" s="1"/>
      <c r="CA1003" s="1"/>
      <c r="CB1003" s="1"/>
      <c r="CC1003" s="1"/>
      <c r="CD1003" s="1"/>
      <c r="CE1003" s="1"/>
      <c r="CF1003" s="1"/>
      <c r="CG1003" s="1"/>
      <c r="CH1003" s="1"/>
      <c r="CI1003" s="1"/>
      <c r="CJ1003" s="1"/>
      <c r="CK1003" s="1"/>
      <c r="CL1003" s="1"/>
      <c r="CM1003" s="1"/>
      <c r="CN1003" s="1"/>
      <c r="CO1003" s="1"/>
      <c r="CP1003" s="1"/>
      <c r="CQ1003" s="1"/>
      <c r="CR1003" s="1"/>
      <c r="CS1003" s="1"/>
      <c r="CT1003" s="1"/>
      <c r="CU1003" s="1"/>
      <c r="CV1003" s="1"/>
      <c r="CW1003" s="1"/>
      <c r="CX1003" s="1"/>
      <c r="CY1003" s="1"/>
      <c r="CZ1003" s="1"/>
      <c r="DA1003" s="1"/>
      <c r="DB1003" s="1"/>
      <c r="DC1003" s="1"/>
      <c r="DD1003" s="1"/>
      <c r="DE1003" s="1"/>
      <c r="DF1003" s="1"/>
      <c r="DG1003" s="1"/>
      <c r="DH1003" s="1"/>
      <c r="DI1003" s="1"/>
      <c r="DJ1003" s="1"/>
      <c r="DK1003" s="1"/>
      <c r="DL1003" s="1"/>
      <c r="DM1003" s="1"/>
      <c r="DN1003" s="1"/>
      <c r="DO1003" s="1"/>
      <c r="DP1003" s="1"/>
      <c r="DQ1003" s="1"/>
      <c r="DR1003" s="1"/>
      <c r="DS1003" s="1"/>
      <c r="DT1003" s="1"/>
      <c r="DU1003" s="1"/>
      <c r="DV1003" s="1"/>
      <c r="DW1003" s="1"/>
      <c r="DX1003" s="1"/>
      <c r="DY1003" s="1"/>
      <c r="DZ1003" s="1"/>
      <c r="EA1003" s="1"/>
      <c r="EB1003" s="1"/>
      <c r="EC1003" s="1"/>
      <c r="ED1003" s="1"/>
      <c r="EE1003" s="1"/>
      <c r="EF1003" s="1"/>
      <c r="EG1003" s="1"/>
      <c r="EH1003" s="1"/>
      <c r="EI1003" s="1"/>
      <c r="EJ1003" s="1"/>
      <c r="EK1003" s="1"/>
      <c r="EL1003" s="1"/>
      <c r="EM1003" s="1"/>
      <c r="EN1003" s="1"/>
      <c r="EO1003" s="1"/>
      <c r="EP1003" s="1"/>
      <c r="EQ1003" s="1"/>
      <c r="ER1003" s="1"/>
      <c r="ES1003" s="1"/>
      <c r="ET1003" s="1"/>
      <c r="EU1003" s="1"/>
      <c r="EV1003" s="1"/>
      <c r="EW1003" s="1"/>
      <c r="EX1003" s="1"/>
      <c r="EY1003" s="1"/>
      <c r="EZ1003" s="1"/>
      <c r="FA1003" s="1"/>
      <c r="FB1003" s="1"/>
      <c r="FC1003" s="1"/>
      <c r="FD1003" s="1"/>
      <c r="FE1003" s="1"/>
      <c r="FF1003" s="1"/>
      <c r="FG1003" s="1"/>
      <c r="FH1003" s="1"/>
      <c r="FI1003" s="1"/>
      <c r="FJ1003" s="1"/>
      <c r="FK1003" s="1"/>
      <c r="FL1003" s="1"/>
      <c r="FM1003" s="1"/>
      <c r="FN1003" s="1"/>
      <c r="FO1003" s="1"/>
      <c r="FP1003" s="1"/>
      <c r="FQ1003" s="1"/>
      <c r="FR1003" s="2"/>
      <c r="FS1003" s="1"/>
    </row>
    <row r="1004" spans="1:175" x14ac:dyDescent="0.3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R1004" s="1"/>
      <c r="S1004" s="1"/>
      <c r="T1004" s="1"/>
      <c r="U1004" s="1"/>
      <c r="V1004" s="1"/>
      <c r="Y1004" s="1"/>
      <c r="Z1004" s="2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U1004" s="1"/>
      <c r="AW1004" s="1"/>
      <c r="AX1004" s="1"/>
      <c r="AY1004" s="1"/>
      <c r="AZ1004" s="1"/>
      <c r="BA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  <c r="BR1004" s="1"/>
      <c r="BS1004" s="1"/>
      <c r="BT1004" s="1"/>
      <c r="BU1004" s="1"/>
      <c r="BV1004" s="1"/>
      <c r="BW1004" s="1"/>
      <c r="BX1004" s="1"/>
      <c r="BY1004" s="1"/>
      <c r="BZ1004" s="1"/>
      <c r="CA1004" s="1"/>
      <c r="CB1004" s="1"/>
      <c r="CC1004" s="1"/>
      <c r="CD1004" s="1"/>
      <c r="CE1004" s="1"/>
      <c r="CF1004" s="1"/>
      <c r="CG1004" s="1"/>
      <c r="CH1004" s="1"/>
      <c r="CI1004" s="1"/>
      <c r="CJ1004" s="1"/>
      <c r="CK1004" s="1"/>
      <c r="CL1004" s="1"/>
      <c r="CM1004" s="1"/>
      <c r="CN1004" s="1"/>
      <c r="CO1004" s="1"/>
      <c r="CP1004" s="1"/>
      <c r="CQ1004" s="1"/>
      <c r="CR1004" s="1"/>
      <c r="CS1004" s="1"/>
      <c r="CT1004" s="1"/>
      <c r="CU1004" s="1"/>
      <c r="CV1004" s="1"/>
      <c r="CW1004" s="1"/>
      <c r="CX1004" s="1"/>
      <c r="CY1004" s="1"/>
      <c r="CZ1004" s="1"/>
      <c r="DA1004" s="1"/>
      <c r="DB1004" s="1"/>
      <c r="DC1004" s="1"/>
      <c r="DD1004" s="1"/>
      <c r="DE1004" s="1"/>
      <c r="DF1004" s="1"/>
      <c r="DG1004" s="1"/>
      <c r="DH1004" s="1"/>
      <c r="DI1004" s="1"/>
      <c r="DJ1004" s="1"/>
      <c r="DK1004" s="1"/>
      <c r="DL1004" s="1"/>
      <c r="DM1004" s="1"/>
      <c r="DN1004" s="1"/>
      <c r="DO1004" s="1"/>
      <c r="DP1004" s="1"/>
      <c r="DQ1004" s="1"/>
      <c r="DR1004" s="1"/>
      <c r="DS1004" s="1"/>
      <c r="DT1004" s="1"/>
      <c r="DU1004" s="1"/>
      <c r="DV1004" s="1"/>
      <c r="DW1004" s="1"/>
      <c r="DX1004" s="1"/>
      <c r="DY1004" s="1"/>
      <c r="DZ1004" s="1"/>
      <c r="EA1004" s="1"/>
      <c r="EB1004" s="1"/>
      <c r="EC1004" s="1"/>
      <c r="ED1004" s="1"/>
      <c r="EE1004" s="1"/>
      <c r="EF1004" s="1"/>
      <c r="EG1004" s="1"/>
      <c r="EH1004" s="1"/>
      <c r="EI1004" s="1"/>
      <c r="EJ1004" s="1"/>
      <c r="EK1004" s="1"/>
      <c r="EL1004" s="1"/>
      <c r="EM1004" s="1"/>
      <c r="EN1004" s="1"/>
      <c r="EO1004" s="1"/>
      <c r="EP1004" s="1"/>
      <c r="EQ1004" s="1"/>
      <c r="ER1004" s="1"/>
      <c r="ES1004" s="1"/>
      <c r="ET1004" s="1"/>
      <c r="EU1004" s="1"/>
      <c r="EV1004" s="1"/>
      <c r="EW1004" s="1"/>
      <c r="EX1004" s="1"/>
      <c r="EY1004" s="1"/>
      <c r="EZ1004" s="1"/>
      <c r="FA1004" s="1"/>
      <c r="FB1004" s="1"/>
      <c r="FC1004" s="1"/>
      <c r="FD1004" s="1"/>
      <c r="FE1004" s="1"/>
      <c r="FF1004" s="1"/>
      <c r="FG1004" s="1"/>
      <c r="FH1004" s="1"/>
      <c r="FI1004" s="1"/>
      <c r="FJ1004" s="1"/>
      <c r="FK1004" s="1"/>
      <c r="FL1004" s="1"/>
      <c r="FM1004" s="1"/>
      <c r="FN1004" s="1"/>
      <c r="FO1004" s="1"/>
      <c r="FP1004" s="1"/>
      <c r="FQ1004" s="1"/>
      <c r="FR1004" s="2"/>
      <c r="FS1004" s="1"/>
    </row>
    <row r="1005" spans="1:175" x14ac:dyDescent="0.3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R1005" s="1"/>
      <c r="S1005" s="1"/>
      <c r="T1005" s="1"/>
      <c r="U1005" s="1"/>
      <c r="V1005" s="1"/>
      <c r="Y1005" s="1"/>
      <c r="Z1005" s="2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U1005" s="1"/>
      <c r="AW1005" s="1"/>
      <c r="AX1005" s="1"/>
      <c r="AY1005" s="1"/>
      <c r="AZ1005" s="1"/>
      <c r="BA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  <c r="BR1005" s="1"/>
      <c r="BS1005" s="1"/>
      <c r="BT1005" s="1"/>
      <c r="BU1005" s="1"/>
      <c r="BV1005" s="1"/>
      <c r="BW1005" s="1"/>
      <c r="BX1005" s="1"/>
      <c r="BY1005" s="1"/>
      <c r="BZ1005" s="1"/>
      <c r="CA1005" s="1"/>
      <c r="CB1005" s="1"/>
      <c r="CC1005" s="1"/>
      <c r="CD1005" s="1"/>
      <c r="CE1005" s="1"/>
      <c r="CF1005" s="1"/>
      <c r="CG1005" s="1"/>
      <c r="CH1005" s="1"/>
      <c r="CI1005" s="1"/>
      <c r="CJ1005" s="1"/>
      <c r="CK1005" s="1"/>
      <c r="CL1005" s="1"/>
      <c r="CM1005" s="1"/>
      <c r="CN1005" s="1"/>
      <c r="CO1005" s="1"/>
      <c r="CP1005" s="1"/>
      <c r="CQ1005" s="1"/>
      <c r="CR1005" s="1"/>
      <c r="CS1005" s="1"/>
      <c r="CT1005" s="1"/>
      <c r="CU1005" s="1"/>
      <c r="CV1005" s="1"/>
      <c r="CW1005" s="1"/>
      <c r="CX1005" s="1"/>
      <c r="CY1005" s="1"/>
      <c r="CZ1005" s="1"/>
      <c r="DA1005" s="1"/>
      <c r="DB1005" s="1"/>
      <c r="DC1005" s="1"/>
      <c r="DD1005" s="1"/>
      <c r="DE1005" s="1"/>
      <c r="DF1005" s="1"/>
      <c r="DG1005" s="1"/>
      <c r="DH1005" s="1"/>
      <c r="DI1005" s="1"/>
      <c r="DJ1005" s="1"/>
      <c r="DK1005" s="1"/>
      <c r="DL1005" s="1"/>
      <c r="DM1005" s="1"/>
      <c r="DN1005" s="1"/>
      <c r="DO1005" s="1"/>
      <c r="DP1005" s="1"/>
      <c r="DQ1005" s="1"/>
      <c r="DR1005" s="1"/>
      <c r="DS1005" s="1"/>
      <c r="DT1005" s="1"/>
      <c r="DU1005" s="1"/>
      <c r="DV1005" s="1"/>
      <c r="DW1005" s="1"/>
      <c r="DX1005" s="1"/>
      <c r="DY1005" s="1"/>
      <c r="DZ1005" s="1"/>
      <c r="EA1005" s="1"/>
      <c r="EB1005" s="1"/>
      <c r="EC1005" s="1"/>
      <c r="ED1005" s="1"/>
      <c r="EE1005" s="1"/>
      <c r="EF1005" s="1"/>
      <c r="EG1005" s="1"/>
      <c r="EH1005" s="1"/>
      <c r="EI1005" s="1"/>
      <c r="EJ1005" s="1"/>
      <c r="EK1005" s="1"/>
      <c r="EL1005" s="1"/>
      <c r="EM1005" s="1"/>
      <c r="EN1005" s="1"/>
      <c r="EO1005" s="1"/>
      <c r="EP1005" s="1"/>
      <c r="EQ1005" s="1"/>
      <c r="ER1005" s="1"/>
      <c r="ES1005" s="1"/>
      <c r="ET1005" s="1"/>
      <c r="EU1005" s="1"/>
      <c r="EV1005" s="1"/>
      <c r="EW1005" s="1"/>
      <c r="EX1005" s="1"/>
      <c r="EY1005" s="1"/>
      <c r="EZ1005" s="1"/>
      <c r="FA1005" s="1"/>
      <c r="FB1005" s="1"/>
      <c r="FC1005" s="1"/>
      <c r="FD1005" s="1"/>
      <c r="FE1005" s="1"/>
      <c r="FF1005" s="1"/>
      <c r="FG1005" s="1"/>
      <c r="FH1005" s="1"/>
      <c r="FI1005" s="1"/>
      <c r="FJ1005" s="1"/>
      <c r="FK1005" s="1"/>
      <c r="FL1005" s="1"/>
      <c r="FM1005" s="1"/>
      <c r="FN1005" s="1"/>
      <c r="FO1005" s="1"/>
      <c r="FP1005" s="1"/>
      <c r="FQ1005" s="1"/>
      <c r="FR1005" s="2"/>
      <c r="FS1005" s="1"/>
    </row>
    <row r="1006" spans="1:175" x14ac:dyDescent="0.3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R1006" s="1"/>
      <c r="S1006" s="1"/>
      <c r="T1006" s="1"/>
      <c r="U1006" s="1"/>
      <c r="V1006" s="1"/>
      <c r="Y1006" s="1"/>
      <c r="Z1006" s="2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U1006" s="1"/>
      <c r="AW1006" s="1"/>
      <c r="AX1006" s="1"/>
      <c r="AY1006" s="1"/>
      <c r="AZ1006" s="1"/>
      <c r="BA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  <c r="BR1006" s="1"/>
      <c r="BS1006" s="1"/>
      <c r="BT1006" s="1"/>
      <c r="BU1006" s="1"/>
      <c r="BV1006" s="1"/>
      <c r="BW1006" s="1"/>
      <c r="BX1006" s="1"/>
      <c r="BY1006" s="1"/>
      <c r="BZ1006" s="1"/>
      <c r="CA1006" s="1"/>
      <c r="CB1006" s="1"/>
      <c r="CC1006" s="1"/>
      <c r="CD1006" s="1"/>
      <c r="CE1006" s="1"/>
      <c r="CF1006" s="1"/>
      <c r="CG1006" s="1"/>
      <c r="CH1006" s="1"/>
      <c r="CI1006" s="1"/>
      <c r="CJ1006" s="1"/>
      <c r="CK1006" s="1"/>
      <c r="CL1006" s="1"/>
      <c r="CM1006" s="1"/>
      <c r="CN1006" s="1"/>
      <c r="CO1006" s="1"/>
      <c r="CP1006" s="1"/>
      <c r="CQ1006" s="1"/>
      <c r="CR1006" s="1"/>
      <c r="CS1006" s="1"/>
      <c r="CT1006" s="1"/>
      <c r="CU1006" s="1"/>
      <c r="CV1006" s="1"/>
      <c r="CW1006" s="1"/>
      <c r="CX1006" s="1"/>
      <c r="CY1006" s="1"/>
      <c r="CZ1006" s="1"/>
      <c r="DA1006" s="1"/>
      <c r="DB1006" s="1"/>
      <c r="DC1006" s="1"/>
      <c r="DD1006" s="1"/>
      <c r="DE1006" s="1"/>
      <c r="DF1006" s="1"/>
      <c r="DG1006" s="1"/>
      <c r="DH1006" s="1"/>
      <c r="DI1006" s="1"/>
      <c r="DJ1006" s="1"/>
      <c r="DK1006" s="1"/>
      <c r="DL1006" s="1"/>
      <c r="DM1006" s="1"/>
      <c r="DN1006" s="1"/>
      <c r="DO1006" s="1"/>
      <c r="DP1006" s="1"/>
      <c r="DQ1006" s="1"/>
      <c r="DR1006" s="1"/>
      <c r="DS1006" s="1"/>
      <c r="DT1006" s="1"/>
      <c r="DU1006" s="1"/>
      <c r="DV1006" s="1"/>
      <c r="DW1006" s="1"/>
      <c r="DX1006" s="1"/>
      <c r="DY1006" s="1"/>
      <c r="DZ1006" s="1"/>
      <c r="EA1006" s="1"/>
      <c r="EB1006" s="1"/>
      <c r="EC1006" s="1"/>
      <c r="ED1006" s="1"/>
      <c r="EE1006" s="1"/>
      <c r="EF1006" s="1"/>
      <c r="EG1006" s="1"/>
      <c r="EH1006" s="1"/>
      <c r="EI1006" s="1"/>
      <c r="EJ1006" s="1"/>
      <c r="EK1006" s="1"/>
      <c r="EL1006" s="1"/>
      <c r="EM1006" s="1"/>
      <c r="EN1006" s="1"/>
      <c r="EO1006" s="1"/>
      <c r="EP1006" s="1"/>
      <c r="EQ1006" s="1"/>
      <c r="ER1006" s="1"/>
      <c r="ES1006" s="1"/>
      <c r="ET1006" s="1"/>
      <c r="EU1006" s="1"/>
      <c r="EV1006" s="1"/>
      <c r="EW1006" s="1"/>
      <c r="EX1006" s="1"/>
      <c r="EY1006" s="1"/>
      <c r="EZ1006" s="1"/>
      <c r="FA1006" s="1"/>
      <c r="FB1006" s="1"/>
      <c r="FC1006" s="1"/>
      <c r="FD1006" s="1"/>
      <c r="FE1006" s="1"/>
      <c r="FF1006" s="1"/>
      <c r="FG1006" s="1"/>
      <c r="FH1006" s="1"/>
      <c r="FI1006" s="1"/>
      <c r="FJ1006" s="1"/>
      <c r="FK1006" s="1"/>
      <c r="FL1006" s="1"/>
      <c r="FM1006" s="1"/>
      <c r="FN1006" s="1"/>
      <c r="FO1006" s="1"/>
      <c r="FP1006" s="1"/>
      <c r="FQ1006" s="1"/>
      <c r="FR1006" s="2"/>
      <c r="FS1006" s="1"/>
    </row>
    <row r="1007" spans="1:175" x14ac:dyDescent="0.3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R1007" s="1"/>
      <c r="S1007" s="1"/>
      <c r="T1007" s="1"/>
      <c r="U1007" s="1"/>
      <c r="V1007" s="1"/>
      <c r="Y1007" s="1"/>
      <c r="Z1007" s="2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U1007" s="1"/>
      <c r="AW1007" s="1"/>
      <c r="AX1007" s="1"/>
      <c r="AY1007" s="1"/>
      <c r="AZ1007" s="1"/>
      <c r="BA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  <c r="BR1007" s="1"/>
      <c r="BS1007" s="1"/>
      <c r="BT1007" s="1"/>
      <c r="BU1007" s="1"/>
      <c r="BV1007" s="1"/>
      <c r="BW1007" s="1"/>
      <c r="BX1007" s="1"/>
      <c r="BY1007" s="1"/>
      <c r="BZ1007" s="1"/>
      <c r="CA1007" s="1"/>
      <c r="CB1007" s="1"/>
      <c r="CC1007" s="1"/>
      <c r="CD1007" s="1"/>
      <c r="CE1007" s="1"/>
      <c r="CF1007" s="1"/>
      <c r="CG1007" s="1"/>
      <c r="CH1007" s="1"/>
      <c r="CI1007" s="1"/>
      <c r="CJ1007" s="1"/>
      <c r="CK1007" s="1"/>
      <c r="CL1007" s="1"/>
      <c r="CM1007" s="1"/>
      <c r="CN1007" s="1"/>
      <c r="CO1007" s="1"/>
      <c r="CP1007" s="1"/>
      <c r="CQ1007" s="1"/>
      <c r="CR1007" s="1"/>
      <c r="CS1007" s="1"/>
      <c r="CT1007" s="1"/>
      <c r="CU1007" s="1"/>
      <c r="CV1007" s="1"/>
      <c r="CW1007" s="1"/>
      <c r="CX1007" s="1"/>
      <c r="CY1007" s="1"/>
      <c r="CZ1007" s="1"/>
      <c r="DA1007" s="1"/>
      <c r="DB1007" s="1"/>
      <c r="DC1007" s="1"/>
      <c r="DD1007" s="1"/>
      <c r="DE1007" s="1"/>
      <c r="DF1007" s="1"/>
      <c r="DG1007" s="1"/>
      <c r="DH1007" s="1"/>
      <c r="DI1007" s="1"/>
      <c r="DJ1007" s="1"/>
      <c r="DK1007" s="1"/>
      <c r="DL1007" s="1"/>
      <c r="DM1007" s="1"/>
      <c r="DN1007" s="1"/>
      <c r="DO1007" s="1"/>
      <c r="DP1007" s="1"/>
      <c r="DQ1007" s="1"/>
      <c r="DR1007" s="1"/>
      <c r="DS1007" s="1"/>
      <c r="DT1007" s="1"/>
      <c r="DU1007" s="1"/>
      <c r="DV1007" s="1"/>
      <c r="DW1007" s="1"/>
      <c r="DX1007" s="1"/>
      <c r="DY1007" s="1"/>
      <c r="DZ1007" s="1"/>
      <c r="EA1007" s="1"/>
      <c r="EB1007" s="1"/>
      <c r="EC1007" s="1"/>
      <c r="ED1007" s="1"/>
      <c r="EE1007" s="1"/>
      <c r="EF1007" s="1"/>
      <c r="EG1007" s="1"/>
      <c r="EH1007" s="1"/>
      <c r="EI1007" s="1"/>
      <c r="EJ1007" s="1"/>
      <c r="EK1007" s="1"/>
      <c r="EL1007" s="1"/>
      <c r="EM1007" s="1"/>
      <c r="EN1007" s="1"/>
      <c r="EO1007" s="1"/>
      <c r="EP1007" s="1"/>
      <c r="EQ1007" s="1"/>
      <c r="ER1007" s="1"/>
      <c r="ES1007" s="1"/>
      <c r="ET1007" s="1"/>
      <c r="EU1007" s="1"/>
      <c r="EV1007" s="1"/>
      <c r="EW1007" s="1"/>
      <c r="EX1007" s="1"/>
      <c r="EY1007" s="1"/>
      <c r="EZ1007" s="1"/>
      <c r="FA1007" s="1"/>
      <c r="FB1007" s="1"/>
      <c r="FC1007" s="1"/>
      <c r="FD1007" s="1"/>
      <c r="FE1007" s="1"/>
      <c r="FF1007" s="1"/>
      <c r="FG1007" s="1"/>
      <c r="FH1007" s="1"/>
      <c r="FI1007" s="1"/>
      <c r="FJ1007" s="1"/>
      <c r="FK1007" s="1"/>
      <c r="FL1007" s="1"/>
      <c r="FM1007" s="1"/>
      <c r="FN1007" s="1"/>
      <c r="FO1007" s="1"/>
      <c r="FP1007" s="1"/>
      <c r="FQ1007" s="1"/>
      <c r="FR1007" s="2"/>
      <c r="FS1007" s="1"/>
    </row>
    <row r="1008" spans="1:175" x14ac:dyDescent="0.3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R1008" s="1"/>
      <c r="S1008" s="1"/>
      <c r="T1008" s="1"/>
      <c r="U1008" s="1"/>
      <c r="V1008" s="1"/>
      <c r="Y1008" s="1"/>
      <c r="Z1008" s="2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U1008" s="1"/>
      <c r="AW1008" s="1"/>
      <c r="AX1008" s="1"/>
      <c r="AY1008" s="1"/>
      <c r="AZ1008" s="1"/>
      <c r="BA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1"/>
      <c r="BR1008" s="1"/>
      <c r="BS1008" s="1"/>
      <c r="BT1008" s="1"/>
      <c r="BU1008" s="1"/>
      <c r="BV1008" s="1"/>
      <c r="BW1008" s="1"/>
      <c r="BX1008" s="1"/>
      <c r="BY1008" s="1"/>
      <c r="BZ1008" s="1"/>
      <c r="CA1008" s="1"/>
      <c r="CB1008" s="1"/>
      <c r="CC1008" s="1"/>
      <c r="CD1008" s="1"/>
      <c r="CE1008" s="1"/>
      <c r="CF1008" s="1"/>
      <c r="CG1008" s="1"/>
      <c r="CH1008" s="1"/>
      <c r="CI1008" s="1"/>
      <c r="CJ1008" s="1"/>
      <c r="CK1008" s="1"/>
      <c r="CL1008" s="1"/>
      <c r="CM1008" s="1"/>
      <c r="CN1008" s="1"/>
      <c r="CO1008" s="1"/>
      <c r="CP1008" s="1"/>
      <c r="CQ1008" s="1"/>
      <c r="CR1008" s="1"/>
      <c r="CS1008" s="1"/>
      <c r="CT1008" s="1"/>
      <c r="CU1008" s="1"/>
      <c r="CV1008" s="1"/>
      <c r="CW1008" s="1"/>
      <c r="CX1008" s="1"/>
      <c r="CY1008" s="1"/>
      <c r="CZ1008" s="1"/>
      <c r="DA1008" s="1"/>
      <c r="DB1008" s="1"/>
      <c r="DC1008" s="1"/>
      <c r="DD1008" s="1"/>
      <c r="DE1008" s="1"/>
      <c r="DF1008" s="1"/>
      <c r="DG1008" s="1"/>
      <c r="DH1008" s="1"/>
      <c r="DI1008" s="1"/>
      <c r="DJ1008" s="1"/>
      <c r="DK1008" s="1"/>
      <c r="DL1008" s="1"/>
      <c r="DM1008" s="1"/>
      <c r="DN1008" s="1"/>
      <c r="DO1008" s="1"/>
      <c r="DP1008" s="1"/>
      <c r="DQ1008" s="1"/>
      <c r="DR1008" s="1"/>
      <c r="DS1008" s="1"/>
      <c r="DT1008" s="1"/>
      <c r="DU1008" s="1"/>
      <c r="DV1008" s="1"/>
      <c r="DW1008" s="1"/>
      <c r="DX1008" s="1"/>
      <c r="DY1008" s="1"/>
      <c r="DZ1008" s="1"/>
      <c r="EA1008" s="1"/>
      <c r="EB1008" s="1"/>
      <c r="EC1008" s="1"/>
      <c r="ED1008" s="1"/>
      <c r="EE1008" s="1"/>
      <c r="EF1008" s="1"/>
      <c r="EG1008" s="1"/>
      <c r="EH1008" s="1"/>
      <c r="EI1008" s="1"/>
      <c r="EJ1008" s="1"/>
      <c r="EK1008" s="1"/>
      <c r="EL1008" s="1"/>
      <c r="EM1008" s="1"/>
      <c r="EN1008" s="1"/>
      <c r="EO1008" s="1"/>
      <c r="EP1008" s="1"/>
      <c r="EQ1008" s="1"/>
      <c r="ER1008" s="1"/>
      <c r="ES1008" s="1"/>
      <c r="ET1008" s="1"/>
      <c r="EU1008" s="1"/>
      <c r="EV1008" s="1"/>
      <c r="EW1008" s="1"/>
      <c r="EX1008" s="1"/>
      <c r="EY1008" s="1"/>
      <c r="EZ1008" s="1"/>
      <c r="FA1008" s="1"/>
      <c r="FB1008" s="1"/>
      <c r="FC1008" s="1"/>
      <c r="FD1008" s="1"/>
      <c r="FE1008" s="1"/>
      <c r="FF1008" s="1"/>
      <c r="FG1008" s="1"/>
      <c r="FH1008" s="1"/>
      <c r="FI1008" s="1"/>
      <c r="FJ1008" s="1"/>
      <c r="FK1008" s="1"/>
      <c r="FL1008" s="1"/>
      <c r="FM1008" s="1"/>
      <c r="FN1008" s="1"/>
      <c r="FO1008" s="1"/>
      <c r="FP1008" s="1"/>
      <c r="FQ1008" s="1"/>
      <c r="FR1008" s="2"/>
      <c r="FS1008" s="1"/>
    </row>
    <row r="1009" spans="1:175" x14ac:dyDescent="0.3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R1009" s="1"/>
      <c r="S1009" s="1"/>
      <c r="T1009" s="1"/>
      <c r="U1009" s="1"/>
      <c r="V1009" s="1"/>
      <c r="Y1009" s="1"/>
      <c r="Z1009" s="2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U1009" s="1"/>
      <c r="AW1009" s="1"/>
      <c r="AX1009" s="1"/>
      <c r="AY1009" s="1"/>
      <c r="AZ1009" s="1"/>
      <c r="BA1009" s="1"/>
      <c r="BC1009" s="1"/>
      <c r="BD1009" s="1"/>
      <c r="BE1009" s="1"/>
      <c r="BF1009" s="1"/>
      <c r="BG1009" s="1"/>
      <c r="BH1009" s="1"/>
      <c r="BI1009" s="1"/>
      <c r="BJ1009" s="1"/>
      <c r="BK1009" s="1"/>
      <c r="BL1009" s="1"/>
      <c r="BM1009" s="1"/>
      <c r="BN1009" s="1"/>
      <c r="BO1009" s="1"/>
      <c r="BP1009" s="1"/>
      <c r="BQ1009" s="1"/>
      <c r="BR1009" s="1"/>
      <c r="BS1009" s="1"/>
      <c r="BT1009" s="1"/>
      <c r="BU1009" s="1"/>
      <c r="BV1009" s="1"/>
      <c r="BW1009" s="1"/>
      <c r="BX1009" s="1"/>
      <c r="BY1009" s="1"/>
      <c r="BZ1009" s="1"/>
      <c r="CA1009" s="1"/>
      <c r="CB1009" s="1"/>
      <c r="CC1009" s="1"/>
      <c r="CD1009" s="1"/>
      <c r="CE1009" s="1"/>
      <c r="CF1009" s="1"/>
      <c r="CG1009" s="1"/>
      <c r="CH1009" s="1"/>
      <c r="CI1009" s="1"/>
      <c r="CJ1009" s="1"/>
      <c r="CK1009" s="1"/>
      <c r="CL1009" s="1"/>
      <c r="CM1009" s="1"/>
      <c r="CN1009" s="1"/>
      <c r="CO1009" s="1"/>
      <c r="CP1009" s="1"/>
      <c r="CQ1009" s="1"/>
      <c r="CR1009" s="1"/>
      <c r="CS1009" s="1"/>
      <c r="CT1009" s="1"/>
      <c r="CU1009" s="1"/>
      <c r="CV1009" s="1"/>
      <c r="CW1009" s="1"/>
      <c r="CX1009" s="1"/>
      <c r="CY1009" s="1"/>
      <c r="CZ1009" s="1"/>
      <c r="DA1009" s="1"/>
      <c r="DB1009" s="1"/>
      <c r="DC1009" s="1"/>
      <c r="DD1009" s="1"/>
      <c r="DE1009" s="1"/>
      <c r="DF1009" s="1"/>
      <c r="DG1009" s="1"/>
      <c r="DH1009" s="1"/>
      <c r="DI1009" s="1"/>
      <c r="DJ1009" s="1"/>
      <c r="DK1009" s="1"/>
      <c r="DL1009" s="1"/>
      <c r="DM1009" s="1"/>
      <c r="DN1009" s="1"/>
      <c r="DO1009" s="1"/>
      <c r="DP1009" s="1"/>
      <c r="DQ1009" s="1"/>
      <c r="DR1009" s="1"/>
      <c r="DS1009" s="1"/>
      <c r="DT1009" s="1"/>
      <c r="DU1009" s="1"/>
      <c r="DV1009" s="1"/>
      <c r="DW1009" s="1"/>
      <c r="DX1009" s="1"/>
      <c r="DY1009" s="1"/>
      <c r="DZ1009" s="1"/>
      <c r="EA1009" s="1"/>
      <c r="EB1009" s="1"/>
      <c r="EC1009" s="1"/>
      <c r="ED1009" s="1"/>
      <c r="EE1009" s="1"/>
      <c r="EF1009" s="1"/>
      <c r="EG1009" s="1"/>
      <c r="EH1009" s="1"/>
      <c r="EI1009" s="1"/>
      <c r="EJ1009" s="1"/>
      <c r="EK1009" s="1"/>
      <c r="EL1009" s="1"/>
      <c r="EM1009" s="1"/>
      <c r="EN1009" s="1"/>
      <c r="EO1009" s="1"/>
      <c r="EP1009" s="1"/>
      <c r="EQ1009" s="1"/>
      <c r="ER1009" s="1"/>
      <c r="ES1009" s="1"/>
      <c r="ET1009" s="1"/>
      <c r="EU1009" s="1"/>
      <c r="EV1009" s="1"/>
      <c r="EW1009" s="1"/>
      <c r="EX1009" s="1"/>
      <c r="EY1009" s="1"/>
      <c r="EZ1009" s="1"/>
      <c r="FA1009" s="1"/>
      <c r="FB1009" s="1"/>
      <c r="FC1009" s="1"/>
      <c r="FD1009" s="1"/>
      <c r="FE1009" s="1"/>
      <c r="FF1009" s="1"/>
      <c r="FG1009" s="1"/>
      <c r="FH1009" s="1"/>
      <c r="FI1009" s="1"/>
      <c r="FJ1009" s="1"/>
      <c r="FK1009" s="1"/>
      <c r="FL1009" s="1"/>
      <c r="FM1009" s="1"/>
      <c r="FN1009" s="1"/>
      <c r="FO1009" s="1"/>
      <c r="FP1009" s="1"/>
      <c r="FQ1009" s="1"/>
      <c r="FR1009" s="2"/>
      <c r="FS1009" s="1"/>
    </row>
    <row r="1010" spans="1:175" x14ac:dyDescent="0.3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R1010" s="1"/>
      <c r="S1010" s="1"/>
      <c r="T1010" s="1"/>
      <c r="U1010" s="1"/>
      <c r="V1010" s="1"/>
      <c r="Y1010" s="1"/>
      <c r="Z1010" s="2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U1010" s="1"/>
      <c r="AW1010" s="1"/>
      <c r="AX1010" s="1"/>
      <c r="AY1010" s="1"/>
      <c r="AZ1010" s="1"/>
      <c r="BA1010" s="1"/>
      <c r="BC1010" s="1"/>
      <c r="BD1010" s="1"/>
      <c r="BE1010" s="1"/>
      <c r="BF1010" s="1"/>
      <c r="BG1010" s="1"/>
      <c r="BH1010" s="1"/>
      <c r="BI1010" s="1"/>
      <c r="BJ1010" s="1"/>
      <c r="BK1010" s="1"/>
      <c r="BL1010" s="1"/>
      <c r="BM1010" s="1"/>
      <c r="BN1010" s="1"/>
      <c r="BO1010" s="1"/>
      <c r="BP1010" s="1"/>
      <c r="BQ1010" s="1"/>
      <c r="BR1010" s="1"/>
      <c r="BS1010" s="1"/>
      <c r="BT1010" s="1"/>
      <c r="BU1010" s="1"/>
      <c r="BV1010" s="1"/>
      <c r="BW1010" s="1"/>
      <c r="BX1010" s="1"/>
      <c r="BY1010" s="1"/>
      <c r="BZ1010" s="1"/>
      <c r="CA1010" s="1"/>
      <c r="CB1010" s="1"/>
      <c r="CC1010" s="1"/>
      <c r="CD1010" s="1"/>
      <c r="CE1010" s="1"/>
      <c r="CF1010" s="1"/>
      <c r="CG1010" s="1"/>
      <c r="CH1010" s="1"/>
      <c r="CI1010" s="1"/>
      <c r="CJ1010" s="1"/>
      <c r="CK1010" s="1"/>
      <c r="CL1010" s="1"/>
      <c r="CM1010" s="1"/>
      <c r="CN1010" s="1"/>
      <c r="CO1010" s="1"/>
      <c r="CP1010" s="1"/>
      <c r="CQ1010" s="1"/>
      <c r="CR1010" s="1"/>
      <c r="CS1010" s="1"/>
      <c r="CT1010" s="1"/>
      <c r="CU1010" s="1"/>
      <c r="CV1010" s="1"/>
      <c r="CW1010" s="1"/>
      <c r="CX1010" s="1"/>
      <c r="CY1010" s="1"/>
      <c r="CZ1010" s="1"/>
      <c r="DA1010" s="1"/>
      <c r="DB1010" s="1"/>
      <c r="DC1010" s="1"/>
      <c r="DD1010" s="1"/>
      <c r="DE1010" s="1"/>
      <c r="DF1010" s="1"/>
      <c r="DG1010" s="1"/>
      <c r="DH1010" s="1"/>
      <c r="DI1010" s="1"/>
      <c r="DJ1010" s="1"/>
      <c r="DK1010" s="1"/>
      <c r="DL1010" s="1"/>
      <c r="DM1010" s="1"/>
      <c r="DN1010" s="1"/>
      <c r="DO1010" s="1"/>
      <c r="DP1010" s="1"/>
      <c r="DQ1010" s="1"/>
      <c r="DR1010" s="1"/>
      <c r="DS1010" s="1"/>
      <c r="DT1010" s="1"/>
      <c r="DU1010" s="1"/>
      <c r="DV1010" s="1"/>
      <c r="DW1010" s="1"/>
      <c r="DX1010" s="1"/>
      <c r="DY1010" s="1"/>
      <c r="DZ1010" s="1"/>
      <c r="EA1010" s="1"/>
      <c r="EB1010" s="1"/>
      <c r="EC1010" s="1"/>
      <c r="ED1010" s="1"/>
      <c r="EE1010" s="1"/>
      <c r="EF1010" s="1"/>
      <c r="EG1010" s="1"/>
      <c r="EH1010" s="1"/>
      <c r="EI1010" s="1"/>
      <c r="EJ1010" s="1"/>
      <c r="EK1010" s="1"/>
      <c r="EL1010" s="1"/>
      <c r="EM1010" s="1"/>
      <c r="EN1010" s="1"/>
      <c r="EO1010" s="1"/>
      <c r="EP1010" s="1"/>
      <c r="EQ1010" s="1"/>
      <c r="ER1010" s="1"/>
      <c r="ES1010" s="1"/>
      <c r="ET1010" s="1"/>
      <c r="EU1010" s="1"/>
      <c r="EV1010" s="1"/>
      <c r="EW1010" s="1"/>
      <c r="EX1010" s="1"/>
      <c r="EY1010" s="1"/>
      <c r="EZ1010" s="1"/>
      <c r="FA1010" s="1"/>
      <c r="FB1010" s="1"/>
      <c r="FC1010" s="1"/>
      <c r="FD1010" s="1"/>
      <c r="FE1010" s="1"/>
      <c r="FF1010" s="1"/>
      <c r="FG1010" s="1"/>
      <c r="FH1010" s="1"/>
      <c r="FI1010" s="1"/>
      <c r="FJ1010" s="1"/>
      <c r="FK1010" s="1"/>
      <c r="FL1010" s="1"/>
      <c r="FM1010" s="1"/>
      <c r="FN1010" s="1"/>
      <c r="FO1010" s="1"/>
      <c r="FP1010" s="1"/>
      <c r="FQ1010" s="1"/>
      <c r="FR1010" s="2"/>
      <c r="FS1010" s="1"/>
    </row>
    <row r="1011" spans="1:175" x14ac:dyDescent="0.3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R1011" s="1"/>
      <c r="S1011" s="1"/>
      <c r="T1011" s="1"/>
      <c r="U1011" s="1"/>
      <c r="V1011" s="1"/>
      <c r="Y1011" s="1"/>
      <c r="Z1011" s="2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U1011" s="1"/>
      <c r="AW1011" s="1"/>
      <c r="AX1011" s="1"/>
      <c r="AY1011" s="1"/>
      <c r="AZ1011" s="1"/>
      <c r="BA1011" s="1"/>
      <c r="BC1011" s="1"/>
      <c r="BD1011" s="1"/>
      <c r="BE1011" s="1"/>
      <c r="BF1011" s="1"/>
      <c r="BG1011" s="1"/>
      <c r="BH1011" s="1"/>
      <c r="BI1011" s="1"/>
      <c r="BJ1011" s="1"/>
      <c r="BK1011" s="1"/>
      <c r="BL1011" s="1"/>
      <c r="BM1011" s="1"/>
      <c r="BN1011" s="1"/>
      <c r="BO1011" s="1"/>
      <c r="BP1011" s="1"/>
      <c r="BQ1011" s="1"/>
      <c r="BR1011" s="1"/>
      <c r="BS1011" s="1"/>
      <c r="BT1011" s="1"/>
      <c r="BU1011" s="1"/>
      <c r="BV1011" s="1"/>
      <c r="BW1011" s="1"/>
      <c r="BX1011" s="1"/>
      <c r="BY1011" s="1"/>
      <c r="BZ1011" s="1"/>
      <c r="CA1011" s="1"/>
      <c r="CB1011" s="1"/>
      <c r="CC1011" s="1"/>
      <c r="CD1011" s="1"/>
      <c r="CE1011" s="1"/>
      <c r="CF1011" s="1"/>
      <c r="CG1011" s="1"/>
      <c r="CH1011" s="1"/>
      <c r="CI1011" s="1"/>
      <c r="CJ1011" s="1"/>
      <c r="CK1011" s="1"/>
      <c r="CL1011" s="1"/>
      <c r="CM1011" s="1"/>
      <c r="CN1011" s="1"/>
      <c r="CO1011" s="1"/>
      <c r="CP1011" s="1"/>
      <c r="CQ1011" s="1"/>
      <c r="CR1011" s="1"/>
      <c r="CS1011" s="1"/>
      <c r="CT1011" s="1"/>
      <c r="CU1011" s="1"/>
      <c r="CV1011" s="1"/>
      <c r="CW1011" s="1"/>
      <c r="CX1011" s="1"/>
      <c r="CY1011" s="1"/>
      <c r="CZ1011" s="1"/>
      <c r="DA1011" s="1"/>
      <c r="DB1011" s="1"/>
      <c r="DC1011" s="1"/>
      <c r="DD1011" s="1"/>
      <c r="DE1011" s="1"/>
      <c r="DF1011" s="1"/>
      <c r="DG1011" s="1"/>
      <c r="DH1011" s="1"/>
      <c r="DI1011" s="1"/>
      <c r="DJ1011" s="1"/>
      <c r="DK1011" s="1"/>
      <c r="DL1011" s="1"/>
      <c r="DM1011" s="1"/>
      <c r="DN1011" s="1"/>
      <c r="DO1011" s="1"/>
      <c r="DP1011" s="1"/>
      <c r="DQ1011" s="1"/>
      <c r="DR1011" s="1"/>
      <c r="DS1011" s="1"/>
      <c r="DT1011" s="1"/>
      <c r="DU1011" s="1"/>
      <c r="DV1011" s="1"/>
      <c r="DW1011" s="1"/>
      <c r="DX1011" s="1"/>
      <c r="DY1011" s="1"/>
      <c r="DZ1011" s="1"/>
      <c r="EA1011" s="1"/>
      <c r="EB1011" s="1"/>
      <c r="EC1011" s="1"/>
      <c r="ED1011" s="1"/>
      <c r="EE1011" s="1"/>
      <c r="EF1011" s="1"/>
      <c r="EG1011" s="1"/>
      <c r="EH1011" s="1"/>
      <c r="EI1011" s="1"/>
      <c r="EJ1011" s="1"/>
      <c r="EK1011" s="1"/>
      <c r="EL1011" s="1"/>
      <c r="EM1011" s="1"/>
      <c r="EN1011" s="1"/>
      <c r="EO1011" s="1"/>
      <c r="EP1011" s="1"/>
      <c r="EQ1011" s="1"/>
      <c r="ER1011" s="1"/>
      <c r="ES1011" s="1"/>
      <c r="ET1011" s="1"/>
      <c r="EU1011" s="1"/>
      <c r="EV1011" s="1"/>
      <c r="EW1011" s="1"/>
      <c r="EX1011" s="1"/>
      <c r="EY1011" s="1"/>
      <c r="EZ1011" s="1"/>
      <c r="FA1011" s="1"/>
      <c r="FB1011" s="1"/>
      <c r="FC1011" s="1"/>
      <c r="FD1011" s="1"/>
      <c r="FE1011" s="1"/>
      <c r="FF1011" s="1"/>
      <c r="FG1011" s="1"/>
      <c r="FH1011" s="1"/>
      <c r="FI1011" s="1"/>
      <c r="FJ1011" s="1"/>
      <c r="FK1011" s="1"/>
      <c r="FL1011" s="1"/>
      <c r="FM1011" s="1"/>
      <c r="FN1011" s="1"/>
      <c r="FO1011" s="1"/>
      <c r="FP1011" s="1"/>
      <c r="FQ1011" s="1"/>
      <c r="FR1011" s="2"/>
      <c r="FS1011" s="1"/>
    </row>
    <row r="1012" spans="1:175" x14ac:dyDescent="0.3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R1012" s="1"/>
      <c r="S1012" s="1"/>
      <c r="T1012" s="1"/>
      <c r="U1012" s="1"/>
      <c r="V1012" s="1"/>
      <c r="Y1012" s="1"/>
      <c r="Z1012" s="2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U1012" s="1"/>
      <c r="AW1012" s="1"/>
      <c r="AX1012" s="1"/>
      <c r="AY1012" s="1"/>
      <c r="AZ1012" s="1"/>
      <c r="BA1012" s="1"/>
      <c r="BC1012" s="1"/>
      <c r="BD1012" s="1"/>
      <c r="BE1012" s="1"/>
      <c r="BF1012" s="1"/>
      <c r="BG1012" s="1"/>
      <c r="BH1012" s="1"/>
      <c r="BI1012" s="1"/>
      <c r="BJ1012" s="1"/>
      <c r="BK1012" s="1"/>
      <c r="BL1012" s="1"/>
      <c r="BM1012" s="1"/>
      <c r="BN1012" s="1"/>
      <c r="BO1012" s="1"/>
      <c r="BP1012" s="1"/>
      <c r="BQ1012" s="1"/>
      <c r="BR1012" s="1"/>
      <c r="BS1012" s="1"/>
      <c r="BT1012" s="1"/>
      <c r="BU1012" s="1"/>
      <c r="BV1012" s="1"/>
      <c r="BW1012" s="1"/>
      <c r="BX1012" s="1"/>
      <c r="BY1012" s="1"/>
      <c r="BZ1012" s="1"/>
      <c r="CA1012" s="1"/>
      <c r="CB1012" s="1"/>
      <c r="CC1012" s="1"/>
      <c r="CD1012" s="1"/>
      <c r="CE1012" s="1"/>
      <c r="CF1012" s="1"/>
      <c r="CG1012" s="1"/>
      <c r="CH1012" s="1"/>
      <c r="CI1012" s="1"/>
      <c r="CJ1012" s="1"/>
      <c r="CK1012" s="1"/>
      <c r="CL1012" s="1"/>
      <c r="CM1012" s="1"/>
      <c r="CN1012" s="1"/>
      <c r="CO1012" s="1"/>
      <c r="CP1012" s="1"/>
      <c r="CQ1012" s="1"/>
      <c r="CR1012" s="1"/>
      <c r="CS1012" s="1"/>
      <c r="CT1012" s="1"/>
      <c r="CU1012" s="1"/>
      <c r="CV1012" s="1"/>
      <c r="CW1012" s="1"/>
      <c r="CX1012" s="1"/>
      <c r="CY1012" s="1"/>
      <c r="CZ1012" s="1"/>
      <c r="DA1012" s="1"/>
      <c r="DB1012" s="1"/>
      <c r="DC1012" s="1"/>
      <c r="DD1012" s="1"/>
      <c r="DE1012" s="1"/>
      <c r="DF1012" s="1"/>
      <c r="DG1012" s="1"/>
      <c r="DH1012" s="1"/>
      <c r="DI1012" s="1"/>
      <c r="DJ1012" s="1"/>
      <c r="DK1012" s="1"/>
      <c r="DL1012" s="1"/>
      <c r="DM1012" s="1"/>
      <c r="DN1012" s="1"/>
      <c r="DO1012" s="1"/>
      <c r="DP1012" s="1"/>
      <c r="DQ1012" s="1"/>
      <c r="DR1012" s="1"/>
      <c r="DS1012" s="1"/>
      <c r="DT1012" s="1"/>
      <c r="DU1012" s="1"/>
      <c r="DV1012" s="1"/>
      <c r="DW1012" s="1"/>
      <c r="DX1012" s="1"/>
      <c r="DY1012" s="1"/>
      <c r="DZ1012" s="1"/>
      <c r="EA1012" s="1"/>
      <c r="EB1012" s="1"/>
      <c r="EC1012" s="1"/>
      <c r="ED1012" s="1"/>
      <c r="EE1012" s="1"/>
      <c r="EF1012" s="1"/>
      <c r="EG1012" s="1"/>
      <c r="EH1012" s="1"/>
      <c r="EI1012" s="1"/>
      <c r="EJ1012" s="1"/>
      <c r="EK1012" s="1"/>
      <c r="EL1012" s="1"/>
      <c r="EM1012" s="1"/>
      <c r="EN1012" s="1"/>
      <c r="EO1012" s="1"/>
      <c r="EP1012" s="1"/>
      <c r="EQ1012" s="1"/>
      <c r="ER1012" s="1"/>
      <c r="ES1012" s="1"/>
      <c r="ET1012" s="1"/>
      <c r="EU1012" s="1"/>
      <c r="EV1012" s="1"/>
      <c r="EW1012" s="1"/>
      <c r="EX1012" s="1"/>
      <c r="EY1012" s="1"/>
      <c r="EZ1012" s="1"/>
      <c r="FA1012" s="1"/>
      <c r="FB1012" s="1"/>
      <c r="FC1012" s="1"/>
      <c r="FD1012" s="1"/>
      <c r="FE1012" s="1"/>
      <c r="FF1012" s="1"/>
      <c r="FG1012" s="1"/>
      <c r="FH1012" s="1"/>
      <c r="FI1012" s="1"/>
      <c r="FJ1012" s="1"/>
      <c r="FK1012" s="1"/>
      <c r="FL1012" s="1"/>
      <c r="FM1012" s="1"/>
      <c r="FN1012" s="1"/>
      <c r="FO1012" s="1"/>
      <c r="FP1012" s="1"/>
      <c r="FQ1012" s="1"/>
      <c r="FR1012" s="2"/>
      <c r="FS1012" s="1"/>
    </row>
    <row r="1013" spans="1:175" x14ac:dyDescent="0.3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R1013" s="1"/>
      <c r="S1013" s="1"/>
      <c r="T1013" s="1"/>
      <c r="U1013" s="1"/>
      <c r="V1013" s="1"/>
      <c r="Y1013" s="1"/>
      <c r="Z1013" s="2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U1013" s="1"/>
      <c r="AW1013" s="1"/>
      <c r="AX1013" s="1"/>
      <c r="AY1013" s="1"/>
      <c r="AZ1013" s="1"/>
      <c r="BA1013" s="1"/>
      <c r="BC1013" s="1"/>
      <c r="BD1013" s="1"/>
      <c r="BE1013" s="1"/>
      <c r="BF1013" s="1"/>
      <c r="BG1013" s="1"/>
      <c r="BH1013" s="1"/>
      <c r="BI1013" s="1"/>
      <c r="BJ1013" s="1"/>
      <c r="BK1013" s="1"/>
      <c r="BL1013" s="1"/>
      <c r="BM1013" s="1"/>
      <c r="BN1013" s="1"/>
      <c r="BO1013" s="1"/>
      <c r="BP1013" s="1"/>
      <c r="BQ1013" s="1"/>
      <c r="BR1013" s="1"/>
      <c r="BS1013" s="1"/>
      <c r="BT1013" s="1"/>
      <c r="BU1013" s="1"/>
      <c r="BV1013" s="1"/>
      <c r="BW1013" s="1"/>
      <c r="BX1013" s="1"/>
      <c r="BY1013" s="1"/>
      <c r="BZ1013" s="1"/>
      <c r="CA1013" s="1"/>
      <c r="CB1013" s="1"/>
      <c r="CC1013" s="1"/>
      <c r="CD1013" s="1"/>
      <c r="CE1013" s="1"/>
      <c r="CF1013" s="1"/>
      <c r="CG1013" s="1"/>
      <c r="CH1013" s="1"/>
      <c r="CI1013" s="1"/>
      <c r="CJ1013" s="1"/>
      <c r="CK1013" s="1"/>
      <c r="CL1013" s="1"/>
      <c r="CM1013" s="1"/>
      <c r="CN1013" s="1"/>
      <c r="CO1013" s="1"/>
      <c r="CP1013" s="1"/>
      <c r="CQ1013" s="1"/>
      <c r="CR1013" s="1"/>
      <c r="CS1013" s="1"/>
      <c r="CT1013" s="1"/>
      <c r="CU1013" s="1"/>
      <c r="CV1013" s="1"/>
      <c r="CW1013" s="1"/>
      <c r="CX1013" s="1"/>
      <c r="CY1013" s="1"/>
      <c r="CZ1013" s="1"/>
      <c r="DA1013" s="1"/>
      <c r="DB1013" s="1"/>
      <c r="DC1013" s="1"/>
      <c r="DD1013" s="1"/>
      <c r="DE1013" s="1"/>
      <c r="DF1013" s="1"/>
      <c r="DG1013" s="1"/>
      <c r="DH1013" s="1"/>
      <c r="DI1013" s="1"/>
      <c r="DJ1013" s="1"/>
      <c r="DK1013" s="1"/>
      <c r="DL1013" s="1"/>
      <c r="DM1013" s="1"/>
      <c r="DN1013" s="1"/>
      <c r="DO1013" s="1"/>
      <c r="DP1013" s="1"/>
      <c r="DQ1013" s="1"/>
      <c r="DR1013" s="1"/>
      <c r="DS1013" s="1"/>
      <c r="DT1013" s="1"/>
      <c r="DU1013" s="1"/>
      <c r="DV1013" s="1"/>
      <c r="DW1013" s="1"/>
      <c r="DX1013" s="1"/>
      <c r="DY1013" s="1"/>
      <c r="DZ1013" s="1"/>
      <c r="EA1013" s="1"/>
      <c r="EB1013" s="1"/>
      <c r="EC1013" s="1"/>
      <c r="ED1013" s="1"/>
      <c r="EE1013" s="1"/>
      <c r="EF1013" s="1"/>
      <c r="EG1013" s="1"/>
      <c r="EH1013" s="1"/>
      <c r="EI1013" s="1"/>
      <c r="EJ1013" s="1"/>
      <c r="EK1013" s="1"/>
      <c r="EL1013" s="1"/>
      <c r="EM1013" s="1"/>
      <c r="EN1013" s="1"/>
      <c r="EO1013" s="1"/>
      <c r="EP1013" s="1"/>
      <c r="EQ1013" s="1"/>
      <c r="ER1013" s="1"/>
      <c r="ES1013" s="1"/>
      <c r="ET1013" s="1"/>
      <c r="EU1013" s="1"/>
      <c r="EV1013" s="1"/>
      <c r="EW1013" s="1"/>
      <c r="EX1013" s="1"/>
      <c r="EY1013" s="1"/>
      <c r="EZ1013" s="1"/>
      <c r="FA1013" s="1"/>
      <c r="FB1013" s="1"/>
      <c r="FC1013" s="1"/>
      <c r="FD1013" s="1"/>
      <c r="FE1013" s="1"/>
      <c r="FF1013" s="1"/>
      <c r="FG1013" s="1"/>
      <c r="FH1013" s="1"/>
      <c r="FI1013" s="1"/>
      <c r="FJ1013" s="1"/>
      <c r="FK1013" s="1"/>
      <c r="FL1013" s="1"/>
      <c r="FM1013" s="1"/>
      <c r="FN1013" s="1"/>
      <c r="FO1013" s="1"/>
      <c r="FP1013" s="1"/>
      <c r="FQ1013" s="1"/>
      <c r="FR1013" s="2"/>
      <c r="FS1013" s="1"/>
    </row>
    <row r="1014" spans="1:175" x14ac:dyDescent="0.3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R1014" s="1"/>
      <c r="S1014" s="1"/>
      <c r="T1014" s="1"/>
      <c r="U1014" s="1"/>
      <c r="V1014" s="1"/>
      <c r="Y1014" s="1"/>
      <c r="Z1014" s="2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U1014" s="1"/>
      <c r="AW1014" s="1"/>
      <c r="AX1014" s="1"/>
      <c r="AY1014" s="1"/>
      <c r="AZ1014" s="1"/>
      <c r="BA1014" s="1"/>
      <c r="BC1014" s="1"/>
      <c r="BD1014" s="1"/>
      <c r="BE1014" s="1"/>
      <c r="BF1014" s="1"/>
      <c r="BG1014" s="1"/>
      <c r="BH1014" s="1"/>
      <c r="BI1014" s="1"/>
      <c r="BJ1014" s="1"/>
      <c r="BK1014" s="1"/>
      <c r="BL1014" s="1"/>
      <c r="BM1014" s="1"/>
      <c r="BN1014" s="1"/>
      <c r="BO1014" s="1"/>
      <c r="BP1014" s="1"/>
      <c r="BQ1014" s="1"/>
      <c r="BR1014" s="1"/>
      <c r="BS1014" s="1"/>
      <c r="BT1014" s="1"/>
      <c r="BU1014" s="1"/>
      <c r="BV1014" s="1"/>
      <c r="BW1014" s="1"/>
      <c r="BX1014" s="1"/>
      <c r="BY1014" s="1"/>
      <c r="BZ1014" s="1"/>
      <c r="CA1014" s="1"/>
      <c r="CB1014" s="1"/>
      <c r="CC1014" s="1"/>
      <c r="CD1014" s="1"/>
      <c r="CE1014" s="1"/>
      <c r="CF1014" s="1"/>
      <c r="CG1014" s="1"/>
      <c r="CH1014" s="1"/>
      <c r="CI1014" s="1"/>
      <c r="CJ1014" s="1"/>
      <c r="CK1014" s="1"/>
      <c r="CL1014" s="1"/>
      <c r="CM1014" s="1"/>
      <c r="CN1014" s="1"/>
      <c r="CO1014" s="1"/>
      <c r="CP1014" s="1"/>
      <c r="CQ1014" s="1"/>
      <c r="CR1014" s="1"/>
      <c r="CS1014" s="1"/>
      <c r="CT1014" s="1"/>
      <c r="CU1014" s="1"/>
      <c r="CV1014" s="1"/>
      <c r="CW1014" s="1"/>
      <c r="CX1014" s="1"/>
      <c r="CY1014" s="1"/>
      <c r="CZ1014" s="1"/>
      <c r="DA1014" s="1"/>
      <c r="DB1014" s="1"/>
      <c r="DC1014" s="1"/>
      <c r="DD1014" s="1"/>
      <c r="DE1014" s="1"/>
      <c r="DF1014" s="1"/>
      <c r="DG1014" s="1"/>
      <c r="DH1014" s="1"/>
      <c r="DI1014" s="1"/>
      <c r="DJ1014" s="1"/>
      <c r="DK1014" s="1"/>
      <c r="DL1014" s="1"/>
      <c r="DM1014" s="1"/>
      <c r="DN1014" s="1"/>
      <c r="DO1014" s="1"/>
      <c r="DP1014" s="1"/>
      <c r="DQ1014" s="1"/>
      <c r="DR1014" s="1"/>
      <c r="DS1014" s="1"/>
      <c r="DT1014" s="1"/>
      <c r="DU1014" s="1"/>
      <c r="DV1014" s="1"/>
      <c r="DW1014" s="1"/>
      <c r="DX1014" s="1"/>
      <c r="DY1014" s="1"/>
      <c r="DZ1014" s="1"/>
      <c r="EA1014" s="1"/>
      <c r="EB1014" s="1"/>
      <c r="EC1014" s="1"/>
      <c r="ED1014" s="1"/>
      <c r="EE1014" s="1"/>
      <c r="EF1014" s="1"/>
      <c r="EG1014" s="1"/>
      <c r="EH1014" s="1"/>
      <c r="EI1014" s="1"/>
      <c r="EJ1014" s="1"/>
      <c r="EK1014" s="1"/>
      <c r="EL1014" s="1"/>
      <c r="EM1014" s="1"/>
      <c r="EN1014" s="1"/>
      <c r="EO1014" s="1"/>
      <c r="EP1014" s="1"/>
      <c r="EQ1014" s="1"/>
      <c r="ER1014" s="1"/>
      <c r="ES1014" s="1"/>
      <c r="ET1014" s="1"/>
      <c r="EU1014" s="1"/>
      <c r="EV1014" s="1"/>
      <c r="EW1014" s="1"/>
      <c r="EX1014" s="1"/>
      <c r="EY1014" s="1"/>
      <c r="EZ1014" s="1"/>
      <c r="FA1014" s="1"/>
      <c r="FB1014" s="1"/>
      <c r="FC1014" s="1"/>
      <c r="FD1014" s="1"/>
      <c r="FE1014" s="1"/>
      <c r="FF1014" s="1"/>
      <c r="FG1014" s="1"/>
      <c r="FH1014" s="1"/>
      <c r="FI1014" s="1"/>
      <c r="FJ1014" s="1"/>
      <c r="FK1014" s="1"/>
      <c r="FL1014" s="1"/>
      <c r="FM1014" s="1"/>
      <c r="FN1014" s="1"/>
      <c r="FO1014" s="1"/>
      <c r="FP1014" s="1"/>
      <c r="FQ1014" s="1"/>
      <c r="FR1014" s="2"/>
      <c r="FS1014" s="1"/>
    </row>
    <row r="1015" spans="1:175" x14ac:dyDescent="0.3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R1015" s="1"/>
      <c r="S1015" s="1"/>
      <c r="T1015" s="1"/>
      <c r="U1015" s="1"/>
      <c r="V1015" s="1"/>
      <c r="Y1015" s="1"/>
      <c r="Z1015" s="2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U1015" s="1"/>
      <c r="AW1015" s="1"/>
      <c r="AX1015" s="1"/>
      <c r="AY1015" s="1"/>
      <c r="AZ1015" s="1"/>
      <c r="BA1015" s="1"/>
      <c r="BC1015" s="1"/>
      <c r="BD1015" s="1"/>
      <c r="BE1015" s="1"/>
      <c r="BF1015" s="1"/>
      <c r="BG1015" s="1"/>
      <c r="BH1015" s="1"/>
      <c r="BI1015" s="1"/>
      <c r="BJ1015" s="1"/>
      <c r="BK1015" s="1"/>
      <c r="BL1015" s="1"/>
      <c r="BM1015" s="1"/>
      <c r="BN1015" s="1"/>
      <c r="BO1015" s="1"/>
      <c r="BP1015" s="1"/>
      <c r="BQ1015" s="1"/>
      <c r="BR1015" s="1"/>
      <c r="BS1015" s="1"/>
      <c r="BT1015" s="1"/>
      <c r="BU1015" s="1"/>
      <c r="BV1015" s="1"/>
      <c r="BW1015" s="1"/>
      <c r="BX1015" s="1"/>
      <c r="BY1015" s="1"/>
      <c r="BZ1015" s="1"/>
      <c r="CA1015" s="1"/>
      <c r="CB1015" s="1"/>
      <c r="CC1015" s="1"/>
      <c r="CD1015" s="1"/>
      <c r="CE1015" s="1"/>
      <c r="CF1015" s="1"/>
      <c r="CG1015" s="1"/>
      <c r="CH1015" s="1"/>
      <c r="CI1015" s="1"/>
      <c r="CJ1015" s="1"/>
      <c r="CK1015" s="1"/>
      <c r="CL1015" s="1"/>
      <c r="CM1015" s="1"/>
      <c r="CN1015" s="1"/>
      <c r="CO1015" s="1"/>
      <c r="CP1015" s="1"/>
      <c r="CQ1015" s="1"/>
      <c r="CR1015" s="1"/>
      <c r="CS1015" s="1"/>
      <c r="CT1015" s="1"/>
      <c r="CU1015" s="1"/>
      <c r="CV1015" s="1"/>
      <c r="CW1015" s="1"/>
      <c r="CX1015" s="1"/>
      <c r="CY1015" s="1"/>
      <c r="CZ1015" s="1"/>
      <c r="DA1015" s="1"/>
      <c r="DB1015" s="1"/>
      <c r="DC1015" s="1"/>
      <c r="DD1015" s="1"/>
      <c r="DE1015" s="1"/>
      <c r="DF1015" s="1"/>
      <c r="DG1015" s="1"/>
      <c r="DH1015" s="1"/>
      <c r="DI1015" s="1"/>
      <c r="DJ1015" s="1"/>
      <c r="DK1015" s="1"/>
      <c r="DL1015" s="1"/>
      <c r="DM1015" s="1"/>
      <c r="DN1015" s="1"/>
      <c r="DO1015" s="1"/>
      <c r="DP1015" s="1"/>
      <c r="DQ1015" s="1"/>
      <c r="DR1015" s="1"/>
      <c r="DS1015" s="1"/>
      <c r="DT1015" s="1"/>
      <c r="DU1015" s="1"/>
      <c r="DV1015" s="1"/>
      <c r="DW1015" s="1"/>
      <c r="DX1015" s="1"/>
      <c r="DY1015" s="1"/>
      <c r="DZ1015" s="1"/>
      <c r="EA1015" s="1"/>
      <c r="EB1015" s="1"/>
      <c r="EC1015" s="1"/>
      <c r="ED1015" s="1"/>
      <c r="EE1015" s="1"/>
      <c r="EF1015" s="1"/>
      <c r="EG1015" s="1"/>
      <c r="EH1015" s="1"/>
      <c r="EI1015" s="1"/>
      <c r="EJ1015" s="1"/>
      <c r="EK1015" s="1"/>
      <c r="EL1015" s="1"/>
      <c r="EM1015" s="1"/>
      <c r="EN1015" s="1"/>
      <c r="EO1015" s="1"/>
      <c r="EP1015" s="1"/>
      <c r="EQ1015" s="1"/>
      <c r="ER1015" s="1"/>
      <c r="ES1015" s="1"/>
      <c r="ET1015" s="1"/>
      <c r="EU1015" s="1"/>
      <c r="EV1015" s="1"/>
      <c r="EW1015" s="1"/>
      <c r="EX1015" s="1"/>
      <c r="EY1015" s="1"/>
      <c r="EZ1015" s="1"/>
      <c r="FA1015" s="1"/>
      <c r="FB1015" s="1"/>
      <c r="FC1015" s="1"/>
      <c r="FD1015" s="1"/>
      <c r="FE1015" s="1"/>
      <c r="FF1015" s="1"/>
      <c r="FG1015" s="1"/>
      <c r="FH1015" s="1"/>
      <c r="FI1015" s="1"/>
      <c r="FJ1015" s="1"/>
      <c r="FK1015" s="1"/>
      <c r="FL1015" s="1"/>
      <c r="FM1015" s="1"/>
      <c r="FN1015" s="1"/>
      <c r="FO1015" s="1"/>
      <c r="FP1015" s="1"/>
      <c r="FQ1015" s="1"/>
      <c r="FR1015" s="2"/>
      <c r="FS1015" s="1"/>
    </row>
    <row r="1016" spans="1:175" x14ac:dyDescent="0.3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R1016" s="1"/>
      <c r="S1016" s="1"/>
      <c r="T1016" s="1"/>
      <c r="U1016" s="1"/>
      <c r="V1016" s="1"/>
      <c r="Y1016" s="1"/>
      <c r="Z1016" s="2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U1016" s="1"/>
      <c r="AW1016" s="1"/>
      <c r="AX1016" s="1"/>
      <c r="AY1016" s="1"/>
      <c r="AZ1016" s="1"/>
      <c r="BA1016" s="1"/>
      <c r="BC1016" s="1"/>
      <c r="BD1016" s="1"/>
      <c r="BE1016" s="1"/>
      <c r="BF1016" s="1"/>
      <c r="BG1016" s="1"/>
      <c r="BH1016" s="1"/>
      <c r="BI1016" s="1"/>
      <c r="BJ1016" s="1"/>
      <c r="BK1016" s="1"/>
      <c r="BL1016" s="1"/>
      <c r="BM1016" s="1"/>
      <c r="BN1016" s="1"/>
      <c r="BO1016" s="1"/>
      <c r="BP1016" s="1"/>
      <c r="BQ1016" s="1"/>
      <c r="BR1016" s="1"/>
      <c r="BS1016" s="1"/>
      <c r="BT1016" s="1"/>
      <c r="BU1016" s="1"/>
      <c r="BV1016" s="1"/>
      <c r="BW1016" s="1"/>
      <c r="BX1016" s="1"/>
      <c r="BY1016" s="1"/>
      <c r="BZ1016" s="1"/>
      <c r="CA1016" s="1"/>
      <c r="CB1016" s="1"/>
      <c r="CC1016" s="1"/>
      <c r="CD1016" s="1"/>
      <c r="CE1016" s="1"/>
      <c r="CF1016" s="1"/>
      <c r="CG1016" s="1"/>
      <c r="CH1016" s="1"/>
      <c r="CI1016" s="1"/>
      <c r="CJ1016" s="1"/>
      <c r="CK1016" s="1"/>
      <c r="CL1016" s="1"/>
      <c r="CM1016" s="1"/>
      <c r="CN1016" s="1"/>
      <c r="CO1016" s="1"/>
      <c r="CP1016" s="1"/>
      <c r="CQ1016" s="1"/>
      <c r="CR1016" s="1"/>
      <c r="CS1016" s="1"/>
      <c r="CT1016" s="1"/>
      <c r="CU1016" s="1"/>
      <c r="CV1016" s="1"/>
      <c r="CW1016" s="1"/>
      <c r="CX1016" s="1"/>
      <c r="CY1016" s="1"/>
      <c r="CZ1016" s="1"/>
      <c r="DA1016" s="1"/>
      <c r="DB1016" s="1"/>
      <c r="DC1016" s="1"/>
      <c r="DD1016" s="1"/>
      <c r="DE1016" s="1"/>
      <c r="DF1016" s="1"/>
      <c r="DG1016" s="1"/>
      <c r="DH1016" s="1"/>
      <c r="DI1016" s="1"/>
      <c r="DJ1016" s="1"/>
      <c r="DK1016" s="1"/>
      <c r="DL1016" s="1"/>
      <c r="DM1016" s="1"/>
      <c r="DN1016" s="1"/>
      <c r="DO1016" s="1"/>
      <c r="DP1016" s="1"/>
      <c r="DQ1016" s="1"/>
      <c r="DR1016" s="1"/>
      <c r="DS1016" s="1"/>
      <c r="DT1016" s="1"/>
      <c r="DU1016" s="1"/>
      <c r="DV1016" s="1"/>
      <c r="DW1016" s="1"/>
      <c r="DX1016" s="1"/>
      <c r="DY1016" s="1"/>
      <c r="DZ1016" s="1"/>
      <c r="EA1016" s="1"/>
      <c r="EB1016" s="1"/>
      <c r="EC1016" s="1"/>
      <c r="ED1016" s="1"/>
      <c r="EE1016" s="1"/>
      <c r="EF1016" s="1"/>
      <c r="EG1016" s="1"/>
      <c r="EH1016" s="1"/>
      <c r="EI1016" s="1"/>
      <c r="EJ1016" s="1"/>
      <c r="EK1016" s="1"/>
      <c r="EL1016" s="1"/>
      <c r="EM1016" s="1"/>
      <c r="EN1016" s="1"/>
      <c r="EO1016" s="1"/>
      <c r="EP1016" s="1"/>
      <c r="EQ1016" s="1"/>
      <c r="ER1016" s="1"/>
      <c r="ES1016" s="1"/>
      <c r="ET1016" s="1"/>
      <c r="EU1016" s="1"/>
      <c r="EV1016" s="1"/>
      <c r="EW1016" s="1"/>
      <c r="EX1016" s="1"/>
      <c r="EY1016" s="1"/>
      <c r="EZ1016" s="1"/>
      <c r="FA1016" s="1"/>
      <c r="FB1016" s="1"/>
      <c r="FC1016" s="1"/>
      <c r="FD1016" s="1"/>
      <c r="FE1016" s="1"/>
      <c r="FF1016" s="1"/>
      <c r="FG1016" s="1"/>
      <c r="FH1016" s="1"/>
      <c r="FI1016" s="1"/>
      <c r="FJ1016" s="1"/>
      <c r="FK1016" s="1"/>
      <c r="FL1016" s="1"/>
      <c r="FM1016" s="1"/>
      <c r="FN1016" s="1"/>
      <c r="FO1016" s="1"/>
      <c r="FP1016" s="1"/>
      <c r="FQ1016" s="1"/>
      <c r="FR1016" s="2"/>
      <c r="FS1016" s="1"/>
    </row>
    <row r="1017" spans="1:175" x14ac:dyDescent="0.3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R1017" s="1"/>
      <c r="S1017" s="1"/>
      <c r="T1017" s="1"/>
      <c r="U1017" s="1"/>
      <c r="V1017" s="1"/>
      <c r="Y1017" s="1"/>
      <c r="Z1017" s="2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U1017" s="1"/>
      <c r="AW1017" s="1"/>
      <c r="AX1017" s="1"/>
      <c r="AY1017" s="1"/>
      <c r="AZ1017" s="1"/>
      <c r="BA1017" s="1"/>
      <c r="BC1017" s="1"/>
      <c r="BD1017" s="1"/>
      <c r="BE1017" s="1"/>
      <c r="BF1017" s="1"/>
      <c r="BG1017" s="1"/>
      <c r="BH1017" s="1"/>
      <c r="BI1017" s="1"/>
      <c r="BJ1017" s="1"/>
      <c r="BK1017" s="1"/>
      <c r="BL1017" s="1"/>
      <c r="BM1017" s="1"/>
      <c r="BN1017" s="1"/>
      <c r="BO1017" s="1"/>
      <c r="BP1017" s="1"/>
      <c r="BQ1017" s="1"/>
      <c r="BR1017" s="1"/>
      <c r="BS1017" s="1"/>
      <c r="BT1017" s="1"/>
      <c r="BU1017" s="1"/>
      <c r="BV1017" s="1"/>
      <c r="BW1017" s="1"/>
      <c r="BX1017" s="1"/>
      <c r="BY1017" s="1"/>
      <c r="BZ1017" s="1"/>
      <c r="CA1017" s="1"/>
      <c r="CB1017" s="1"/>
      <c r="CC1017" s="1"/>
      <c r="CD1017" s="1"/>
      <c r="CE1017" s="1"/>
      <c r="CF1017" s="1"/>
      <c r="CG1017" s="1"/>
      <c r="CH1017" s="1"/>
      <c r="CI1017" s="1"/>
      <c r="CJ1017" s="1"/>
      <c r="CK1017" s="1"/>
      <c r="CL1017" s="1"/>
      <c r="CM1017" s="1"/>
      <c r="CN1017" s="1"/>
      <c r="CO1017" s="1"/>
      <c r="CP1017" s="1"/>
      <c r="CQ1017" s="1"/>
      <c r="CR1017" s="1"/>
      <c r="CS1017" s="1"/>
      <c r="CT1017" s="1"/>
      <c r="CU1017" s="1"/>
      <c r="CV1017" s="1"/>
      <c r="CW1017" s="1"/>
      <c r="CX1017" s="1"/>
      <c r="CY1017" s="1"/>
      <c r="CZ1017" s="1"/>
      <c r="DA1017" s="1"/>
      <c r="DB1017" s="1"/>
      <c r="DC1017" s="1"/>
      <c r="DD1017" s="1"/>
      <c r="DE1017" s="1"/>
      <c r="DF1017" s="1"/>
      <c r="DG1017" s="1"/>
      <c r="DH1017" s="1"/>
      <c r="DI1017" s="1"/>
      <c r="DJ1017" s="1"/>
      <c r="DK1017" s="1"/>
      <c r="DL1017" s="1"/>
      <c r="DM1017" s="1"/>
      <c r="DN1017" s="1"/>
      <c r="DO1017" s="1"/>
      <c r="DP1017" s="1"/>
      <c r="DQ1017" s="1"/>
      <c r="DR1017" s="1"/>
      <c r="DS1017" s="1"/>
      <c r="DT1017" s="1"/>
      <c r="DU1017" s="1"/>
      <c r="DV1017" s="1"/>
      <c r="DW1017" s="1"/>
      <c r="DX1017" s="1"/>
      <c r="DY1017" s="1"/>
      <c r="DZ1017" s="1"/>
      <c r="EA1017" s="1"/>
      <c r="EB1017" s="1"/>
      <c r="EC1017" s="1"/>
      <c r="ED1017" s="1"/>
      <c r="EE1017" s="1"/>
      <c r="EF1017" s="1"/>
      <c r="EG1017" s="1"/>
      <c r="EH1017" s="1"/>
      <c r="EI1017" s="1"/>
      <c r="EJ1017" s="1"/>
      <c r="EK1017" s="1"/>
      <c r="EL1017" s="1"/>
      <c r="EM1017" s="1"/>
      <c r="EN1017" s="1"/>
      <c r="EO1017" s="1"/>
      <c r="EP1017" s="1"/>
      <c r="EQ1017" s="1"/>
      <c r="ER1017" s="1"/>
      <c r="ES1017" s="1"/>
      <c r="ET1017" s="1"/>
      <c r="EU1017" s="1"/>
      <c r="EV1017" s="1"/>
      <c r="EW1017" s="1"/>
      <c r="EX1017" s="1"/>
      <c r="EY1017" s="1"/>
      <c r="EZ1017" s="1"/>
      <c r="FA1017" s="1"/>
      <c r="FB1017" s="1"/>
      <c r="FC1017" s="1"/>
      <c r="FD1017" s="1"/>
      <c r="FE1017" s="1"/>
      <c r="FF1017" s="1"/>
      <c r="FG1017" s="1"/>
      <c r="FH1017" s="1"/>
      <c r="FI1017" s="1"/>
      <c r="FJ1017" s="1"/>
      <c r="FK1017" s="1"/>
      <c r="FL1017" s="1"/>
      <c r="FM1017" s="1"/>
      <c r="FN1017" s="1"/>
      <c r="FO1017" s="1"/>
      <c r="FP1017" s="1"/>
      <c r="FQ1017" s="1"/>
      <c r="FR1017" s="2"/>
      <c r="FS1017" s="1"/>
    </row>
    <row r="1018" spans="1:175" x14ac:dyDescent="0.3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R1018" s="1"/>
      <c r="S1018" s="1"/>
      <c r="T1018" s="1"/>
      <c r="U1018" s="1"/>
      <c r="V1018" s="1"/>
      <c r="Y1018" s="1"/>
      <c r="Z1018" s="2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  <c r="AU1018" s="1"/>
      <c r="AW1018" s="1"/>
      <c r="AX1018" s="1"/>
      <c r="AY1018" s="1"/>
      <c r="AZ1018" s="1"/>
      <c r="BA1018" s="1"/>
      <c r="BC1018" s="1"/>
      <c r="BD1018" s="1"/>
      <c r="BE1018" s="1"/>
      <c r="BF1018" s="1"/>
      <c r="BG1018" s="1"/>
      <c r="BH1018" s="1"/>
      <c r="BI1018" s="1"/>
      <c r="BJ1018" s="1"/>
      <c r="BK1018" s="1"/>
      <c r="BL1018" s="1"/>
      <c r="BM1018" s="1"/>
      <c r="BN1018" s="1"/>
      <c r="BO1018" s="1"/>
      <c r="BP1018" s="1"/>
      <c r="BQ1018" s="1"/>
      <c r="BR1018" s="1"/>
      <c r="BS1018" s="1"/>
      <c r="BT1018" s="1"/>
      <c r="BU1018" s="1"/>
      <c r="BV1018" s="1"/>
      <c r="BW1018" s="1"/>
      <c r="BX1018" s="1"/>
      <c r="BY1018" s="1"/>
      <c r="BZ1018" s="1"/>
      <c r="CA1018" s="1"/>
      <c r="CB1018" s="1"/>
      <c r="CC1018" s="1"/>
      <c r="CD1018" s="1"/>
      <c r="CE1018" s="1"/>
      <c r="CF1018" s="1"/>
      <c r="CG1018" s="1"/>
      <c r="CH1018" s="1"/>
      <c r="CI1018" s="1"/>
      <c r="CJ1018" s="1"/>
      <c r="CK1018" s="1"/>
      <c r="CL1018" s="1"/>
      <c r="CM1018" s="1"/>
      <c r="CN1018" s="1"/>
      <c r="CO1018" s="1"/>
      <c r="CP1018" s="1"/>
      <c r="CQ1018" s="1"/>
      <c r="CR1018" s="1"/>
      <c r="CS1018" s="1"/>
      <c r="CT1018" s="1"/>
      <c r="CU1018" s="1"/>
      <c r="CV1018" s="1"/>
      <c r="CW1018" s="1"/>
      <c r="CX1018" s="1"/>
      <c r="CY1018" s="1"/>
      <c r="CZ1018" s="1"/>
      <c r="DA1018" s="1"/>
      <c r="DB1018" s="1"/>
      <c r="DC1018" s="1"/>
      <c r="DD1018" s="1"/>
      <c r="DE1018" s="1"/>
      <c r="DF1018" s="1"/>
      <c r="DG1018" s="1"/>
      <c r="DH1018" s="1"/>
      <c r="DI1018" s="1"/>
      <c r="DJ1018" s="1"/>
      <c r="DK1018" s="1"/>
      <c r="DL1018" s="1"/>
      <c r="DM1018" s="1"/>
      <c r="DN1018" s="1"/>
      <c r="DO1018" s="1"/>
      <c r="DP1018" s="1"/>
      <c r="DQ1018" s="1"/>
      <c r="DR1018" s="1"/>
      <c r="DS1018" s="1"/>
      <c r="DT1018" s="1"/>
      <c r="DU1018" s="1"/>
      <c r="DV1018" s="1"/>
      <c r="DW1018" s="1"/>
      <c r="DX1018" s="1"/>
      <c r="DY1018" s="1"/>
      <c r="DZ1018" s="1"/>
      <c r="EA1018" s="1"/>
      <c r="EB1018" s="1"/>
      <c r="EC1018" s="1"/>
      <c r="ED1018" s="1"/>
      <c r="EE1018" s="1"/>
      <c r="EF1018" s="1"/>
      <c r="EG1018" s="1"/>
      <c r="EH1018" s="1"/>
      <c r="EI1018" s="1"/>
      <c r="EJ1018" s="1"/>
      <c r="EK1018" s="1"/>
      <c r="EL1018" s="1"/>
      <c r="EM1018" s="1"/>
      <c r="EN1018" s="1"/>
      <c r="EO1018" s="1"/>
      <c r="EP1018" s="1"/>
      <c r="EQ1018" s="1"/>
      <c r="ER1018" s="1"/>
      <c r="ES1018" s="1"/>
      <c r="ET1018" s="1"/>
      <c r="EU1018" s="1"/>
      <c r="EV1018" s="1"/>
      <c r="EW1018" s="1"/>
      <c r="EX1018" s="1"/>
      <c r="EY1018" s="1"/>
      <c r="EZ1018" s="1"/>
      <c r="FA1018" s="1"/>
      <c r="FB1018" s="1"/>
      <c r="FC1018" s="1"/>
      <c r="FD1018" s="1"/>
      <c r="FE1018" s="1"/>
      <c r="FF1018" s="1"/>
      <c r="FG1018" s="1"/>
      <c r="FH1018" s="1"/>
      <c r="FI1018" s="1"/>
      <c r="FJ1018" s="1"/>
      <c r="FK1018" s="1"/>
      <c r="FL1018" s="1"/>
      <c r="FM1018" s="1"/>
      <c r="FN1018" s="1"/>
      <c r="FO1018" s="1"/>
      <c r="FP1018" s="1"/>
      <c r="FQ1018" s="1"/>
      <c r="FR1018" s="2"/>
      <c r="FS1018" s="1"/>
    </row>
    <row r="1019" spans="1:175" x14ac:dyDescent="0.3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R1019" s="1"/>
      <c r="S1019" s="1"/>
      <c r="T1019" s="1"/>
      <c r="U1019" s="1"/>
      <c r="V1019" s="1"/>
      <c r="Y1019" s="1"/>
      <c r="Z1019" s="2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  <c r="AU1019" s="1"/>
      <c r="AW1019" s="1"/>
      <c r="AX1019" s="1"/>
      <c r="AY1019" s="1"/>
      <c r="AZ1019" s="1"/>
      <c r="BA1019" s="1"/>
      <c r="BC1019" s="1"/>
      <c r="BD1019" s="1"/>
      <c r="BE1019" s="1"/>
      <c r="BF1019" s="1"/>
      <c r="BG1019" s="1"/>
      <c r="BH1019" s="1"/>
      <c r="BI1019" s="1"/>
      <c r="BJ1019" s="1"/>
      <c r="BK1019" s="1"/>
      <c r="BL1019" s="1"/>
      <c r="BM1019" s="1"/>
      <c r="BN1019" s="1"/>
      <c r="BO1019" s="1"/>
      <c r="BP1019" s="1"/>
      <c r="BQ1019" s="1"/>
      <c r="BR1019" s="1"/>
      <c r="BS1019" s="1"/>
      <c r="BT1019" s="1"/>
      <c r="BU1019" s="1"/>
      <c r="BV1019" s="1"/>
      <c r="BW1019" s="1"/>
      <c r="BX1019" s="1"/>
      <c r="BY1019" s="1"/>
      <c r="BZ1019" s="1"/>
      <c r="CA1019" s="1"/>
      <c r="CB1019" s="1"/>
      <c r="CC1019" s="1"/>
      <c r="CD1019" s="1"/>
      <c r="CE1019" s="1"/>
      <c r="CF1019" s="1"/>
      <c r="CG1019" s="1"/>
      <c r="CH1019" s="1"/>
      <c r="CI1019" s="1"/>
      <c r="CJ1019" s="1"/>
      <c r="CK1019" s="1"/>
      <c r="CL1019" s="1"/>
      <c r="CM1019" s="1"/>
      <c r="CN1019" s="1"/>
      <c r="CO1019" s="1"/>
      <c r="CP1019" s="1"/>
      <c r="CQ1019" s="1"/>
      <c r="CR1019" s="1"/>
      <c r="CS1019" s="1"/>
      <c r="CT1019" s="1"/>
      <c r="CU1019" s="1"/>
      <c r="CV1019" s="1"/>
      <c r="CW1019" s="1"/>
      <c r="CX1019" s="1"/>
      <c r="CY1019" s="1"/>
      <c r="CZ1019" s="1"/>
      <c r="DA1019" s="1"/>
      <c r="DB1019" s="1"/>
      <c r="DC1019" s="1"/>
      <c r="DD1019" s="1"/>
      <c r="DE1019" s="1"/>
      <c r="DF1019" s="1"/>
      <c r="DG1019" s="1"/>
      <c r="DH1019" s="1"/>
      <c r="DI1019" s="1"/>
      <c r="DJ1019" s="1"/>
      <c r="DK1019" s="1"/>
      <c r="DL1019" s="1"/>
      <c r="DM1019" s="1"/>
      <c r="DN1019" s="1"/>
      <c r="DO1019" s="1"/>
      <c r="DP1019" s="1"/>
      <c r="DQ1019" s="1"/>
      <c r="DR1019" s="1"/>
      <c r="DS1019" s="1"/>
      <c r="DT1019" s="1"/>
      <c r="DU1019" s="1"/>
      <c r="DV1019" s="1"/>
      <c r="DW1019" s="1"/>
      <c r="DX1019" s="1"/>
      <c r="DY1019" s="1"/>
      <c r="DZ1019" s="1"/>
      <c r="EA1019" s="1"/>
      <c r="EB1019" s="1"/>
      <c r="EC1019" s="1"/>
      <c r="ED1019" s="1"/>
      <c r="EE1019" s="1"/>
      <c r="EF1019" s="1"/>
      <c r="EG1019" s="1"/>
      <c r="EH1019" s="1"/>
      <c r="EI1019" s="1"/>
      <c r="EJ1019" s="1"/>
      <c r="EK1019" s="1"/>
      <c r="EL1019" s="1"/>
      <c r="EM1019" s="1"/>
      <c r="EN1019" s="1"/>
      <c r="EO1019" s="1"/>
      <c r="EP1019" s="1"/>
      <c r="EQ1019" s="1"/>
      <c r="ER1019" s="1"/>
      <c r="ES1019" s="1"/>
      <c r="ET1019" s="1"/>
      <c r="EU1019" s="1"/>
      <c r="EV1019" s="1"/>
      <c r="EW1019" s="1"/>
      <c r="EX1019" s="1"/>
      <c r="EY1019" s="1"/>
      <c r="EZ1019" s="1"/>
      <c r="FA1019" s="1"/>
      <c r="FB1019" s="1"/>
      <c r="FC1019" s="1"/>
      <c r="FD1019" s="1"/>
      <c r="FE1019" s="1"/>
      <c r="FF1019" s="1"/>
      <c r="FG1019" s="1"/>
      <c r="FH1019" s="1"/>
      <c r="FI1019" s="1"/>
      <c r="FJ1019" s="1"/>
      <c r="FK1019" s="1"/>
      <c r="FL1019" s="1"/>
      <c r="FM1019" s="1"/>
      <c r="FN1019" s="1"/>
      <c r="FO1019" s="1"/>
      <c r="FP1019" s="1"/>
      <c r="FQ1019" s="1"/>
      <c r="FR1019" s="2"/>
      <c r="FS1019" s="1"/>
    </row>
    <row r="1020" spans="1:175" x14ac:dyDescent="0.3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R1020" s="1"/>
      <c r="S1020" s="1"/>
      <c r="T1020" s="1"/>
      <c r="U1020" s="1"/>
      <c r="V1020" s="1"/>
      <c r="Y1020" s="1"/>
      <c r="Z1020" s="2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  <c r="AS1020" s="1"/>
      <c r="AU1020" s="1"/>
      <c r="AW1020" s="1"/>
      <c r="AX1020" s="1"/>
      <c r="AY1020" s="1"/>
      <c r="AZ1020" s="1"/>
      <c r="BA1020" s="1"/>
      <c r="BC1020" s="1"/>
      <c r="BD1020" s="1"/>
      <c r="BE1020" s="1"/>
      <c r="BF1020" s="1"/>
      <c r="BG1020" s="1"/>
      <c r="BH1020" s="1"/>
      <c r="BI1020" s="1"/>
      <c r="BJ1020" s="1"/>
      <c r="BK1020" s="1"/>
      <c r="BL1020" s="1"/>
      <c r="BM1020" s="1"/>
      <c r="BN1020" s="1"/>
      <c r="BO1020" s="1"/>
      <c r="BP1020" s="1"/>
      <c r="BQ1020" s="1"/>
      <c r="BR1020" s="1"/>
      <c r="BS1020" s="1"/>
      <c r="BT1020" s="1"/>
      <c r="BU1020" s="1"/>
      <c r="BV1020" s="1"/>
      <c r="BW1020" s="1"/>
      <c r="BX1020" s="1"/>
      <c r="BY1020" s="1"/>
      <c r="BZ1020" s="1"/>
      <c r="CA1020" s="1"/>
      <c r="CB1020" s="1"/>
      <c r="CC1020" s="1"/>
      <c r="CD1020" s="1"/>
      <c r="CE1020" s="1"/>
      <c r="CF1020" s="1"/>
      <c r="CG1020" s="1"/>
      <c r="CH1020" s="1"/>
      <c r="CI1020" s="1"/>
      <c r="CJ1020" s="1"/>
      <c r="CK1020" s="1"/>
      <c r="CL1020" s="1"/>
      <c r="CM1020" s="1"/>
      <c r="CN1020" s="1"/>
      <c r="CO1020" s="1"/>
      <c r="CP1020" s="1"/>
      <c r="CQ1020" s="1"/>
      <c r="CR1020" s="1"/>
      <c r="CS1020" s="1"/>
      <c r="CT1020" s="1"/>
      <c r="CU1020" s="1"/>
      <c r="CV1020" s="1"/>
      <c r="CW1020" s="1"/>
      <c r="CX1020" s="1"/>
      <c r="CY1020" s="1"/>
      <c r="CZ1020" s="1"/>
      <c r="DA1020" s="1"/>
      <c r="DB1020" s="1"/>
      <c r="DC1020" s="1"/>
      <c r="DD1020" s="1"/>
      <c r="DE1020" s="1"/>
      <c r="DF1020" s="1"/>
      <c r="DG1020" s="1"/>
      <c r="DH1020" s="1"/>
      <c r="DI1020" s="1"/>
      <c r="DJ1020" s="1"/>
      <c r="DK1020" s="1"/>
      <c r="DL1020" s="1"/>
      <c r="DM1020" s="1"/>
      <c r="DN1020" s="1"/>
      <c r="DO1020" s="1"/>
      <c r="DP1020" s="1"/>
      <c r="DQ1020" s="1"/>
      <c r="DR1020" s="1"/>
      <c r="DS1020" s="1"/>
      <c r="DT1020" s="1"/>
      <c r="DU1020" s="1"/>
      <c r="DV1020" s="1"/>
      <c r="DW1020" s="1"/>
      <c r="DX1020" s="1"/>
      <c r="DY1020" s="1"/>
      <c r="DZ1020" s="1"/>
      <c r="EA1020" s="1"/>
      <c r="EB1020" s="1"/>
      <c r="EC1020" s="1"/>
      <c r="ED1020" s="1"/>
      <c r="EE1020" s="1"/>
      <c r="EF1020" s="1"/>
      <c r="EG1020" s="1"/>
      <c r="EH1020" s="1"/>
      <c r="EI1020" s="1"/>
      <c r="EJ1020" s="1"/>
      <c r="EK1020" s="1"/>
      <c r="EL1020" s="1"/>
      <c r="EM1020" s="1"/>
      <c r="EN1020" s="1"/>
      <c r="EO1020" s="1"/>
      <c r="EP1020" s="1"/>
      <c r="EQ1020" s="1"/>
      <c r="ER1020" s="1"/>
      <c r="ES1020" s="1"/>
      <c r="ET1020" s="1"/>
      <c r="EU1020" s="1"/>
      <c r="EV1020" s="1"/>
      <c r="EW1020" s="1"/>
      <c r="EX1020" s="1"/>
      <c r="EY1020" s="1"/>
      <c r="EZ1020" s="1"/>
      <c r="FA1020" s="1"/>
      <c r="FB1020" s="1"/>
      <c r="FC1020" s="1"/>
      <c r="FD1020" s="1"/>
      <c r="FE1020" s="1"/>
      <c r="FF1020" s="1"/>
      <c r="FG1020" s="1"/>
      <c r="FH1020" s="1"/>
      <c r="FI1020" s="1"/>
      <c r="FJ1020" s="1"/>
      <c r="FK1020" s="1"/>
      <c r="FL1020" s="1"/>
      <c r="FM1020" s="1"/>
      <c r="FN1020" s="1"/>
      <c r="FO1020" s="1"/>
      <c r="FP1020" s="1"/>
      <c r="FQ1020" s="1"/>
      <c r="FR1020" s="2"/>
      <c r="FS1020" s="1"/>
    </row>
    <row r="1021" spans="1:175" x14ac:dyDescent="0.3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R1021" s="1"/>
      <c r="S1021" s="1"/>
      <c r="T1021" s="1"/>
      <c r="U1021" s="1"/>
      <c r="V1021" s="1"/>
      <c r="Y1021" s="1"/>
      <c r="Z1021" s="2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  <c r="AS1021" s="1"/>
      <c r="AU1021" s="1"/>
      <c r="AW1021" s="1"/>
      <c r="AX1021" s="1"/>
      <c r="AY1021" s="1"/>
      <c r="AZ1021" s="1"/>
      <c r="BA1021" s="1"/>
      <c r="BC1021" s="1"/>
      <c r="BD1021" s="1"/>
      <c r="BE1021" s="1"/>
      <c r="BF1021" s="1"/>
      <c r="BG1021" s="1"/>
      <c r="BH1021" s="1"/>
      <c r="BI1021" s="1"/>
      <c r="BJ1021" s="1"/>
      <c r="BK1021" s="1"/>
      <c r="BL1021" s="1"/>
      <c r="BM1021" s="1"/>
      <c r="BN1021" s="1"/>
      <c r="BO1021" s="1"/>
      <c r="BP1021" s="1"/>
      <c r="BQ1021" s="1"/>
      <c r="BR1021" s="1"/>
      <c r="BS1021" s="1"/>
      <c r="BT1021" s="1"/>
      <c r="BU1021" s="1"/>
      <c r="BV1021" s="1"/>
      <c r="BW1021" s="1"/>
      <c r="BX1021" s="1"/>
      <c r="BY1021" s="1"/>
      <c r="BZ1021" s="1"/>
      <c r="CA1021" s="1"/>
      <c r="CB1021" s="1"/>
      <c r="CC1021" s="1"/>
      <c r="CD1021" s="1"/>
      <c r="CE1021" s="1"/>
      <c r="CF1021" s="1"/>
      <c r="CG1021" s="1"/>
      <c r="CH1021" s="1"/>
      <c r="CI1021" s="1"/>
      <c r="CJ1021" s="1"/>
      <c r="CK1021" s="1"/>
      <c r="CL1021" s="1"/>
      <c r="CM1021" s="1"/>
      <c r="CN1021" s="1"/>
      <c r="CO1021" s="1"/>
      <c r="CP1021" s="1"/>
      <c r="CQ1021" s="1"/>
      <c r="CR1021" s="1"/>
      <c r="CS1021" s="1"/>
      <c r="CT1021" s="1"/>
      <c r="CU1021" s="1"/>
      <c r="CV1021" s="1"/>
      <c r="CW1021" s="1"/>
      <c r="CX1021" s="1"/>
      <c r="CY1021" s="1"/>
      <c r="CZ1021" s="1"/>
      <c r="DA1021" s="1"/>
      <c r="DB1021" s="1"/>
      <c r="DC1021" s="1"/>
      <c r="DD1021" s="1"/>
      <c r="DE1021" s="1"/>
      <c r="DF1021" s="1"/>
      <c r="DG1021" s="1"/>
      <c r="DH1021" s="1"/>
      <c r="DI1021" s="1"/>
      <c r="DJ1021" s="1"/>
      <c r="DK1021" s="1"/>
      <c r="DL1021" s="1"/>
      <c r="DM1021" s="1"/>
      <c r="DN1021" s="1"/>
      <c r="DO1021" s="1"/>
      <c r="DP1021" s="1"/>
      <c r="DQ1021" s="1"/>
      <c r="DR1021" s="1"/>
      <c r="DS1021" s="1"/>
      <c r="DT1021" s="1"/>
      <c r="DU1021" s="1"/>
      <c r="DV1021" s="1"/>
      <c r="DW1021" s="1"/>
      <c r="DX1021" s="1"/>
      <c r="DY1021" s="1"/>
      <c r="DZ1021" s="1"/>
      <c r="EA1021" s="1"/>
      <c r="EB1021" s="1"/>
      <c r="EC1021" s="1"/>
      <c r="ED1021" s="1"/>
      <c r="EE1021" s="1"/>
      <c r="EF1021" s="1"/>
      <c r="EG1021" s="1"/>
      <c r="EH1021" s="1"/>
      <c r="EI1021" s="1"/>
      <c r="EJ1021" s="1"/>
      <c r="EK1021" s="1"/>
      <c r="EL1021" s="1"/>
      <c r="EM1021" s="1"/>
      <c r="EN1021" s="1"/>
      <c r="EO1021" s="1"/>
      <c r="EP1021" s="1"/>
      <c r="EQ1021" s="1"/>
      <c r="ER1021" s="1"/>
      <c r="ES1021" s="1"/>
      <c r="ET1021" s="1"/>
      <c r="EU1021" s="1"/>
      <c r="EV1021" s="1"/>
      <c r="EW1021" s="1"/>
      <c r="EX1021" s="1"/>
      <c r="EY1021" s="1"/>
      <c r="EZ1021" s="1"/>
      <c r="FA1021" s="1"/>
      <c r="FB1021" s="1"/>
      <c r="FC1021" s="1"/>
      <c r="FD1021" s="1"/>
      <c r="FE1021" s="1"/>
      <c r="FF1021" s="1"/>
      <c r="FG1021" s="1"/>
      <c r="FH1021" s="1"/>
      <c r="FI1021" s="1"/>
      <c r="FJ1021" s="1"/>
      <c r="FK1021" s="1"/>
      <c r="FL1021" s="1"/>
      <c r="FM1021" s="1"/>
      <c r="FN1021" s="1"/>
      <c r="FO1021" s="1"/>
      <c r="FP1021" s="1"/>
      <c r="FQ1021" s="1"/>
      <c r="FR1021" s="2"/>
      <c r="FS1021" s="1"/>
    </row>
    <row r="1022" spans="1:175" x14ac:dyDescent="0.3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R1022" s="1"/>
      <c r="S1022" s="1"/>
      <c r="T1022" s="1"/>
      <c r="U1022" s="1"/>
      <c r="V1022" s="1"/>
      <c r="Y1022" s="1"/>
      <c r="Z1022" s="2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  <c r="AR1022" s="1"/>
      <c r="AS1022" s="1"/>
      <c r="AU1022" s="1"/>
      <c r="AW1022" s="1"/>
      <c r="AX1022" s="1"/>
      <c r="AY1022" s="1"/>
      <c r="AZ1022" s="1"/>
      <c r="BA1022" s="1"/>
      <c r="BC1022" s="1"/>
      <c r="BD1022" s="1"/>
      <c r="BE1022" s="1"/>
      <c r="BF1022" s="1"/>
      <c r="BG1022" s="1"/>
      <c r="BH1022" s="1"/>
      <c r="BI1022" s="1"/>
      <c r="BJ1022" s="1"/>
      <c r="BK1022" s="1"/>
      <c r="BL1022" s="1"/>
      <c r="BM1022" s="1"/>
      <c r="BN1022" s="1"/>
      <c r="BO1022" s="1"/>
      <c r="BP1022" s="1"/>
      <c r="BQ1022" s="1"/>
      <c r="BR1022" s="1"/>
      <c r="BS1022" s="1"/>
      <c r="BT1022" s="1"/>
      <c r="BU1022" s="1"/>
      <c r="BV1022" s="1"/>
      <c r="BW1022" s="1"/>
      <c r="BX1022" s="1"/>
      <c r="BY1022" s="1"/>
      <c r="BZ1022" s="1"/>
      <c r="CA1022" s="1"/>
      <c r="CB1022" s="1"/>
      <c r="CC1022" s="1"/>
      <c r="CD1022" s="1"/>
      <c r="CE1022" s="1"/>
      <c r="CF1022" s="1"/>
      <c r="CG1022" s="1"/>
      <c r="CH1022" s="1"/>
      <c r="CI1022" s="1"/>
      <c r="CJ1022" s="1"/>
      <c r="CK1022" s="1"/>
      <c r="CL1022" s="1"/>
      <c r="CM1022" s="1"/>
      <c r="CN1022" s="1"/>
      <c r="CO1022" s="1"/>
      <c r="CP1022" s="1"/>
      <c r="CQ1022" s="1"/>
      <c r="CR1022" s="1"/>
      <c r="CS1022" s="1"/>
      <c r="CT1022" s="1"/>
      <c r="CU1022" s="1"/>
      <c r="CV1022" s="1"/>
      <c r="CW1022" s="1"/>
      <c r="CX1022" s="1"/>
      <c r="CY1022" s="1"/>
      <c r="CZ1022" s="1"/>
      <c r="DA1022" s="1"/>
      <c r="DB1022" s="1"/>
      <c r="DC1022" s="1"/>
      <c r="DD1022" s="1"/>
      <c r="DE1022" s="1"/>
      <c r="DF1022" s="1"/>
      <c r="DG1022" s="1"/>
      <c r="DH1022" s="1"/>
      <c r="DI1022" s="1"/>
      <c r="DJ1022" s="1"/>
      <c r="DK1022" s="1"/>
      <c r="DL1022" s="1"/>
      <c r="DM1022" s="1"/>
      <c r="DN1022" s="1"/>
      <c r="DO1022" s="1"/>
      <c r="DP1022" s="1"/>
      <c r="DQ1022" s="1"/>
      <c r="DR1022" s="1"/>
      <c r="DS1022" s="1"/>
      <c r="DT1022" s="1"/>
      <c r="DU1022" s="1"/>
      <c r="DV1022" s="1"/>
      <c r="DW1022" s="1"/>
      <c r="DX1022" s="1"/>
      <c r="DY1022" s="1"/>
      <c r="DZ1022" s="1"/>
      <c r="EA1022" s="1"/>
      <c r="EB1022" s="1"/>
      <c r="EC1022" s="1"/>
      <c r="ED1022" s="1"/>
      <c r="EE1022" s="1"/>
      <c r="EF1022" s="1"/>
      <c r="EG1022" s="1"/>
      <c r="EH1022" s="1"/>
      <c r="EI1022" s="1"/>
      <c r="EJ1022" s="1"/>
      <c r="EK1022" s="1"/>
      <c r="EL1022" s="1"/>
      <c r="EM1022" s="1"/>
      <c r="EN1022" s="1"/>
      <c r="EO1022" s="1"/>
      <c r="EP1022" s="1"/>
      <c r="EQ1022" s="1"/>
      <c r="ER1022" s="1"/>
      <c r="ES1022" s="1"/>
      <c r="ET1022" s="1"/>
      <c r="EU1022" s="1"/>
      <c r="EV1022" s="1"/>
      <c r="EW1022" s="1"/>
      <c r="EX1022" s="1"/>
      <c r="EY1022" s="1"/>
      <c r="EZ1022" s="1"/>
      <c r="FA1022" s="1"/>
      <c r="FB1022" s="1"/>
      <c r="FC1022" s="1"/>
      <c r="FD1022" s="1"/>
      <c r="FE1022" s="1"/>
      <c r="FF1022" s="1"/>
      <c r="FG1022" s="1"/>
      <c r="FH1022" s="1"/>
      <c r="FI1022" s="1"/>
      <c r="FJ1022" s="1"/>
      <c r="FK1022" s="1"/>
      <c r="FL1022" s="1"/>
      <c r="FM1022" s="1"/>
      <c r="FN1022" s="1"/>
      <c r="FO1022" s="1"/>
      <c r="FP1022" s="1"/>
      <c r="FQ1022" s="1"/>
      <c r="FR1022" s="2"/>
      <c r="FS1022" s="1"/>
    </row>
    <row r="1023" spans="1:175" x14ac:dyDescent="0.3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R1023" s="1"/>
      <c r="S1023" s="1"/>
      <c r="T1023" s="1"/>
      <c r="U1023" s="1"/>
      <c r="V1023" s="1"/>
      <c r="Y1023" s="1"/>
      <c r="Z1023" s="2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  <c r="AR1023" s="1"/>
      <c r="AS1023" s="1"/>
      <c r="AU1023" s="1"/>
      <c r="AW1023" s="1"/>
      <c r="AX1023" s="1"/>
      <c r="AY1023" s="1"/>
      <c r="AZ1023" s="1"/>
      <c r="BA1023" s="1"/>
      <c r="BC1023" s="1"/>
      <c r="BD1023" s="1"/>
      <c r="BE1023" s="1"/>
      <c r="BF1023" s="1"/>
      <c r="BG1023" s="1"/>
      <c r="BH1023" s="1"/>
      <c r="BI1023" s="1"/>
      <c r="BJ1023" s="1"/>
      <c r="BK1023" s="1"/>
      <c r="BL1023" s="1"/>
      <c r="BM1023" s="1"/>
      <c r="BN1023" s="1"/>
      <c r="BO1023" s="1"/>
      <c r="BP1023" s="1"/>
      <c r="BQ1023" s="1"/>
      <c r="BR1023" s="1"/>
      <c r="BS1023" s="1"/>
      <c r="BT1023" s="1"/>
      <c r="BU1023" s="1"/>
      <c r="BV1023" s="1"/>
      <c r="BW1023" s="1"/>
      <c r="BX1023" s="1"/>
      <c r="BY1023" s="1"/>
      <c r="BZ1023" s="1"/>
      <c r="CA1023" s="1"/>
      <c r="CB1023" s="1"/>
      <c r="CC1023" s="1"/>
      <c r="CD1023" s="1"/>
      <c r="CE1023" s="1"/>
      <c r="CF1023" s="1"/>
      <c r="CG1023" s="1"/>
      <c r="CH1023" s="1"/>
      <c r="CI1023" s="1"/>
      <c r="CJ1023" s="1"/>
      <c r="CK1023" s="1"/>
      <c r="CL1023" s="1"/>
      <c r="CM1023" s="1"/>
      <c r="CN1023" s="1"/>
      <c r="CO1023" s="1"/>
      <c r="CP1023" s="1"/>
      <c r="CQ1023" s="1"/>
      <c r="CR1023" s="1"/>
      <c r="CS1023" s="1"/>
      <c r="CT1023" s="1"/>
      <c r="CU1023" s="1"/>
      <c r="CV1023" s="1"/>
      <c r="CW1023" s="1"/>
      <c r="CX1023" s="1"/>
      <c r="CY1023" s="1"/>
      <c r="CZ1023" s="1"/>
      <c r="DA1023" s="1"/>
      <c r="DB1023" s="1"/>
      <c r="DC1023" s="1"/>
      <c r="DD1023" s="1"/>
      <c r="DE1023" s="1"/>
      <c r="DF1023" s="1"/>
      <c r="DG1023" s="1"/>
      <c r="DH1023" s="1"/>
      <c r="DI1023" s="1"/>
      <c r="DJ1023" s="1"/>
      <c r="DK1023" s="1"/>
      <c r="DL1023" s="1"/>
      <c r="DM1023" s="1"/>
      <c r="DN1023" s="1"/>
      <c r="DO1023" s="1"/>
      <c r="DP1023" s="1"/>
      <c r="DQ1023" s="1"/>
      <c r="DR1023" s="1"/>
      <c r="DS1023" s="1"/>
      <c r="DT1023" s="1"/>
      <c r="DU1023" s="1"/>
      <c r="DV1023" s="1"/>
      <c r="DW1023" s="1"/>
      <c r="DX1023" s="1"/>
      <c r="DY1023" s="1"/>
      <c r="DZ1023" s="1"/>
      <c r="EA1023" s="1"/>
      <c r="EB1023" s="1"/>
      <c r="EC1023" s="1"/>
      <c r="ED1023" s="1"/>
      <c r="EE1023" s="1"/>
      <c r="EF1023" s="1"/>
      <c r="EG1023" s="1"/>
      <c r="EH1023" s="1"/>
      <c r="EI1023" s="1"/>
      <c r="EJ1023" s="1"/>
      <c r="EK1023" s="1"/>
      <c r="EL1023" s="1"/>
      <c r="EM1023" s="1"/>
      <c r="EN1023" s="1"/>
      <c r="EO1023" s="1"/>
      <c r="EP1023" s="1"/>
      <c r="EQ1023" s="1"/>
      <c r="ER1023" s="1"/>
      <c r="ES1023" s="1"/>
      <c r="ET1023" s="1"/>
      <c r="EU1023" s="1"/>
      <c r="EV1023" s="1"/>
      <c r="EW1023" s="1"/>
      <c r="EX1023" s="1"/>
      <c r="EY1023" s="1"/>
      <c r="EZ1023" s="1"/>
      <c r="FA1023" s="1"/>
      <c r="FB1023" s="1"/>
      <c r="FC1023" s="1"/>
      <c r="FD1023" s="1"/>
      <c r="FE1023" s="1"/>
      <c r="FF1023" s="1"/>
      <c r="FG1023" s="1"/>
      <c r="FH1023" s="1"/>
      <c r="FI1023" s="1"/>
      <c r="FJ1023" s="1"/>
      <c r="FK1023" s="1"/>
      <c r="FL1023" s="1"/>
      <c r="FM1023" s="1"/>
      <c r="FN1023" s="1"/>
      <c r="FO1023" s="1"/>
      <c r="FP1023" s="1"/>
      <c r="FQ1023" s="1"/>
      <c r="FR1023" s="2"/>
      <c r="FS1023" s="1"/>
    </row>
    <row r="1024" spans="1:175" x14ac:dyDescent="0.3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R1024" s="1"/>
      <c r="S1024" s="1"/>
      <c r="T1024" s="1"/>
      <c r="U1024" s="1"/>
      <c r="V1024" s="1"/>
      <c r="Y1024" s="1"/>
      <c r="Z1024" s="2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  <c r="AQ1024" s="1"/>
      <c r="AR1024" s="1"/>
      <c r="AS1024" s="1"/>
      <c r="AU1024" s="1"/>
      <c r="AW1024" s="1"/>
      <c r="AX1024" s="1"/>
      <c r="AY1024" s="1"/>
      <c r="AZ1024" s="1"/>
      <c r="BA1024" s="1"/>
      <c r="BC1024" s="1"/>
      <c r="BD1024" s="1"/>
      <c r="BE1024" s="1"/>
      <c r="BF1024" s="1"/>
      <c r="BG1024" s="1"/>
      <c r="BH1024" s="1"/>
      <c r="BI1024" s="1"/>
      <c r="BJ1024" s="1"/>
      <c r="BK1024" s="1"/>
      <c r="BL1024" s="1"/>
      <c r="BM1024" s="1"/>
      <c r="BN1024" s="1"/>
      <c r="BO1024" s="1"/>
      <c r="BP1024" s="1"/>
      <c r="BQ1024" s="1"/>
      <c r="BR1024" s="1"/>
      <c r="BS1024" s="1"/>
      <c r="BT1024" s="1"/>
      <c r="BU1024" s="1"/>
      <c r="BV1024" s="1"/>
      <c r="BW1024" s="1"/>
      <c r="BX1024" s="1"/>
      <c r="BY1024" s="1"/>
      <c r="BZ1024" s="1"/>
      <c r="CA1024" s="1"/>
      <c r="CB1024" s="1"/>
      <c r="CC1024" s="1"/>
      <c r="CD1024" s="1"/>
      <c r="CE1024" s="1"/>
      <c r="CF1024" s="1"/>
      <c r="CG1024" s="1"/>
      <c r="CH1024" s="1"/>
      <c r="CI1024" s="1"/>
      <c r="CJ1024" s="1"/>
      <c r="CK1024" s="1"/>
      <c r="CL1024" s="1"/>
      <c r="CM1024" s="1"/>
      <c r="CN1024" s="1"/>
      <c r="CO1024" s="1"/>
      <c r="CP1024" s="1"/>
      <c r="CQ1024" s="1"/>
      <c r="CR1024" s="1"/>
      <c r="CS1024" s="1"/>
      <c r="CT1024" s="1"/>
      <c r="CU1024" s="1"/>
      <c r="CV1024" s="1"/>
      <c r="CW1024" s="1"/>
      <c r="CX1024" s="1"/>
      <c r="CY1024" s="1"/>
      <c r="CZ1024" s="1"/>
      <c r="DA1024" s="1"/>
      <c r="DB1024" s="1"/>
      <c r="DC1024" s="1"/>
      <c r="DD1024" s="1"/>
      <c r="DE1024" s="1"/>
      <c r="DF1024" s="1"/>
      <c r="DG1024" s="1"/>
      <c r="DH1024" s="1"/>
      <c r="DI1024" s="1"/>
      <c r="DJ1024" s="1"/>
      <c r="DK1024" s="1"/>
      <c r="DL1024" s="1"/>
      <c r="DM1024" s="1"/>
      <c r="DN1024" s="1"/>
      <c r="DO1024" s="1"/>
      <c r="DP1024" s="1"/>
      <c r="DQ1024" s="1"/>
      <c r="DR1024" s="1"/>
      <c r="DS1024" s="1"/>
      <c r="DT1024" s="1"/>
      <c r="DU1024" s="1"/>
      <c r="DV1024" s="1"/>
      <c r="DW1024" s="1"/>
      <c r="DX1024" s="1"/>
      <c r="DY1024" s="1"/>
      <c r="DZ1024" s="1"/>
      <c r="EA1024" s="1"/>
      <c r="EB1024" s="1"/>
      <c r="EC1024" s="1"/>
      <c r="ED1024" s="1"/>
      <c r="EE1024" s="1"/>
      <c r="EF1024" s="1"/>
      <c r="EG1024" s="1"/>
      <c r="EH1024" s="1"/>
      <c r="EI1024" s="1"/>
      <c r="EJ1024" s="1"/>
      <c r="EK1024" s="1"/>
      <c r="EL1024" s="1"/>
      <c r="EM1024" s="1"/>
      <c r="EN1024" s="1"/>
      <c r="EO1024" s="1"/>
      <c r="EP1024" s="1"/>
      <c r="EQ1024" s="1"/>
      <c r="ER1024" s="1"/>
      <c r="ES1024" s="1"/>
      <c r="ET1024" s="1"/>
      <c r="EU1024" s="1"/>
      <c r="EV1024" s="1"/>
      <c r="EW1024" s="1"/>
      <c r="EX1024" s="1"/>
      <c r="EY1024" s="1"/>
      <c r="EZ1024" s="1"/>
      <c r="FA1024" s="1"/>
      <c r="FB1024" s="1"/>
      <c r="FC1024" s="1"/>
      <c r="FD1024" s="1"/>
      <c r="FE1024" s="1"/>
      <c r="FF1024" s="1"/>
      <c r="FG1024" s="1"/>
      <c r="FH1024" s="1"/>
      <c r="FI1024" s="1"/>
      <c r="FJ1024" s="1"/>
      <c r="FK1024" s="1"/>
      <c r="FL1024" s="1"/>
      <c r="FM1024" s="1"/>
      <c r="FN1024" s="1"/>
      <c r="FO1024" s="1"/>
      <c r="FP1024" s="1"/>
      <c r="FQ1024" s="1"/>
      <c r="FR1024" s="2"/>
      <c r="FS1024" s="1"/>
    </row>
    <row r="1025" spans="1:175" x14ac:dyDescent="0.3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R1025" s="1"/>
      <c r="S1025" s="1"/>
      <c r="T1025" s="1"/>
      <c r="U1025" s="1"/>
      <c r="V1025" s="1"/>
      <c r="Y1025" s="1"/>
      <c r="Z1025" s="2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  <c r="AS1025" s="1"/>
      <c r="AU1025" s="1"/>
      <c r="AW1025" s="1"/>
      <c r="AX1025" s="1"/>
      <c r="AY1025" s="1"/>
      <c r="AZ1025" s="1"/>
      <c r="BA1025" s="1"/>
      <c r="BC1025" s="1"/>
      <c r="BD1025" s="1"/>
      <c r="BE1025" s="1"/>
      <c r="BF1025" s="1"/>
      <c r="BG1025" s="1"/>
      <c r="BH1025" s="1"/>
      <c r="BI1025" s="1"/>
      <c r="BJ1025" s="1"/>
      <c r="BK1025" s="1"/>
      <c r="BL1025" s="1"/>
      <c r="BM1025" s="1"/>
      <c r="BN1025" s="1"/>
      <c r="BO1025" s="1"/>
      <c r="BP1025" s="1"/>
      <c r="BQ1025" s="1"/>
      <c r="BR1025" s="1"/>
      <c r="BS1025" s="1"/>
      <c r="BT1025" s="1"/>
      <c r="BU1025" s="1"/>
      <c r="BV1025" s="1"/>
      <c r="BW1025" s="1"/>
      <c r="BX1025" s="1"/>
      <c r="BY1025" s="1"/>
      <c r="BZ1025" s="1"/>
      <c r="CA1025" s="1"/>
      <c r="CB1025" s="1"/>
      <c r="CC1025" s="1"/>
      <c r="CD1025" s="1"/>
      <c r="CE1025" s="1"/>
      <c r="CF1025" s="1"/>
      <c r="CG1025" s="1"/>
      <c r="CH1025" s="1"/>
      <c r="CI1025" s="1"/>
      <c r="CJ1025" s="1"/>
      <c r="CK1025" s="1"/>
      <c r="CL1025" s="1"/>
      <c r="CM1025" s="1"/>
      <c r="CN1025" s="1"/>
      <c r="CO1025" s="1"/>
      <c r="CP1025" s="1"/>
      <c r="CQ1025" s="1"/>
      <c r="CR1025" s="1"/>
      <c r="CS1025" s="1"/>
      <c r="CT1025" s="1"/>
      <c r="CU1025" s="1"/>
      <c r="CV1025" s="1"/>
      <c r="CW1025" s="1"/>
      <c r="CX1025" s="1"/>
      <c r="CY1025" s="1"/>
      <c r="CZ1025" s="1"/>
      <c r="DA1025" s="1"/>
      <c r="DB1025" s="1"/>
      <c r="DC1025" s="1"/>
      <c r="DD1025" s="1"/>
      <c r="DE1025" s="1"/>
      <c r="DF1025" s="1"/>
      <c r="DG1025" s="1"/>
      <c r="DH1025" s="1"/>
      <c r="DI1025" s="1"/>
      <c r="DJ1025" s="1"/>
      <c r="DK1025" s="1"/>
      <c r="DL1025" s="1"/>
      <c r="DM1025" s="1"/>
      <c r="DN1025" s="1"/>
      <c r="DO1025" s="1"/>
      <c r="DP1025" s="1"/>
      <c r="DQ1025" s="1"/>
      <c r="DR1025" s="1"/>
      <c r="DS1025" s="1"/>
      <c r="DT1025" s="1"/>
      <c r="DU1025" s="1"/>
      <c r="DV1025" s="1"/>
      <c r="DW1025" s="1"/>
      <c r="DX1025" s="1"/>
      <c r="DY1025" s="1"/>
      <c r="DZ1025" s="1"/>
      <c r="EA1025" s="1"/>
      <c r="EB1025" s="1"/>
      <c r="EC1025" s="1"/>
      <c r="ED1025" s="1"/>
      <c r="EE1025" s="1"/>
      <c r="EF1025" s="1"/>
      <c r="EG1025" s="1"/>
      <c r="EH1025" s="1"/>
      <c r="EI1025" s="1"/>
      <c r="EJ1025" s="1"/>
      <c r="EK1025" s="1"/>
      <c r="EL1025" s="1"/>
      <c r="EM1025" s="1"/>
      <c r="EN1025" s="1"/>
      <c r="EO1025" s="1"/>
      <c r="EP1025" s="1"/>
      <c r="EQ1025" s="1"/>
      <c r="ER1025" s="1"/>
      <c r="ES1025" s="1"/>
      <c r="ET1025" s="1"/>
      <c r="EU1025" s="1"/>
      <c r="EV1025" s="1"/>
      <c r="EW1025" s="1"/>
      <c r="EX1025" s="1"/>
      <c r="EY1025" s="1"/>
      <c r="EZ1025" s="1"/>
      <c r="FA1025" s="1"/>
      <c r="FB1025" s="1"/>
      <c r="FC1025" s="1"/>
      <c r="FD1025" s="1"/>
      <c r="FE1025" s="1"/>
      <c r="FF1025" s="1"/>
      <c r="FG1025" s="1"/>
      <c r="FH1025" s="1"/>
      <c r="FI1025" s="1"/>
      <c r="FJ1025" s="1"/>
      <c r="FK1025" s="1"/>
      <c r="FL1025" s="1"/>
      <c r="FM1025" s="1"/>
      <c r="FN1025" s="1"/>
      <c r="FO1025" s="1"/>
      <c r="FP1025" s="1"/>
      <c r="FQ1025" s="1"/>
      <c r="FR1025" s="2"/>
      <c r="FS1025" s="1"/>
    </row>
    <row r="1026" spans="1:175" x14ac:dyDescent="0.3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R1026" s="1"/>
      <c r="S1026" s="1"/>
      <c r="T1026" s="1"/>
      <c r="U1026" s="1"/>
      <c r="V1026" s="1"/>
      <c r="Y1026" s="1"/>
      <c r="Z1026" s="2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  <c r="AQ1026" s="1"/>
      <c r="AR1026" s="1"/>
      <c r="AS1026" s="1"/>
      <c r="AU1026" s="1"/>
      <c r="AW1026" s="1"/>
      <c r="AX1026" s="1"/>
      <c r="AY1026" s="1"/>
      <c r="AZ1026" s="1"/>
      <c r="BA1026" s="1"/>
      <c r="BC1026" s="1"/>
      <c r="BD1026" s="1"/>
      <c r="BE1026" s="1"/>
      <c r="BF1026" s="1"/>
      <c r="BG1026" s="1"/>
      <c r="BH1026" s="1"/>
      <c r="BI1026" s="1"/>
      <c r="BJ1026" s="1"/>
      <c r="BK1026" s="1"/>
      <c r="BL1026" s="1"/>
      <c r="BM1026" s="1"/>
      <c r="BN1026" s="1"/>
      <c r="BO1026" s="1"/>
      <c r="BP1026" s="1"/>
      <c r="BQ1026" s="1"/>
      <c r="BR1026" s="1"/>
      <c r="BS1026" s="1"/>
      <c r="BT1026" s="1"/>
      <c r="BU1026" s="1"/>
      <c r="BV1026" s="1"/>
      <c r="BW1026" s="1"/>
      <c r="BX1026" s="1"/>
      <c r="BY1026" s="1"/>
      <c r="BZ1026" s="1"/>
      <c r="CA1026" s="1"/>
      <c r="CB1026" s="1"/>
      <c r="CC1026" s="1"/>
      <c r="CD1026" s="1"/>
      <c r="CE1026" s="1"/>
      <c r="CF1026" s="1"/>
      <c r="CG1026" s="1"/>
      <c r="CH1026" s="1"/>
      <c r="CI1026" s="1"/>
      <c r="CJ1026" s="1"/>
      <c r="CK1026" s="1"/>
      <c r="CL1026" s="1"/>
      <c r="CM1026" s="1"/>
      <c r="CN1026" s="1"/>
      <c r="CO1026" s="1"/>
      <c r="CP1026" s="1"/>
      <c r="CQ1026" s="1"/>
      <c r="CR1026" s="1"/>
      <c r="CS1026" s="1"/>
      <c r="CT1026" s="1"/>
      <c r="CU1026" s="1"/>
      <c r="CV1026" s="1"/>
      <c r="CW1026" s="1"/>
      <c r="CX1026" s="1"/>
      <c r="CY1026" s="1"/>
      <c r="CZ1026" s="1"/>
      <c r="DA1026" s="1"/>
      <c r="DB1026" s="1"/>
      <c r="DC1026" s="1"/>
      <c r="DD1026" s="1"/>
      <c r="DE1026" s="1"/>
      <c r="DF1026" s="1"/>
      <c r="DG1026" s="1"/>
      <c r="DH1026" s="1"/>
      <c r="DI1026" s="1"/>
      <c r="DJ1026" s="1"/>
      <c r="DK1026" s="1"/>
      <c r="DL1026" s="1"/>
      <c r="DM1026" s="1"/>
      <c r="DN1026" s="1"/>
      <c r="DO1026" s="1"/>
      <c r="DP1026" s="1"/>
      <c r="DQ1026" s="1"/>
      <c r="DR1026" s="1"/>
      <c r="DS1026" s="1"/>
      <c r="DT1026" s="1"/>
      <c r="DU1026" s="1"/>
      <c r="DV1026" s="1"/>
      <c r="DW1026" s="1"/>
      <c r="DX1026" s="1"/>
      <c r="DY1026" s="1"/>
      <c r="DZ1026" s="1"/>
      <c r="EA1026" s="1"/>
      <c r="EB1026" s="1"/>
      <c r="EC1026" s="1"/>
      <c r="ED1026" s="1"/>
      <c r="EE1026" s="1"/>
      <c r="EF1026" s="1"/>
      <c r="EG1026" s="1"/>
      <c r="EH1026" s="1"/>
      <c r="EI1026" s="1"/>
      <c r="EJ1026" s="1"/>
      <c r="EK1026" s="1"/>
      <c r="EL1026" s="1"/>
      <c r="EM1026" s="1"/>
      <c r="EN1026" s="1"/>
      <c r="EO1026" s="1"/>
      <c r="EP1026" s="1"/>
      <c r="EQ1026" s="1"/>
      <c r="ER1026" s="1"/>
      <c r="ES1026" s="1"/>
      <c r="ET1026" s="1"/>
      <c r="EU1026" s="1"/>
      <c r="EV1026" s="1"/>
      <c r="EW1026" s="1"/>
      <c r="EX1026" s="1"/>
      <c r="EY1026" s="1"/>
      <c r="EZ1026" s="1"/>
      <c r="FA1026" s="1"/>
      <c r="FB1026" s="1"/>
      <c r="FC1026" s="1"/>
      <c r="FD1026" s="1"/>
      <c r="FE1026" s="1"/>
      <c r="FF1026" s="1"/>
      <c r="FG1026" s="1"/>
      <c r="FH1026" s="1"/>
      <c r="FI1026" s="1"/>
      <c r="FJ1026" s="1"/>
      <c r="FK1026" s="1"/>
      <c r="FL1026" s="1"/>
      <c r="FM1026" s="1"/>
      <c r="FN1026" s="1"/>
      <c r="FO1026" s="1"/>
      <c r="FP1026" s="1"/>
      <c r="FQ1026" s="1"/>
      <c r="FR1026" s="2"/>
      <c r="FS1026" s="1"/>
    </row>
    <row r="1027" spans="1:175" x14ac:dyDescent="0.3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R1027" s="1"/>
      <c r="S1027" s="1"/>
      <c r="T1027" s="1"/>
      <c r="U1027" s="1"/>
      <c r="V1027" s="1"/>
      <c r="Y1027" s="1"/>
      <c r="Z1027" s="2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  <c r="AQ1027" s="1"/>
      <c r="AR1027" s="1"/>
      <c r="AS1027" s="1"/>
      <c r="AU1027" s="1"/>
      <c r="AW1027" s="1"/>
      <c r="AX1027" s="1"/>
      <c r="AY1027" s="1"/>
      <c r="AZ1027" s="1"/>
      <c r="BA1027" s="1"/>
      <c r="BC1027" s="1"/>
      <c r="BD1027" s="1"/>
      <c r="BE1027" s="1"/>
      <c r="BF1027" s="1"/>
      <c r="BG1027" s="1"/>
      <c r="BH1027" s="1"/>
      <c r="BI1027" s="1"/>
      <c r="BJ1027" s="1"/>
      <c r="BK1027" s="1"/>
      <c r="BL1027" s="1"/>
      <c r="BM1027" s="1"/>
      <c r="BN1027" s="1"/>
      <c r="BO1027" s="1"/>
      <c r="BP1027" s="1"/>
      <c r="BQ1027" s="1"/>
      <c r="BR1027" s="1"/>
      <c r="BS1027" s="1"/>
      <c r="BT1027" s="1"/>
      <c r="BU1027" s="1"/>
      <c r="BV1027" s="1"/>
      <c r="BW1027" s="1"/>
      <c r="BX1027" s="1"/>
      <c r="BY1027" s="1"/>
      <c r="BZ1027" s="1"/>
      <c r="CA1027" s="1"/>
      <c r="CB1027" s="1"/>
      <c r="CC1027" s="1"/>
      <c r="CD1027" s="1"/>
      <c r="CE1027" s="1"/>
      <c r="CF1027" s="1"/>
      <c r="CG1027" s="1"/>
      <c r="CH1027" s="1"/>
      <c r="CI1027" s="1"/>
      <c r="CJ1027" s="1"/>
      <c r="CK1027" s="1"/>
      <c r="CL1027" s="1"/>
      <c r="CM1027" s="1"/>
      <c r="CN1027" s="1"/>
      <c r="CO1027" s="1"/>
      <c r="CP1027" s="1"/>
      <c r="CQ1027" s="1"/>
      <c r="CR1027" s="1"/>
      <c r="CS1027" s="1"/>
      <c r="CT1027" s="1"/>
      <c r="CU1027" s="1"/>
      <c r="CV1027" s="1"/>
      <c r="CW1027" s="1"/>
      <c r="CX1027" s="1"/>
      <c r="CY1027" s="1"/>
      <c r="CZ1027" s="1"/>
      <c r="DA1027" s="1"/>
      <c r="DB1027" s="1"/>
      <c r="DC1027" s="1"/>
      <c r="DD1027" s="1"/>
      <c r="DE1027" s="1"/>
      <c r="DF1027" s="1"/>
      <c r="DG1027" s="1"/>
      <c r="DH1027" s="1"/>
      <c r="DI1027" s="1"/>
      <c r="DJ1027" s="1"/>
      <c r="DK1027" s="1"/>
      <c r="DL1027" s="1"/>
      <c r="DM1027" s="1"/>
      <c r="DN1027" s="1"/>
      <c r="DO1027" s="1"/>
      <c r="DP1027" s="1"/>
      <c r="DQ1027" s="1"/>
      <c r="DR1027" s="1"/>
      <c r="DS1027" s="1"/>
      <c r="DT1027" s="1"/>
      <c r="DU1027" s="1"/>
      <c r="DV1027" s="1"/>
      <c r="DW1027" s="1"/>
      <c r="DX1027" s="1"/>
      <c r="DY1027" s="1"/>
      <c r="DZ1027" s="1"/>
      <c r="EA1027" s="1"/>
      <c r="EB1027" s="1"/>
      <c r="EC1027" s="1"/>
      <c r="ED1027" s="1"/>
      <c r="EE1027" s="1"/>
      <c r="EF1027" s="1"/>
      <c r="EG1027" s="1"/>
      <c r="EH1027" s="1"/>
      <c r="EI1027" s="1"/>
      <c r="EJ1027" s="1"/>
      <c r="EK1027" s="1"/>
      <c r="EL1027" s="1"/>
      <c r="EM1027" s="1"/>
      <c r="EN1027" s="1"/>
      <c r="EO1027" s="1"/>
      <c r="EP1027" s="1"/>
      <c r="EQ1027" s="1"/>
      <c r="ER1027" s="1"/>
      <c r="ES1027" s="1"/>
      <c r="ET1027" s="1"/>
      <c r="EU1027" s="1"/>
      <c r="EV1027" s="1"/>
      <c r="EW1027" s="1"/>
      <c r="EX1027" s="1"/>
      <c r="EY1027" s="1"/>
      <c r="EZ1027" s="1"/>
      <c r="FA1027" s="1"/>
      <c r="FB1027" s="1"/>
      <c r="FC1027" s="1"/>
      <c r="FD1027" s="1"/>
      <c r="FE1027" s="1"/>
      <c r="FF1027" s="1"/>
      <c r="FG1027" s="1"/>
      <c r="FH1027" s="1"/>
      <c r="FI1027" s="1"/>
      <c r="FJ1027" s="1"/>
      <c r="FK1027" s="1"/>
      <c r="FL1027" s="1"/>
      <c r="FM1027" s="1"/>
      <c r="FN1027" s="1"/>
      <c r="FO1027" s="1"/>
      <c r="FP1027" s="1"/>
      <c r="FQ1027" s="1"/>
      <c r="FR1027" s="2"/>
      <c r="FS1027" s="1"/>
    </row>
    <row r="1028" spans="1:175" x14ac:dyDescent="0.3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R1028" s="1"/>
      <c r="S1028" s="1"/>
      <c r="T1028" s="1"/>
      <c r="U1028" s="1"/>
      <c r="V1028" s="1"/>
      <c r="Y1028" s="1"/>
      <c r="Z1028" s="2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  <c r="AP1028" s="1"/>
      <c r="AQ1028" s="1"/>
      <c r="AR1028" s="1"/>
      <c r="AS1028" s="1"/>
      <c r="AU1028" s="1"/>
      <c r="AW1028" s="1"/>
      <c r="AX1028" s="1"/>
      <c r="AY1028" s="1"/>
      <c r="AZ1028" s="1"/>
      <c r="BA1028" s="1"/>
      <c r="BC1028" s="1"/>
      <c r="BD1028" s="1"/>
      <c r="BE1028" s="1"/>
      <c r="BF1028" s="1"/>
      <c r="BG1028" s="1"/>
      <c r="BH1028" s="1"/>
      <c r="BI1028" s="1"/>
      <c r="BJ1028" s="1"/>
      <c r="BK1028" s="1"/>
      <c r="BL1028" s="1"/>
      <c r="BM1028" s="1"/>
      <c r="BN1028" s="1"/>
      <c r="BO1028" s="1"/>
      <c r="BP1028" s="1"/>
      <c r="BQ1028" s="1"/>
      <c r="BR1028" s="1"/>
      <c r="BS1028" s="1"/>
      <c r="BT1028" s="1"/>
      <c r="BU1028" s="1"/>
      <c r="BV1028" s="1"/>
      <c r="BW1028" s="1"/>
      <c r="BX1028" s="1"/>
      <c r="BY1028" s="1"/>
      <c r="BZ1028" s="1"/>
      <c r="CA1028" s="1"/>
      <c r="CB1028" s="1"/>
      <c r="CC1028" s="1"/>
      <c r="CD1028" s="1"/>
      <c r="CE1028" s="1"/>
      <c r="CF1028" s="1"/>
      <c r="CG1028" s="1"/>
      <c r="CH1028" s="1"/>
      <c r="CI1028" s="1"/>
      <c r="CJ1028" s="1"/>
      <c r="CK1028" s="1"/>
      <c r="CL1028" s="1"/>
      <c r="CM1028" s="1"/>
      <c r="CN1028" s="1"/>
      <c r="CO1028" s="1"/>
      <c r="CP1028" s="1"/>
      <c r="CQ1028" s="1"/>
      <c r="CR1028" s="1"/>
      <c r="CS1028" s="1"/>
      <c r="CT1028" s="1"/>
      <c r="CU1028" s="1"/>
      <c r="CV1028" s="1"/>
      <c r="CW1028" s="1"/>
      <c r="CX1028" s="1"/>
      <c r="CY1028" s="1"/>
      <c r="CZ1028" s="1"/>
      <c r="DA1028" s="1"/>
      <c r="DB1028" s="1"/>
      <c r="DC1028" s="1"/>
      <c r="DD1028" s="1"/>
      <c r="DE1028" s="1"/>
      <c r="DF1028" s="1"/>
      <c r="DG1028" s="1"/>
      <c r="DH1028" s="1"/>
      <c r="DI1028" s="1"/>
      <c r="DJ1028" s="1"/>
      <c r="DK1028" s="1"/>
      <c r="DL1028" s="1"/>
      <c r="DM1028" s="1"/>
      <c r="DN1028" s="1"/>
      <c r="DO1028" s="1"/>
      <c r="DP1028" s="1"/>
      <c r="DQ1028" s="1"/>
      <c r="DR1028" s="1"/>
      <c r="DS1028" s="1"/>
      <c r="DT1028" s="1"/>
      <c r="DU1028" s="1"/>
      <c r="DV1028" s="1"/>
      <c r="DW1028" s="1"/>
      <c r="DX1028" s="1"/>
      <c r="DY1028" s="1"/>
      <c r="DZ1028" s="1"/>
      <c r="EA1028" s="1"/>
      <c r="EB1028" s="1"/>
      <c r="EC1028" s="1"/>
      <c r="ED1028" s="1"/>
      <c r="EE1028" s="1"/>
      <c r="EF1028" s="1"/>
      <c r="EG1028" s="1"/>
      <c r="EH1028" s="1"/>
      <c r="EI1028" s="1"/>
      <c r="EJ1028" s="1"/>
      <c r="EK1028" s="1"/>
      <c r="EL1028" s="1"/>
      <c r="EM1028" s="1"/>
      <c r="EN1028" s="1"/>
      <c r="EO1028" s="1"/>
      <c r="EP1028" s="1"/>
      <c r="EQ1028" s="1"/>
      <c r="ER1028" s="1"/>
      <c r="ES1028" s="1"/>
      <c r="ET1028" s="1"/>
      <c r="EU1028" s="1"/>
      <c r="EV1028" s="1"/>
      <c r="EW1028" s="1"/>
      <c r="EX1028" s="1"/>
      <c r="EY1028" s="1"/>
      <c r="EZ1028" s="1"/>
      <c r="FA1028" s="1"/>
      <c r="FB1028" s="1"/>
      <c r="FC1028" s="1"/>
      <c r="FD1028" s="1"/>
      <c r="FE1028" s="1"/>
      <c r="FF1028" s="1"/>
      <c r="FG1028" s="1"/>
      <c r="FH1028" s="1"/>
      <c r="FI1028" s="1"/>
      <c r="FJ1028" s="1"/>
      <c r="FK1028" s="1"/>
      <c r="FL1028" s="1"/>
      <c r="FM1028" s="1"/>
      <c r="FN1028" s="1"/>
      <c r="FO1028" s="1"/>
      <c r="FP1028" s="1"/>
      <c r="FQ1028" s="1"/>
      <c r="FR1028" s="2"/>
      <c r="FS1028" s="1"/>
    </row>
    <row r="1029" spans="1:175" x14ac:dyDescent="0.3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R1029" s="1"/>
      <c r="S1029" s="1"/>
      <c r="T1029" s="1"/>
      <c r="U1029" s="1"/>
      <c r="V1029" s="1"/>
      <c r="Y1029" s="1"/>
      <c r="Z1029" s="2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  <c r="AQ1029" s="1"/>
      <c r="AR1029" s="1"/>
      <c r="AS1029" s="1"/>
      <c r="AU1029" s="1"/>
      <c r="AW1029" s="1"/>
      <c r="AX1029" s="1"/>
      <c r="AY1029" s="1"/>
      <c r="AZ1029" s="1"/>
      <c r="BA1029" s="1"/>
      <c r="BC1029" s="1"/>
      <c r="BD1029" s="1"/>
      <c r="BE1029" s="1"/>
      <c r="BF1029" s="1"/>
      <c r="BG1029" s="1"/>
      <c r="BH1029" s="1"/>
      <c r="BI1029" s="1"/>
      <c r="BJ1029" s="1"/>
      <c r="BK1029" s="1"/>
      <c r="BL1029" s="1"/>
      <c r="BM1029" s="1"/>
      <c r="BN1029" s="1"/>
      <c r="BO1029" s="1"/>
      <c r="BP1029" s="1"/>
      <c r="BQ1029" s="1"/>
      <c r="BR1029" s="1"/>
      <c r="BS1029" s="1"/>
      <c r="BT1029" s="1"/>
      <c r="BU1029" s="1"/>
      <c r="BV1029" s="1"/>
      <c r="BW1029" s="1"/>
      <c r="BX1029" s="1"/>
      <c r="BY1029" s="1"/>
      <c r="BZ1029" s="1"/>
      <c r="CA1029" s="1"/>
      <c r="CB1029" s="1"/>
      <c r="CC1029" s="1"/>
      <c r="CD1029" s="1"/>
      <c r="CE1029" s="1"/>
      <c r="CF1029" s="1"/>
      <c r="CG1029" s="1"/>
      <c r="CH1029" s="1"/>
      <c r="CI1029" s="1"/>
      <c r="CJ1029" s="1"/>
      <c r="CK1029" s="1"/>
      <c r="CL1029" s="1"/>
      <c r="CM1029" s="1"/>
      <c r="CN1029" s="1"/>
      <c r="CO1029" s="1"/>
      <c r="CP1029" s="1"/>
      <c r="CQ1029" s="1"/>
      <c r="CR1029" s="1"/>
      <c r="CS1029" s="1"/>
      <c r="CT1029" s="1"/>
      <c r="CU1029" s="1"/>
      <c r="CV1029" s="1"/>
      <c r="CW1029" s="1"/>
      <c r="CX1029" s="1"/>
      <c r="CY1029" s="1"/>
      <c r="CZ1029" s="1"/>
      <c r="DA1029" s="1"/>
      <c r="DB1029" s="1"/>
      <c r="DC1029" s="1"/>
      <c r="DD1029" s="1"/>
      <c r="DE1029" s="1"/>
      <c r="DF1029" s="1"/>
      <c r="DG1029" s="1"/>
      <c r="DH1029" s="1"/>
      <c r="DI1029" s="1"/>
      <c r="DJ1029" s="1"/>
      <c r="DK1029" s="1"/>
      <c r="DL1029" s="1"/>
      <c r="DM1029" s="1"/>
      <c r="DN1029" s="1"/>
      <c r="DO1029" s="1"/>
      <c r="DP1029" s="1"/>
      <c r="DQ1029" s="1"/>
      <c r="DR1029" s="1"/>
      <c r="DS1029" s="1"/>
      <c r="DT1029" s="1"/>
      <c r="DU1029" s="1"/>
      <c r="DV1029" s="1"/>
      <c r="DW1029" s="1"/>
      <c r="DX1029" s="1"/>
      <c r="DY1029" s="1"/>
      <c r="DZ1029" s="1"/>
      <c r="EA1029" s="1"/>
      <c r="EB1029" s="1"/>
      <c r="EC1029" s="1"/>
      <c r="ED1029" s="1"/>
      <c r="EE1029" s="1"/>
      <c r="EF1029" s="1"/>
      <c r="EG1029" s="1"/>
      <c r="EH1029" s="1"/>
      <c r="EI1029" s="1"/>
      <c r="EJ1029" s="1"/>
      <c r="EK1029" s="1"/>
      <c r="EL1029" s="1"/>
      <c r="EM1029" s="1"/>
      <c r="EN1029" s="1"/>
      <c r="EO1029" s="1"/>
      <c r="EP1029" s="1"/>
      <c r="EQ1029" s="1"/>
      <c r="ER1029" s="1"/>
      <c r="ES1029" s="1"/>
      <c r="ET1029" s="1"/>
      <c r="EU1029" s="1"/>
      <c r="EV1029" s="1"/>
      <c r="EW1029" s="1"/>
      <c r="EX1029" s="1"/>
      <c r="EY1029" s="1"/>
      <c r="EZ1029" s="1"/>
      <c r="FA1029" s="1"/>
      <c r="FB1029" s="1"/>
      <c r="FC1029" s="1"/>
      <c r="FD1029" s="1"/>
      <c r="FE1029" s="1"/>
      <c r="FF1029" s="1"/>
      <c r="FG1029" s="1"/>
      <c r="FH1029" s="1"/>
      <c r="FI1029" s="1"/>
      <c r="FJ1029" s="1"/>
      <c r="FK1029" s="1"/>
      <c r="FL1029" s="1"/>
      <c r="FM1029" s="1"/>
      <c r="FN1029" s="1"/>
      <c r="FO1029" s="1"/>
      <c r="FP1029" s="1"/>
      <c r="FQ1029" s="1"/>
      <c r="FR1029" s="2"/>
      <c r="FS1029" s="1"/>
    </row>
    <row r="1030" spans="1:175" x14ac:dyDescent="0.3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R1030" s="1"/>
      <c r="S1030" s="1"/>
      <c r="T1030" s="1"/>
      <c r="U1030" s="1"/>
      <c r="V1030" s="1"/>
      <c r="Y1030" s="1"/>
      <c r="Z1030" s="2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1"/>
      <c r="AQ1030" s="1"/>
      <c r="AR1030" s="1"/>
      <c r="AS1030" s="1"/>
      <c r="AU1030" s="1"/>
      <c r="AW1030" s="1"/>
      <c r="AX1030" s="1"/>
      <c r="AY1030" s="1"/>
      <c r="AZ1030" s="1"/>
      <c r="BA1030" s="1"/>
      <c r="BC1030" s="1"/>
      <c r="BD1030" s="1"/>
      <c r="BE1030" s="1"/>
      <c r="BF1030" s="1"/>
      <c r="BG1030" s="1"/>
      <c r="BH1030" s="1"/>
      <c r="BI1030" s="1"/>
      <c r="BJ1030" s="1"/>
      <c r="BK1030" s="1"/>
      <c r="BL1030" s="1"/>
      <c r="BM1030" s="1"/>
      <c r="BN1030" s="1"/>
      <c r="BO1030" s="1"/>
      <c r="BP1030" s="1"/>
      <c r="BQ1030" s="1"/>
      <c r="BR1030" s="1"/>
      <c r="BS1030" s="1"/>
      <c r="BT1030" s="1"/>
      <c r="BU1030" s="1"/>
      <c r="BV1030" s="1"/>
      <c r="BW1030" s="1"/>
      <c r="BX1030" s="1"/>
      <c r="BY1030" s="1"/>
      <c r="BZ1030" s="1"/>
      <c r="CA1030" s="1"/>
      <c r="CB1030" s="1"/>
      <c r="CC1030" s="1"/>
      <c r="CD1030" s="1"/>
      <c r="CE1030" s="1"/>
      <c r="CF1030" s="1"/>
      <c r="CG1030" s="1"/>
      <c r="CH1030" s="1"/>
      <c r="CI1030" s="1"/>
      <c r="CJ1030" s="1"/>
      <c r="CK1030" s="1"/>
      <c r="CL1030" s="1"/>
      <c r="CM1030" s="1"/>
      <c r="CN1030" s="1"/>
      <c r="CO1030" s="1"/>
      <c r="CP1030" s="1"/>
      <c r="CQ1030" s="1"/>
      <c r="CR1030" s="1"/>
      <c r="CS1030" s="1"/>
      <c r="CT1030" s="1"/>
      <c r="CU1030" s="1"/>
      <c r="CV1030" s="1"/>
      <c r="CW1030" s="1"/>
      <c r="CX1030" s="1"/>
      <c r="CY1030" s="1"/>
      <c r="CZ1030" s="1"/>
      <c r="DA1030" s="1"/>
      <c r="DB1030" s="1"/>
      <c r="DC1030" s="1"/>
      <c r="DD1030" s="1"/>
      <c r="DE1030" s="1"/>
      <c r="DF1030" s="1"/>
      <c r="DG1030" s="1"/>
      <c r="DH1030" s="1"/>
      <c r="DI1030" s="1"/>
      <c r="DJ1030" s="1"/>
      <c r="DK1030" s="1"/>
      <c r="DL1030" s="1"/>
      <c r="DM1030" s="1"/>
      <c r="DN1030" s="1"/>
      <c r="DO1030" s="1"/>
      <c r="DP1030" s="1"/>
      <c r="DQ1030" s="1"/>
      <c r="DR1030" s="1"/>
      <c r="DS1030" s="1"/>
      <c r="DT1030" s="1"/>
      <c r="DU1030" s="1"/>
      <c r="DV1030" s="1"/>
      <c r="DW1030" s="1"/>
      <c r="DX1030" s="1"/>
      <c r="DY1030" s="1"/>
      <c r="DZ1030" s="1"/>
      <c r="EA1030" s="1"/>
      <c r="EB1030" s="1"/>
      <c r="EC1030" s="1"/>
      <c r="ED1030" s="1"/>
      <c r="EE1030" s="1"/>
      <c r="EF1030" s="1"/>
      <c r="EG1030" s="1"/>
      <c r="EH1030" s="1"/>
      <c r="EI1030" s="1"/>
      <c r="EJ1030" s="1"/>
      <c r="EK1030" s="1"/>
      <c r="EL1030" s="1"/>
      <c r="EM1030" s="1"/>
      <c r="EN1030" s="1"/>
      <c r="EO1030" s="1"/>
      <c r="EP1030" s="1"/>
      <c r="EQ1030" s="1"/>
      <c r="ER1030" s="1"/>
      <c r="ES1030" s="1"/>
      <c r="ET1030" s="1"/>
      <c r="EU1030" s="1"/>
      <c r="EV1030" s="1"/>
      <c r="EW1030" s="1"/>
      <c r="EX1030" s="1"/>
      <c r="EY1030" s="1"/>
      <c r="EZ1030" s="1"/>
      <c r="FA1030" s="1"/>
      <c r="FB1030" s="1"/>
      <c r="FC1030" s="1"/>
      <c r="FD1030" s="1"/>
      <c r="FE1030" s="1"/>
      <c r="FF1030" s="1"/>
      <c r="FG1030" s="1"/>
      <c r="FH1030" s="1"/>
      <c r="FI1030" s="1"/>
      <c r="FJ1030" s="1"/>
      <c r="FK1030" s="1"/>
      <c r="FL1030" s="1"/>
      <c r="FM1030" s="1"/>
      <c r="FN1030" s="1"/>
      <c r="FO1030" s="1"/>
      <c r="FP1030" s="1"/>
      <c r="FQ1030" s="1"/>
      <c r="FR1030" s="2"/>
      <c r="FS1030" s="1"/>
    </row>
    <row r="1031" spans="1:175" x14ac:dyDescent="0.3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R1031" s="1"/>
      <c r="S1031" s="1"/>
      <c r="T1031" s="1"/>
      <c r="U1031" s="1"/>
      <c r="V1031" s="1"/>
      <c r="Y1031" s="1"/>
      <c r="Z1031" s="2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  <c r="AP1031" s="1"/>
      <c r="AQ1031" s="1"/>
      <c r="AR1031" s="1"/>
      <c r="AS1031" s="1"/>
      <c r="AU1031" s="1"/>
      <c r="AW1031" s="1"/>
      <c r="AX1031" s="1"/>
      <c r="AY1031" s="1"/>
      <c r="AZ1031" s="1"/>
      <c r="BA1031" s="1"/>
      <c r="BC1031" s="1"/>
      <c r="BD1031" s="1"/>
      <c r="BE1031" s="1"/>
      <c r="BF1031" s="1"/>
      <c r="BG1031" s="1"/>
      <c r="BH1031" s="1"/>
      <c r="BI1031" s="1"/>
      <c r="BJ1031" s="1"/>
      <c r="BK1031" s="1"/>
      <c r="BL1031" s="1"/>
      <c r="BM1031" s="1"/>
      <c r="BN1031" s="1"/>
      <c r="BO1031" s="1"/>
      <c r="BP1031" s="1"/>
      <c r="BQ1031" s="1"/>
      <c r="BR1031" s="1"/>
      <c r="BS1031" s="1"/>
      <c r="BT1031" s="1"/>
      <c r="BU1031" s="1"/>
      <c r="BV1031" s="1"/>
      <c r="BW1031" s="1"/>
      <c r="BX1031" s="1"/>
      <c r="BY1031" s="1"/>
      <c r="BZ1031" s="1"/>
      <c r="CA1031" s="1"/>
      <c r="CB1031" s="1"/>
      <c r="CC1031" s="1"/>
      <c r="CD1031" s="1"/>
      <c r="CE1031" s="1"/>
      <c r="CF1031" s="1"/>
      <c r="CG1031" s="1"/>
      <c r="CH1031" s="1"/>
      <c r="CI1031" s="1"/>
      <c r="CJ1031" s="1"/>
      <c r="CK1031" s="1"/>
      <c r="CL1031" s="1"/>
      <c r="CM1031" s="1"/>
      <c r="CN1031" s="1"/>
      <c r="CO1031" s="1"/>
      <c r="CP1031" s="1"/>
      <c r="CQ1031" s="1"/>
      <c r="CR1031" s="1"/>
      <c r="CS1031" s="1"/>
      <c r="CT1031" s="1"/>
      <c r="CU1031" s="1"/>
      <c r="CV1031" s="1"/>
      <c r="CW1031" s="1"/>
      <c r="CX1031" s="1"/>
      <c r="CY1031" s="1"/>
      <c r="CZ1031" s="1"/>
      <c r="DA1031" s="1"/>
      <c r="DB1031" s="1"/>
      <c r="DC1031" s="1"/>
      <c r="DD1031" s="1"/>
      <c r="DE1031" s="1"/>
      <c r="DF1031" s="1"/>
      <c r="DG1031" s="1"/>
      <c r="DH1031" s="1"/>
      <c r="DI1031" s="1"/>
      <c r="DJ1031" s="1"/>
      <c r="DK1031" s="1"/>
      <c r="DL1031" s="1"/>
      <c r="DM1031" s="1"/>
      <c r="DN1031" s="1"/>
      <c r="DO1031" s="1"/>
      <c r="DP1031" s="1"/>
      <c r="DQ1031" s="1"/>
      <c r="DR1031" s="1"/>
      <c r="DS1031" s="1"/>
      <c r="DT1031" s="1"/>
      <c r="DU1031" s="1"/>
      <c r="DV1031" s="1"/>
      <c r="DW1031" s="1"/>
      <c r="DX1031" s="1"/>
      <c r="DY1031" s="1"/>
      <c r="DZ1031" s="1"/>
      <c r="EA1031" s="1"/>
      <c r="EB1031" s="1"/>
      <c r="EC1031" s="1"/>
      <c r="ED1031" s="1"/>
      <c r="EE1031" s="1"/>
      <c r="EF1031" s="1"/>
      <c r="EG1031" s="1"/>
      <c r="EH1031" s="1"/>
      <c r="EI1031" s="1"/>
      <c r="EJ1031" s="1"/>
      <c r="EK1031" s="1"/>
      <c r="EL1031" s="1"/>
      <c r="EM1031" s="1"/>
      <c r="EN1031" s="1"/>
      <c r="EO1031" s="1"/>
      <c r="EP1031" s="1"/>
      <c r="EQ1031" s="1"/>
      <c r="ER1031" s="1"/>
      <c r="ES1031" s="1"/>
      <c r="ET1031" s="1"/>
      <c r="EU1031" s="1"/>
      <c r="EV1031" s="1"/>
      <c r="EW1031" s="1"/>
      <c r="EX1031" s="1"/>
      <c r="EY1031" s="1"/>
      <c r="EZ1031" s="1"/>
      <c r="FA1031" s="1"/>
      <c r="FB1031" s="1"/>
      <c r="FC1031" s="1"/>
      <c r="FD1031" s="1"/>
      <c r="FE1031" s="1"/>
      <c r="FF1031" s="1"/>
      <c r="FG1031" s="1"/>
      <c r="FH1031" s="1"/>
      <c r="FI1031" s="1"/>
      <c r="FJ1031" s="1"/>
      <c r="FK1031" s="1"/>
      <c r="FL1031" s="1"/>
      <c r="FM1031" s="1"/>
      <c r="FN1031" s="1"/>
      <c r="FO1031" s="1"/>
      <c r="FP1031" s="1"/>
      <c r="FQ1031" s="1"/>
      <c r="FR1031" s="2"/>
      <c r="FS1031" s="1"/>
    </row>
    <row r="1032" spans="1:175" x14ac:dyDescent="0.3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R1032" s="1"/>
      <c r="S1032" s="1"/>
      <c r="T1032" s="1"/>
      <c r="U1032" s="1"/>
      <c r="V1032" s="1"/>
      <c r="Y1032" s="1"/>
      <c r="Z1032" s="2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  <c r="AP1032" s="1"/>
      <c r="AQ1032" s="1"/>
      <c r="AR1032" s="1"/>
      <c r="AS1032" s="1"/>
      <c r="AU1032" s="1"/>
      <c r="AW1032" s="1"/>
      <c r="AX1032" s="1"/>
      <c r="AY1032" s="1"/>
      <c r="AZ1032" s="1"/>
      <c r="BA1032" s="1"/>
      <c r="BC1032" s="1"/>
      <c r="BD1032" s="1"/>
      <c r="BE1032" s="1"/>
      <c r="BF1032" s="1"/>
      <c r="BG1032" s="1"/>
      <c r="BH1032" s="1"/>
      <c r="BI1032" s="1"/>
      <c r="BJ1032" s="1"/>
      <c r="BK1032" s="1"/>
      <c r="BL1032" s="1"/>
      <c r="BM1032" s="1"/>
      <c r="BN1032" s="1"/>
      <c r="BO1032" s="1"/>
      <c r="BP1032" s="1"/>
      <c r="BQ1032" s="1"/>
      <c r="BR1032" s="1"/>
      <c r="BS1032" s="1"/>
      <c r="BT1032" s="1"/>
      <c r="BU1032" s="1"/>
      <c r="BV1032" s="1"/>
      <c r="BW1032" s="1"/>
      <c r="BX1032" s="1"/>
      <c r="BY1032" s="1"/>
      <c r="BZ1032" s="1"/>
      <c r="CA1032" s="1"/>
      <c r="CB1032" s="1"/>
      <c r="CC1032" s="1"/>
      <c r="CD1032" s="1"/>
      <c r="CE1032" s="1"/>
      <c r="CF1032" s="1"/>
      <c r="CG1032" s="1"/>
      <c r="CH1032" s="1"/>
      <c r="CI1032" s="1"/>
      <c r="CJ1032" s="1"/>
      <c r="CK1032" s="1"/>
      <c r="CL1032" s="1"/>
      <c r="CM1032" s="1"/>
      <c r="CN1032" s="1"/>
      <c r="CO1032" s="1"/>
      <c r="CP1032" s="1"/>
      <c r="CQ1032" s="1"/>
      <c r="CR1032" s="1"/>
      <c r="CS1032" s="1"/>
      <c r="CT1032" s="1"/>
      <c r="CU1032" s="1"/>
      <c r="CV1032" s="1"/>
      <c r="CW1032" s="1"/>
      <c r="CX1032" s="1"/>
      <c r="CY1032" s="1"/>
      <c r="CZ1032" s="1"/>
      <c r="DA1032" s="1"/>
      <c r="DB1032" s="1"/>
      <c r="DC1032" s="1"/>
      <c r="DD1032" s="1"/>
      <c r="DE1032" s="1"/>
      <c r="DF1032" s="1"/>
      <c r="DG1032" s="1"/>
      <c r="DH1032" s="1"/>
      <c r="DI1032" s="1"/>
      <c r="DJ1032" s="1"/>
      <c r="DK1032" s="1"/>
      <c r="DL1032" s="1"/>
      <c r="DM1032" s="1"/>
      <c r="DN1032" s="1"/>
      <c r="DO1032" s="1"/>
      <c r="DP1032" s="1"/>
      <c r="DQ1032" s="1"/>
      <c r="DR1032" s="1"/>
      <c r="DS1032" s="1"/>
      <c r="DT1032" s="1"/>
      <c r="DU1032" s="1"/>
      <c r="DV1032" s="1"/>
      <c r="DW1032" s="1"/>
      <c r="DX1032" s="1"/>
      <c r="DY1032" s="1"/>
      <c r="DZ1032" s="1"/>
      <c r="EA1032" s="1"/>
      <c r="EB1032" s="1"/>
      <c r="EC1032" s="1"/>
      <c r="ED1032" s="1"/>
      <c r="EE1032" s="1"/>
      <c r="EF1032" s="1"/>
      <c r="EG1032" s="1"/>
      <c r="EH1032" s="1"/>
      <c r="EI1032" s="1"/>
      <c r="EJ1032" s="1"/>
      <c r="EK1032" s="1"/>
      <c r="EL1032" s="1"/>
      <c r="EM1032" s="1"/>
      <c r="EN1032" s="1"/>
      <c r="EO1032" s="1"/>
      <c r="EP1032" s="1"/>
      <c r="EQ1032" s="1"/>
      <c r="ER1032" s="1"/>
      <c r="ES1032" s="1"/>
      <c r="ET1032" s="1"/>
      <c r="EU1032" s="1"/>
      <c r="EV1032" s="1"/>
      <c r="EW1032" s="1"/>
      <c r="EX1032" s="1"/>
      <c r="EY1032" s="1"/>
      <c r="EZ1032" s="1"/>
      <c r="FA1032" s="1"/>
      <c r="FB1032" s="1"/>
      <c r="FC1032" s="1"/>
      <c r="FD1032" s="1"/>
      <c r="FE1032" s="1"/>
      <c r="FF1032" s="1"/>
      <c r="FG1032" s="1"/>
      <c r="FH1032" s="1"/>
      <c r="FI1032" s="1"/>
      <c r="FJ1032" s="1"/>
      <c r="FK1032" s="1"/>
      <c r="FL1032" s="1"/>
      <c r="FM1032" s="1"/>
      <c r="FN1032" s="1"/>
      <c r="FO1032" s="1"/>
      <c r="FP1032" s="1"/>
      <c r="FQ1032" s="1"/>
      <c r="FR1032" s="2"/>
      <c r="FS1032" s="1"/>
    </row>
    <row r="1033" spans="1:175" x14ac:dyDescent="0.3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R1033" s="1"/>
      <c r="S1033" s="1"/>
      <c r="T1033" s="1"/>
      <c r="U1033" s="1"/>
      <c r="V1033" s="1"/>
      <c r="Y1033" s="1"/>
      <c r="Z1033" s="2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  <c r="AP1033" s="1"/>
      <c r="AQ1033" s="1"/>
      <c r="AR1033" s="1"/>
      <c r="AS1033" s="1"/>
      <c r="AU1033" s="1"/>
      <c r="AW1033" s="1"/>
      <c r="AX1033" s="1"/>
      <c r="AY1033" s="1"/>
      <c r="AZ1033" s="1"/>
      <c r="BA1033" s="1"/>
      <c r="BC1033" s="1"/>
      <c r="BD1033" s="1"/>
      <c r="BE1033" s="1"/>
      <c r="BF1033" s="1"/>
      <c r="BG1033" s="1"/>
      <c r="BH1033" s="1"/>
      <c r="BI1033" s="1"/>
      <c r="BJ1033" s="1"/>
      <c r="BK1033" s="1"/>
      <c r="BL1033" s="1"/>
      <c r="BM1033" s="1"/>
      <c r="BN1033" s="1"/>
      <c r="BO1033" s="1"/>
      <c r="BP1033" s="1"/>
      <c r="BQ1033" s="1"/>
      <c r="BR1033" s="1"/>
      <c r="BS1033" s="1"/>
      <c r="BT1033" s="1"/>
      <c r="BU1033" s="1"/>
      <c r="BV1033" s="1"/>
      <c r="BW1033" s="1"/>
      <c r="BX1033" s="1"/>
      <c r="BY1033" s="1"/>
      <c r="BZ1033" s="1"/>
      <c r="CA1033" s="1"/>
      <c r="CB1033" s="1"/>
      <c r="CC1033" s="1"/>
      <c r="CD1033" s="1"/>
      <c r="CE1033" s="1"/>
      <c r="CF1033" s="1"/>
      <c r="CG1033" s="1"/>
      <c r="CH1033" s="1"/>
      <c r="CI1033" s="1"/>
      <c r="CJ1033" s="1"/>
      <c r="CK1033" s="1"/>
      <c r="CL1033" s="1"/>
      <c r="CM1033" s="1"/>
      <c r="CN1033" s="1"/>
      <c r="CO1033" s="1"/>
      <c r="CP1033" s="1"/>
      <c r="CQ1033" s="1"/>
      <c r="CR1033" s="1"/>
      <c r="CS1033" s="1"/>
      <c r="CT1033" s="1"/>
      <c r="CU1033" s="1"/>
      <c r="CV1033" s="1"/>
      <c r="CW1033" s="1"/>
      <c r="CX1033" s="1"/>
      <c r="CY1033" s="1"/>
      <c r="CZ1033" s="1"/>
      <c r="DA1033" s="1"/>
      <c r="DB1033" s="1"/>
      <c r="DC1033" s="1"/>
      <c r="DD1033" s="1"/>
      <c r="DE1033" s="1"/>
      <c r="DF1033" s="1"/>
      <c r="DG1033" s="1"/>
      <c r="DH1033" s="1"/>
      <c r="DI1033" s="1"/>
      <c r="DJ1033" s="1"/>
      <c r="DK1033" s="1"/>
      <c r="DL1033" s="1"/>
      <c r="DM1033" s="1"/>
      <c r="DN1033" s="1"/>
      <c r="DO1033" s="1"/>
      <c r="DP1033" s="1"/>
      <c r="DQ1033" s="1"/>
      <c r="DR1033" s="1"/>
      <c r="DS1033" s="1"/>
      <c r="DT1033" s="1"/>
      <c r="DU1033" s="1"/>
      <c r="DV1033" s="1"/>
      <c r="DW1033" s="1"/>
      <c r="DX1033" s="1"/>
      <c r="DY1033" s="1"/>
      <c r="DZ1033" s="1"/>
      <c r="EA1033" s="1"/>
      <c r="EB1033" s="1"/>
      <c r="EC1033" s="1"/>
      <c r="ED1033" s="1"/>
      <c r="EE1033" s="1"/>
      <c r="EF1033" s="1"/>
      <c r="EG1033" s="1"/>
      <c r="EH1033" s="1"/>
      <c r="EI1033" s="1"/>
      <c r="EJ1033" s="1"/>
      <c r="EK1033" s="1"/>
      <c r="EL1033" s="1"/>
      <c r="EM1033" s="1"/>
      <c r="EN1033" s="1"/>
      <c r="EO1033" s="1"/>
      <c r="EP1033" s="1"/>
      <c r="EQ1033" s="1"/>
      <c r="ER1033" s="1"/>
      <c r="ES1033" s="1"/>
      <c r="ET1033" s="1"/>
      <c r="EU1033" s="1"/>
      <c r="EV1033" s="1"/>
      <c r="EW1033" s="1"/>
      <c r="EX1033" s="1"/>
      <c r="EY1033" s="1"/>
      <c r="EZ1033" s="1"/>
      <c r="FA1033" s="1"/>
      <c r="FB1033" s="1"/>
      <c r="FC1033" s="1"/>
      <c r="FD1033" s="1"/>
      <c r="FE1033" s="1"/>
      <c r="FF1033" s="1"/>
      <c r="FG1033" s="1"/>
      <c r="FH1033" s="1"/>
      <c r="FI1033" s="1"/>
      <c r="FJ1033" s="1"/>
      <c r="FK1033" s="1"/>
      <c r="FL1033" s="1"/>
      <c r="FM1033" s="1"/>
      <c r="FN1033" s="1"/>
      <c r="FO1033" s="1"/>
      <c r="FP1033" s="1"/>
      <c r="FQ1033" s="1"/>
      <c r="FR1033" s="2"/>
      <c r="FS1033" s="1"/>
    </row>
    <row r="1034" spans="1:175" x14ac:dyDescent="0.3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R1034" s="1"/>
      <c r="S1034" s="1"/>
      <c r="T1034" s="1"/>
      <c r="U1034" s="1"/>
      <c r="V1034" s="1"/>
      <c r="Y1034" s="1"/>
      <c r="Z1034" s="2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  <c r="AO1034" s="1"/>
      <c r="AP1034" s="1"/>
      <c r="AQ1034" s="1"/>
      <c r="AR1034" s="1"/>
      <c r="AS1034" s="1"/>
      <c r="AU1034" s="1"/>
      <c r="AW1034" s="1"/>
      <c r="AX1034" s="1"/>
      <c r="AY1034" s="1"/>
      <c r="AZ1034" s="1"/>
      <c r="BA1034" s="1"/>
      <c r="BC1034" s="1"/>
      <c r="BD1034" s="1"/>
      <c r="BE1034" s="1"/>
      <c r="BF1034" s="1"/>
      <c r="BG1034" s="1"/>
      <c r="BH1034" s="1"/>
      <c r="BI1034" s="1"/>
      <c r="BJ1034" s="1"/>
      <c r="BK1034" s="1"/>
      <c r="BL1034" s="1"/>
      <c r="BM1034" s="1"/>
      <c r="BN1034" s="1"/>
      <c r="BO1034" s="1"/>
      <c r="BP1034" s="1"/>
      <c r="BQ1034" s="1"/>
      <c r="BR1034" s="1"/>
      <c r="BS1034" s="1"/>
      <c r="BT1034" s="1"/>
      <c r="BU1034" s="1"/>
      <c r="BV1034" s="1"/>
      <c r="BW1034" s="1"/>
      <c r="BX1034" s="1"/>
      <c r="BY1034" s="1"/>
      <c r="BZ1034" s="1"/>
      <c r="CA1034" s="1"/>
      <c r="CB1034" s="1"/>
      <c r="CC1034" s="1"/>
      <c r="CD1034" s="1"/>
      <c r="CE1034" s="1"/>
      <c r="CF1034" s="1"/>
      <c r="CG1034" s="1"/>
      <c r="CH1034" s="1"/>
      <c r="CI1034" s="1"/>
      <c r="CJ1034" s="1"/>
      <c r="CK1034" s="1"/>
      <c r="CL1034" s="1"/>
      <c r="CM1034" s="1"/>
      <c r="CN1034" s="1"/>
      <c r="CO1034" s="1"/>
      <c r="CP1034" s="1"/>
      <c r="CQ1034" s="1"/>
      <c r="CR1034" s="1"/>
      <c r="CS1034" s="1"/>
      <c r="CT1034" s="1"/>
      <c r="CU1034" s="1"/>
      <c r="CV1034" s="1"/>
      <c r="CW1034" s="1"/>
      <c r="CX1034" s="1"/>
      <c r="CY1034" s="1"/>
      <c r="CZ1034" s="1"/>
      <c r="DA1034" s="1"/>
      <c r="DB1034" s="1"/>
      <c r="DC1034" s="1"/>
      <c r="DD1034" s="1"/>
      <c r="DE1034" s="1"/>
      <c r="DF1034" s="1"/>
      <c r="DG1034" s="1"/>
      <c r="DH1034" s="1"/>
      <c r="DI1034" s="1"/>
      <c r="DJ1034" s="1"/>
      <c r="DK1034" s="1"/>
      <c r="DL1034" s="1"/>
      <c r="DM1034" s="1"/>
      <c r="DN1034" s="1"/>
      <c r="DO1034" s="1"/>
      <c r="DP1034" s="1"/>
      <c r="DQ1034" s="1"/>
      <c r="DR1034" s="1"/>
      <c r="DS1034" s="1"/>
      <c r="DT1034" s="1"/>
      <c r="DU1034" s="1"/>
      <c r="DV1034" s="1"/>
      <c r="DW1034" s="1"/>
      <c r="DX1034" s="1"/>
      <c r="DY1034" s="1"/>
      <c r="DZ1034" s="1"/>
      <c r="EA1034" s="1"/>
      <c r="EB1034" s="1"/>
      <c r="EC1034" s="1"/>
      <c r="ED1034" s="1"/>
      <c r="EE1034" s="1"/>
      <c r="EF1034" s="1"/>
      <c r="EG1034" s="1"/>
      <c r="EH1034" s="1"/>
      <c r="EI1034" s="1"/>
      <c r="EJ1034" s="1"/>
      <c r="EK1034" s="1"/>
      <c r="EL1034" s="1"/>
      <c r="EM1034" s="1"/>
      <c r="EN1034" s="1"/>
      <c r="EO1034" s="1"/>
      <c r="EP1034" s="1"/>
      <c r="EQ1034" s="1"/>
      <c r="ER1034" s="1"/>
      <c r="ES1034" s="1"/>
      <c r="ET1034" s="1"/>
      <c r="EU1034" s="1"/>
      <c r="EV1034" s="1"/>
      <c r="EW1034" s="1"/>
      <c r="EX1034" s="1"/>
      <c r="EY1034" s="1"/>
      <c r="EZ1034" s="1"/>
      <c r="FA1034" s="1"/>
      <c r="FB1034" s="1"/>
      <c r="FC1034" s="1"/>
      <c r="FD1034" s="1"/>
      <c r="FE1034" s="1"/>
      <c r="FF1034" s="1"/>
      <c r="FG1034" s="1"/>
      <c r="FH1034" s="1"/>
      <c r="FI1034" s="1"/>
      <c r="FJ1034" s="1"/>
      <c r="FK1034" s="1"/>
      <c r="FL1034" s="1"/>
      <c r="FM1034" s="1"/>
      <c r="FN1034" s="1"/>
      <c r="FO1034" s="1"/>
      <c r="FP1034" s="1"/>
      <c r="FQ1034" s="1"/>
      <c r="FR1034" s="2"/>
      <c r="FS1034" s="1"/>
    </row>
    <row r="1035" spans="1:175" x14ac:dyDescent="0.3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R1035" s="1"/>
      <c r="S1035" s="1"/>
      <c r="T1035" s="1"/>
      <c r="U1035" s="1"/>
      <c r="V1035" s="1"/>
      <c r="Y1035" s="1"/>
      <c r="Z1035" s="2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  <c r="AP1035" s="1"/>
      <c r="AQ1035" s="1"/>
      <c r="AR1035" s="1"/>
      <c r="AS1035" s="1"/>
      <c r="AU1035" s="1"/>
      <c r="AW1035" s="1"/>
      <c r="AX1035" s="1"/>
      <c r="AY1035" s="1"/>
      <c r="AZ1035" s="1"/>
      <c r="BA1035" s="1"/>
      <c r="BC1035" s="1"/>
      <c r="BD1035" s="1"/>
      <c r="BE1035" s="1"/>
      <c r="BF1035" s="1"/>
      <c r="BG1035" s="1"/>
      <c r="BH1035" s="1"/>
      <c r="BI1035" s="1"/>
      <c r="BJ1035" s="1"/>
      <c r="BK1035" s="1"/>
      <c r="BL1035" s="1"/>
      <c r="BM1035" s="1"/>
      <c r="BN1035" s="1"/>
      <c r="BO1035" s="1"/>
      <c r="BP1035" s="1"/>
      <c r="BQ1035" s="1"/>
      <c r="BR1035" s="1"/>
      <c r="BS1035" s="1"/>
      <c r="BT1035" s="1"/>
      <c r="BU1035" s="1"/>
      <c r="BV1035" s="1"/>
      <c r="BW1035" s="1"/>
      <c r="BX1035" s="1"/>
      <c r="BY1035" s="1"/>
      <c r="BZ1035" s="1"/>
      <c r="CA1035" s="1"/>
      <c r="CB1035" s="1"/>
      <c r="CC1035" s="1"/>
      <c r="CD1035" s="1"/>
      <c r="CE1035" s="1"/>
      <c r="CF1035" s="1"/>
      <c r="CG1035" s="1"/>
      <c r="CH1035" s="1"/>
      <c r="CI1035" s="1"/>
      <c r="CJ1035" s="1"/>
      <c r="CK1035" s="1"/>
      <c r="CL1035" s="1"/>
      <c r="CM1035" s="1"/>
      <c r="CN1035" s="1"/>
      <c r="CO1035" s="1"/>
      <c r="CP1035" s="1"/>
      <c r="CQ1035" s="1"/>
      <c r="CR1035" s="1"/>
      <c r="CS1035" s="1"/>
      <c r="CT1035" s="1"/>
      <c r="CU1035" s="1"/>
      <c r="CV1035" s="1"/>
      <c r="CW1035" s="1"/>
      <c r="CX1035" s="1"/>
      <c r="CY1035" s="1"/>
      <c r="CZ1035" s="1"/>
      <c r="DA1035" s="1"/>
      <c r="DB1035" s="1"/>
      <c r="DC1035" s="1"/>
      <c r="DD1035" s="1"/>
      <c r="DE1035" s="1"/>
      <c r="DF1035" s="1"/>
      <c r="DG1035" s="1"/>
      <c r="DH1035" s="1"/>
      <c r="DI1035" s="1"/>
      <c r="DJ1035" s="1"/>
      <c r="DK1035" s="1"/>
      <c r="DL1035" s="1"/>
      <c r="DM1035" s="1"/>
      <c r="DN1035" s="1"/>
      <c r="DO1035" s="1"/>
      <c r="DP1035" s="1"/>
      <c r="DQ1035" s="1"/>
      <c r="DR1035" s="1"/>
      <c r="DS1035" s="1"/>
      <c r="DT1035" s="1"/>
      <c r="DU1035" s="1"/>
      <c r="DV1035" s="1"/>
      <c r="DW1035" s="1"/>
      <c r="DX1035" s="1"/>
      <c r="DY1035" s="1"/>
      <c r="DZ1035" s="1"/>
      <c r="EA1035" s="1"/>
      <c r="EB1035" s="1"/>
      <c r="EC1035" s="1"/>
      <c r="ED1035" s="1"/>
      <c r="EE1035" s="1"/>
      <c r="EF1035" s="1"/>
      <c r="EG1035" s="1"/>
      <c r="EH1035" s="1"/>
      <c r="EI1035" s="1"/>
      <c r="EJ1035" s="1"/>
      <c r="EK1035" s="1"/>
      <c r="EL1035" s="1"/>
      <c r="EM1035" s="1"/>
      <c r="EN1035" s="1"/>
      <c r="EO1035" s="1"/>
      <c r="EP1035" s="1"/>
      <c r="EQ1035" s="1"/>
      <c r="ER1035" s="1"/>
      <c r="ES1035" s="1"/>
      <c r="ET1035" s="1"/>
      <c r="EU1035" s="1"/>
      <c r="EV1035" s="1"/>
      <c r="EW1035" s="1"/>
      <c r="EX1035" s="1"/>
      <c r="EY1035" s="1"/>
      <c r="EZ1035" s="1"/>
      <c r="FA1035" s="1"/>
      <c r="FB1035" s="1"/>
      <c r="FC1035" s="1"/>
      <c r="FD1035" s="1"/>
      <c r="FE1035" s="1"/>
      <c r="FF1035" s="1"/>
      <c r="FG1035" s="1"/>
      <c r="FH1035" s="1"/>
      <c r="FI1035" s="1"/>
      <c r="FJ1035" s="1"/>
      <c r="FK1035" s="1"/>
      <c r="FL1035" s="1"/>
      <c r="FM1035" s="1"/>
      <c r="FN1035" s="1"/>
      <c r="FO1035" s="1"/>
      <c r="FP1035" s="1"/>
      <c r="FQ1035" s="1"/>
      <c r="FR1035" s="2"/>
      <c r="FS1035" s="1"/>
    </row>
    <row r="1036" spans="1:175" x14ac:dyDescent="0.3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R1036" s="1"/>
      <c r="S1036" s="1"/>
      <c r="T1036" s="1"/>
      <c r="U1036" s="1"/>
      <c r="V1036" s="1"/>
      <c r="Y1036" s="1"/>
      <c r="Z1036" s="2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  <c r="AP1036" s="1"/>
      <c r="AQ1036" s="1"/>
      <c r="AR1036" s="1"/>
      <c r="AS1036" s="1"/>
      <c r="AU1036" s="1"/>
      <c r="AW1036" s="1"/>
      <c r="AX1036" s="1"/>
      <c r="AY1036" s="1"/>
      <c r="AZ1036" s="1"/>
      <c r="BA1036" s="1"/>
      <c r="BC1036" s="1"/>
      <c r="BD1036" s="1"/>
      <c r="BE1036" s="1"/>
      <c r="BF1036" s="1"/>
      <c r="BG1036" s="1"/>
      <c r="BH1036" s="1"/>
      <c r="BI1036" s="1"/>
      <c r="BJ1036" s="1"/>
      <c r="BK1036" s="1"/>
      <c r="BL1036" s="1"/>
      <c r="BM1036" s="1"/>
      <c r="BN1036" s="1"/>
      <c r="BO1036" s="1"/>
      <c r="BP1036" s="1"/>
      <c r="BQ1036" s="1"/>
      <c r="BR1036" s="1"/>
      <c r="BS1036" s="1"/>
      <c r="BT1036" s="1"/>
      <c r="BU1036" s="1"/>
      <c r="BV1036" s="1"/>
      <c r="BW1036" s="1"/>
      <c r="BX1036" s="1"/>
      <c r="BY1036" s="1"/>
      <c r="BZ1036" s="1"/>
      <c r="CA1036" s="1"/>
      <c r="CB1036" s="1"/>
      <c r="CC1036" s="1"/>
      <c r="CD1036" s="1"/>
      <c r="CE1036" s="1"/>
      <c r="CF1036" s="1"/>
      <c r="CG1036" s="1"/>
      <c r="CH1036" s="1"/>
      <c r="CI1036" s="1"/>
      <c r="CJ1036" s="1"/>
      <c r="CK1036" s="1"/>
      <c r="CL1036" s="1"/>
      <c r="CM1036" s="1"/>
      <c r="CN1036" s="1"/>
      <c r="CO1036" s="1"/>
      <c r="CP1036" s="1"/>
      <c r="CQ1036" s="1"/>
      <c r="CR1036" s="1"/>
      <c r="CS1036" s="1"/>
      <c r="CT1036" s="1"/>
      <c r="CU1036" s="1"/>
      <c r="CV1036" s="1"/>
      <c r="CW1036" s="1"/>
      <c r="CX1036" s="1"/>
      <c r="CY1036" s="1"/>
      <c r="CZ1036" s="1"/>
      <c r="DA1036" s="1"/>
      <c r="DB1036" s="1"/>
      <c r="DC1036" s="1"/>
      <c r="DD1036" s="1"/>
      <c r="DE1036" s="1"/>
      <c r="DF1036" s="1"/>
      <c r="DG1036" s="1"/>
      <c r="DH1036" s="1"/>
      <c r="DI1036" s="1"/>
      <c r="DJ1036" s="1"/>
      <c r="DK1036" s="1"/>
      <c r="DL1036" s="1"/>
      <c r="DM1036" s="1"/>
      <c r="DN1036" s="1"/>
      <c r="DO1036" s="1"/>
      <c r="DP1036" s="1"/>
      <c r="DQ1036" s="1"/>
      <c r="DR1036" s="1"/>
      <c r="DS1036" s="1"/>
      <c r="DT1036" s="1"/>
      <c r="DU1036" s="1"/>
      <c r="DV1036" s="1"/>
      <c r="DW1036" s="1"/>
      <c r="DX1036" s="1"/>
      <c r="DY1036" s="1"/>
      <c r="DZ1036" s="1"/>
      <c r="EA1036" s="1"/>
      <c r="EB1036" s="1"/>
      <c r="EC1036" s="1"/>
      <c r="ED1036" s="1"/>
      <c r="EE1036" s="1"/>
      <c r="EF1036" s="1"/>
      <c r="EG1036" s="1"/>
      <c r="EH1036" s="1"/>
      <c r="EI1036" s="1"/>
      <c r="EJ1036" s="1"/>
      <c r="EK1036" s="1"/>
      <c r="EL1036" s="1"/>
      <c r="EM1036" s="1"/>
      <c r="EN1036" s="1"/>
      <c r="EO1036" s="1"/>
      <c r="EP1036" s="1"/>
      <c r="EQ1036" s="1"/>
      <c r="ER1036" s="1"/>
      <c r="ES1036" s="1"/>
      <c r="ET1036" s="1"/>
      <c r="EU1036" s="1"/>
      <c r="EV1036" s="1"/>
      <c r="EW1036" s="1"/>
      <c r="EX1036" s="1"/>
      <c r="EY1036" s="1"/>
      <c r="EZ1036" s="1"/>
      <c r="FA1036" s="1"/>
      <c r="FB1036" s="1"/>
      <c r="FC1036" s="1"/>
      <c r="FD1036" s="1"/>
      <c r="FE1036" s="1"/>
      <c r="FF1036" s="1"/>
      <c r="FG1036" s="1"/>
      <c r="FH1036" s="1"/>
      <c r="FI1036" s="1"/>
      <c r="FJ1036" s="1"/>
      <c r="FK1036" s="1"/>
      <c r="FL1036" s="1"/>
      <c r="FM1036" s="1"/>
      <c r="FN1036" s="1"/>
      <c r="FO1036" s="1"/>
      <c r="FP1036" s="1"/>
      <c r="FQ1036" s="1"/>
      <c r="FR1036" s="2"/>
      <c r="FS1036" s="1"/>
    </row>
    <row r="1037" spans="1:175" x14ac:dyDescent="0.3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R1037" s="1"/>
      <c r="S1037" s="1"/>
      <c r="T1037" s="1"/>
      <c r="U1037" s="1"/>
      <c r="V1037" s="1"/>
      <c r="Y1037" s="1"/>
      <c r="Z1037" s="2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  <c r="AP1037" s="1"/>
      <c r="AQ1037" s="1"/>
      <c r="AR1037" s="1"/>
      <c r="AS1037" s="1"/>
      <c r="AU1037" s="1"/>
      <c r="AW1037" s="1"/>
      <c r="AX1037" s="1"/>
      <c r="AY1037" s="1"/>
      <c r="AZ1037" s="1"/>
      <c r="BA1037" s="1"/>
      <c r="BC1037" s="1"/>
      <c r="BD1037" s="1"/>
      <c r="BE1037" s="1"/>
      <c r="BF1037" s="1"/>
      <c r="BG1037" s="1"/>
      <c r="BH1037" s="1"/>
      <c r="BI1037" s="1"/>
      <c r="BJ1037" s="1"/>
      <c r="BK1037" s="1"/>
      <c r="BL1037" s="1"/>
      <c r="BM1037" s="1"/>
      <c r="BN1037" s="1"/>
      <c r="BO1037" s="1"/>
      <c r="BP1037" s="1"/>
      <c r="BQ1037" s="1"/>
      <c r="BR1037" s="1"/>
      <c r="BS1037" s="1"/>
      <c r="BT1037" s="1"/>
      <c r="BU1037" s="1"/>
      <c r="BV1037" s="1"/>
      <c r="BW1037" s="1"/>
      <c r="BX1037" s="1"/>
      <c r="BY1037" s="1"/>
      <c r="BZ1037" s="1"/>
      <c r="CA1037" s="1"/>
      <c r="CB1037" s="1"/>
      <c r="CC1037" s="1"/>
      <c r="CD1037" s="1"/>
      <c r="CE1037" s="1"/>
      <c r="CF1037" s="1"/>
      <c r="CG1037" s="1"/>
      <c r="CH1037" s="1"/>
      <c r="CI1037" s="1"/>
      <c r="CJ1037" s="1"/>
      <c r="CK1037" s="1"/>
      <c r="CL1037" s="1"/>
      <c r="CM1037" s="1"/>
      <c r="CN1037" s="1"/>
      <c r="CO1037" s="1"/>
      <c r="CP1037" s="1"/>
      <c r="CQ1037" s="1"/>
      <c r="CR1037" s="1"/>
      <c r="CS1037" s="1"/>
      <c r="CT1037" s="1"/>
      <c r="CU1037" s="1"/>
      <c r="CV1037" s="1"/>
      <c r="CW1037" s="1"/>
      <c r="CX1037" s="1"/>
      <c r="CY1037" s="1"/>
      <c r="CZ1037" s="1"/>
      <c r="DA1037" s="1"/>
      <c r="DB1037" s="1"/>
      <c r="DC1037" s="1"/>
      <c r="DD1037" s="1"/>
      <c r="DE1037" s="1"/>
      <c r="DF1037" s="1"/>
      <c r="DG1037" s="1"/>
      <c r="DH1037" s="1"/>
      <c r="DI1037" s="1"/>
      <c r="DJ1037" s="1"/>
      <c r="DK1037" s="1"/>
      <c r="DL1037" s="1"/>
      <c r="DM1037" s="1"/>
      <c r="DN1037" s="1"/>
      <c r="DO1037" s="1"/>
      <c r="DP1037" s="1"/>
      <c r="DQ1037" s="1"/>
      <c r="DR1037" s="1"/>
      <c r="DS1037" s="1"/>
      <c r="DT1037" s="1"/>
      <c r="DU1037" s="1"/>
      <c r="DV1037" s="1"/>
      <c r="DW1037" s="1"/>
      <c r="DX1037" s="1"/>
      <c r="DY1037" s="1"/>
      <c r="DZ1037" s="1"/>
      <c r="EA1037" s="1"/>
      <c r="EB1037" s="1"/>
      <c r="EC1037" s="1"/>
      <c r="ED1037" s="1"/>
      <c r="EE1037" s="1"/>
      <c r="EF1037" s="1"/>
      <c r="EG1037" s="1"/>
      <c r="EH1037" s="1"/>
      <c r="EI1037" s="1"/>
      <c r="EJ1037" s="1"/>
      <c r="EK1037" s="1"/>
      <c r="EL1037" s="1"/>
      <c r="EM1037" s="1"/>
      <c r="EN1037" s="1"/>
      <c r="EO1037" s="1"/>
      <c r="EP1037" s="1"/>
      <c r="EQ1037" s="1"/>
      <c r="ER1037" s="1"/>
      <c r="ES1037" s="1"/>
      <c r="ET1037" s="1"/>
      <c r="EU1037" s="1"/>
      <c r="EV1037" s="1"/>
      <c r="EW1037" s="1"/>
      <c r="EX1037" s="1"/>
      <c r="EY1037" s="1"/>
      <c r="EZ1037" s="1"/>
      <c r="FA1037" s="1"/>
      <c r="FB1037" s="1"/>
      <c r="FC1037" s="1"/>
      <c r="FD1037" s="1"/>
      <c r="FE1037" s="1"/>
      <c r="FF1037" s="1"/>
      <c r="FG1037" s="1"/>
      <c r="FH1037" s="1"/>
      <c r="FI1037" s="1"/>
      <c r="FJ1037" s="1"/>
      <c r="FK1037" s="1"/>
      <c r="FL1037" s="1"/>
      <c r="FM1037" s="1"/>
      <c r="FN1037" s="1"/>
      <c r="FO1037" s="1"/>
      <c r="FP1037" s="1"/>
      <c r="FQ1037" s="1"/>
      <c r="FR1037" s="2"/>
      <c r="FS1037" s="1"/>
    </row>
    <row r="1038" spans="1:175" x14ac:dyDescent="0.3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R1038" s="1"/>
      <c r="S1038" s="1"/>
      <c r="T1038" s="1"/>
      <c r="U1038" s="1"/>
      <c r="V1038" s="1"/>
      <c r="Y1038" s="1"/>
      <c r="Z1038" s="2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  <c r="AP1038" s="1"/>
      <c r="AQ1038" s="1"/>
      <c r="AR1038" s="1"/>
      <c r="AS1038" s="1"/>
      <c r="AU1038" s="1"/>
      <c r="AW1038" s="1"/>
      <c r="AX1038" s="1"/>
      <c r="AY1038" s="1"/>
      <c r="AZ1038" s="1"/>
      <c r="BA1038" s="1"/>
      <c r="BC1038" s="1"/>
      <c r="BD1038" s="1"/>
      <c r="BE1038" s="1"/>
      <c r="BF1038" s="1"/>
      <c r="BG1038" s="1"/>
      <c r="BH1038" s="1"/>
      <c r="BI1038" s="1"/>
      <c r="BJ1038" s="1"/>
      <c r="BK1038" s="1"/>
      <c r="BL1038" s="1"/>
      <c r="BM1038" s="1"/>
      <c r="BN1038" s="1"/>
      <c r="BO1038" s="1"/>
      <c r="BP1038" s="1"/>
      <c r="BQ1038" s="1"/>
      <c r="BR1038" s="1"/>
      <c r="BS1038" s="1"/>
      <c r="BT1038" s="1"/>
      <c r="BU1038" s="1"/>
      <c r="BV1038" s="1"/>
      <c r="BW1038" s="1"/>
      <c r="BX1038" s="1"/>
      <c r="BY1038" s="1"/>
      <c r="BZ1038" s="1"/>
      <c r="CA1038" s="1"/>
      <c r="CB1038" s="1"/>
      <c r="CC1038" s="1"/>
      <c r="CD1038" s="1"/>
      <c r="CE1038" s="1"/>
      <c r="CF1038" s="1"/>
      <c r="CG1038" s="1"/>
      <c r="CH1038" s="1"/>
      <c r="CI1038" s="1"/>
      <c r="CJ1038" s="1"/>
      <c r="CK1038" s="1"/>
      <c r="CL1038" s="1"/>
      <c r="CM1038" s="1"/>
      <c r="CN1038" s="1"/>
      <c r="CO1038" s="1"/>
      <c r="CP1038" s="1"/>
      <c r="CQ1038" s="1"/>
      <c r="CR1038" s="1"/>
      <c r="CS1038" s="1"/>
      <c r="CT1038" s="1"/>
      <c r="CU1038" s="1"/>
      <c r="CV1038" s="1"/>
      <c r="CW1038" s="1"/>
      <c r="CX1038" s="1"/>
      <c r="CY1038" s="1"/>
      <c r="CZ1038" s="1"/>
      <c r="DA1038" s="1"/>
      <c r="DB1038" s="1"/>
      <c r="DC1038" s="1"/>
      <c r="DD1038" s="1"/>
      <c r="DE1038" s="1"/>
      <c r="DF1038" s="1"/>
      <c r="DG1038" s="1"/>
      <c r="DH1038" s="1"/>
      <c r="DI1038" s="1"/>
      <c r="DJ1038" s="1"/>
      <c r="DK1038" s="1"/>
      <c r="DL1038" s="1"/>
      <c r="DM1038" s="1"/>
      <c r="DN1038" s="1"/>
      <c r="DO1038" s="1"/>
      <c r="DP1038" s="1"/>
      <c r="DQ1038" s="1"/>
      <c r="DR1038" s="1"/>
      <c r="DS1038" s="1"/>
      <c r="DT1038" s="1"/>
      <c r="DU1038" s="1"/>
      <c r="DV1038" s="1"/>
      <c r="DW1038" s="1"/>
      <c r="DX1038" s="1"/>
      <c r="DY1038" s="1"/>
      <c r="DZ1038" s="1"/>
      <c r="EA1038" s="1"/>
      <c r="EB1038" s="1"/>
      <c r="EC1038" s="1"/>
      <c r="ED1038" s="1"/>
      <c r="EE1038" s="1"/>
      <c r="EF1038" s="1"/>
      <c r="EG1038" s="1"/>
      <c r="EH1038" s="1"/>
      <c r="EI1038" s="1"/>
      <c r="EJ1038" s="1"/>
      <c r="EK1038" s="1"/>
      <c r="EL1038" s="1"/>
      <c r="EM1038" s="1"/>
      <c r="EN1038" s="1"/>
      <c r="EO1038" s="1"/>
      <c r="EP1038" s="1"/>
      <c r="EQ1038" s="1"/>
      <c r="ER1038" s="1"/>
      <c r="ES1038" s="1"/>
      <c r="ET1038" s="1"/>
      <c r="EU1038" s="1"/>
      <c r="EV1038" s="1"/>
      <c r="EW1038" s="1"/>
      <c r="EX1038" s="1"/>
      <c r="EY1038" s="1"/>
      <c r="EZ1038" s="1"/>
      <c r="FA1038" s="1"/>
      <c r="FB1038" s="1"/>
      <c r="FC1038" s="1"/>
      <c r="FD1038" s="1"/>
      <c r="FE1038" s="1"/>
      <c r="FF1038" s="1"/>
      <c r="FG1038" s="1"/>
      <c r="FH1038" s="1"/>
      <c r="FI1038" s="1"/>
      <c r="FJ1038" s="1"/>
      <c r="FK1038" s="1"/>
      <c r="FL1038" s="1"/>
      <c r="FM1038" s="1"/>
      <c r="FN1038" s="1"/>
      <c r="FO1038" s="1"/>
      <c r="FP1038" s="1"/>
      <c r="FQ1038" s="1"/>
      <c r="FR1038" s="2"/>
      <c r="FS1038" s="1"/>
    </row>
    <row r="1039" spans="1:175" x14ac:dyDescent="0.3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R1039" s="1"/>
      <c r="S1039" s="1"/>
      <c r="T1039" s="1"/>
      <c r="U1039" s="1"/>
      <c r="V1039" s="1"/>
      <c r="Y1039" s="1"/>
      <c r="Z1039" s="2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  <c r="AP1039" s="1"/>
      <c r="AQ1039" s="1"/>
      <c r="AR1039" s="1"/>
      <c r="AS1039" s="1"/>
      <c r="AU1039" s="1"/>
      <c r="AW1039" s="1"/>
      <c r="AX1039" s="1"/>
      <c r="AY1039" s="1"/>
      <c r="AZ1039" s="1"/>
      <c r="BA1039" s="1"/>
      <c r="BC1039" s="1"/>
      <c r="BD1039" s="1"/>
      <c r="BE1039" s="1"/>
      <c r="BF1039" s="1"/>
      <c r="BG1039" s="1"/>
      <c r="BH1039" s="1"/>
      <c r="BI1039" s="1"/>
      <c r="BJ1039" s="1"/>
      <c r="BK1039" s="1"/>
      <c r="BL1039" s="1"/>
      <c r="BM1039" s="1"/>
      <c r="BN1039" s="1"/>
      <c r="BO1039" s="1"/>
      <c r="BP1039" s="1"/>
      <c r="BQ1039" s="1"/>
      <c r="BR1039" s="1"/>
      <c r="BS1039" s="1"/>
      <c r="BT1039" s="1"/>
      <c r="BU1039" s="1"/>
      <c r="BV1039" s="1"/>
      <c r="BW1039" s="1"/>
      <c r="BX1039" s="1"/>
      <c r="BY1039" s="1"/>
      <c r="BZ1039" s="1"/>
      <c r="CA1039" s="1"/>
      <c r="CB1039" s="1"/>
      <c r="CC1039" s="1"/>
      <c r="CD1039" s="1"/>
      <c r="CE1039" s="1"/>
      <c r="CF1039" s="1"/>
      <c r="CG1039" s="1"/>
      <c r="CH1039" s="1"/>
      <c r="CI1039" s="1"/>
      <c r="CJ1039" s="1"/>
      <c r="CK1039" s="1"/>
      <c r="CL1039" s="1"/>
      <c r="CM1039" s="1"/>
      <c r="CN1039" s="1"/>
      <c r="CO1039" s="1"/>
      <c r="CP1039" s="1"/>
      <c r="CQ1039" s="1"/>
      <c r="CR1039" s="1"/>
      <c r="CS1039" s="1"/>
      <c r="CT1039" s="1"/>
      <c r="CU1039" s="1"/>
      <c r="CV1039" s="1"/>
      <c r="CW1039" s="1"/>
      <c r="CX1039" s="1"/>
      <c r="CY1039" s="1"/>
      <c r="CZ1039" s="1"/>
      <c r="DA1039" s="1"/>
      <c r="DB1039" s="1"/>
      <c r="DC1039" s="1"/>
      <c r="DD1039" s="1"/>
      <c r="DE1039" s="1"/>
      <c r="DF1039" s="1"/>
      <c r="DG1039" s="1"/>
      <c r="DH1039" s="1"/>
      <c r="DI1039" s="1"/>
      <c r="DJ1039" s="1"/>
      <c r="DK1039" s="1"/>
      <c r="DL1039" s="1"/>
      <c r="DM1039" s="1"/>
      <c r="DN1039" s="1"/>
      <c r="DO1039" s="1"/>
      <c r="DP1039" s="1"/>
      <c r="DQ1039" s="1"/>
      <c r="DR1039" s="1"/>
      <c r="DS1039" s="1"/>
      <c r="DT1039" s="1"/>
      <c r="DU1039" s="1"/>
      <c r="DV1039" s="1"/>
      <c r="DW1039" s="1"/>
      <c r="DX1039" s="1"/>
      <c r="DY1039" s="1"/>
      <c r="DZ1039" s="1"/>
      <c r="EA1039" s="1"/>
      <c r="EB1039" s="1"/>
      <c r="EC1039" s="1"/>
      <c r="ED1039" s="1"/>
      <c r="EE1039" s="1"/>
      <c r="EF1039" s="1"/>
      <c r="EG1039" s="1"/>
      <c r="EH1039" s="1"/>
      <c r="EI1039" s="1"/>
      <c r="EJ1039" s="1"/>
      <c r="EK1039" s="1"/>
      <c r="EL1039" s="1"/>
      <c r="EM1039" s="1"/>
      <c r="EN1039" s="1"/>
      <c r="EO1039" s="1"/>
      <c r="EP1039" s="1"/>
      <c r="EQ1039" s="1"/>
      <c r="ER1039" s="1"/>
      <c r="ES1039" s="1"/>
      <c r="ET1039" s="1"/>
      <c r="EU1039" s="1"/>
      <c r="EV1039" s="1"/>
      <c r="EW1039" s="1"/>
      <c r="EX1039" s="1"/>
      <c r="EY1039" s="1"/>
      <c r="EZ1039" s="1"/>
      <c r="FA1039" s="1"/>
      <c r="FB1039" s="1"/>
      <c r="FC1039" s="1"/>
      <c r="FD1039" s="1"/>
      <c r="FE1039" s="1"/>
      <c r="FF1039" s="1"/>
      <c r="FG1039" s="1"/>
      <c r="FH1039" s="1"/>
      <c r="FI1039" s="1"/>
      <c r="FJ1039" s="1"/>
      <c r="FK1039" s="1"/>
      <c r="FL1039" s="1"/>
      <c r="FM1039" s="1"/>
      <c r="FN1039" s="1"/>
      <c r="FO1039" s="1"/>
      <c r="FP1039" s="1"/>
      <c r="FQ1039" s="1"/>
      <c r="FR1039" s="2"/>
      <c r="FS1039" s="1"/>
    </row>
    <row r="1040" spans="1:175" x14ac:dyDescent="0.3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R1040" s="1"/>
      <c r="S1040" s="1"/>
      <c r="T1040" s="1"/>
      <c r="U1040" s="1"/>
      <c r="V1040" s="1"/>
      <c r="Y1040" s="1"/>
      <c r="Z1040" s="2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  <c r="AN1040" s="1"/>
      <c r="AO1040" s="1"/>
      <c r="AP1040" s="1"/>
      <c r="AQ1040" s="1"/>
      <c r="AR1040" s="1"/>
      <c r="AS1040" s="1"/>
      <c r="AU1040" s="1"/>
      <c r="AW1040" s="1"/>
      <c r="AX1040" s="1"/>
      <c r="AY1040" s="1"/>
      <c r="AZ1040" s="1"/>
      <c r="BA1040" s="1"/>
      <c r="BC1040" s="1"/>
      <c r="BD1040" s="1"/>
      <c r="BE1040" s="1"/>
      <c r="BF1040" s="1"/>
      <c r="BG1040" s="1"/>
      <c r="BH1040" s="1"/>
      <c r="BI1040" s="1"/>
      <c r="BJ1040" s="1"/>
      <c r="BK1040" s="1"/>
      <c r="BL1040" s="1"/>
      <c r="BM1040" s="1"/>
      <c r="BN1040" s="1"/>
      <c r="BO1040" s="1"/>
      <c r="BP1040" s="1"/>
      <c r="BQ1040" s="1"/>
      <c r="BR1040" s="1"/>
      <c r="BS1040" s="1"/>
      <c r="BT1040" s="1"/>
      <c r="BU1040" s="1"/>
      <c r="BV1040" s="1"/>
      <c r="BW1040" s="1"/>
      <c r="BX1040" s="1"/>
      <c r="BY1040" s="1"/>
      <c r="BZ1040" s="1"/>
      <c r="CA1040" s="1"/>
      <c r="CB1040" s="1"/>
      <c r="CC1040" s="1"/>
      <c r="CD1040" s="1"/>
      <c r="CE1040" s="1"/>
      <c r="CF1040" s="1"/>
      <c r="CG1040" s="1"/>
      <c r="CH1040" s="1"/>
      <c r="CI1040" s="1"/>
      <c r="CJ1040" s="1"/>
      <c r="CK1040" s="1"/>
      <c r="CL1040" s="1"/>
      <c r="CM1040" s="1"/>
      <c r="CN1040" s="1"/>
      <c r="CO1040" s="1"/>
      <c r="CP1040" s="1"/>
      <c r="CQ1040" s="1"/>
      <c r="CR1040" s="1"/>
      <c r="CS1040" s="1"/>
      <c r="CT1040" s="1"/>
      <c r="CU1040" s="1"/>
      <c r="CV1040" s="1"/>
      <c r="CW1040" s="1"/>
      <c r="CX1040" s="1"/>
      <c r="CY1040" s="1"/>
      <c r="CZ1040" s="1"/>
      <c r="DA1040" s="1"/>
      <c r="DB1040" s="1"/>
      <c r="DC1040" s="1"/>
      <c r="DD1040" s="1"/>
      <c r="DE1040" s="1"/>
      <c r="DF1040" s="1"/>
      <c r="DG1040" s="1"/>
      <c r="DH1040" s="1"/>
      <c r="DI1040" s="1"/>
      <c r="DJ1040" s="1"/>
      <c r="DK1040" s="1"/>
      <c r="DL1040" s="1"/>
      <c r="DM1040" s="1"/>
      <c r="DN1040" s="1"/>
      <c r="DO1040" s="1"/>
      <c r="DP1040" s="1"/>
      <c r="DQ1040" s="1"/>
      <c r="DR1040" s="1"/>
      <c r="DS1040" s="1"/>
      <c r="DT1040" s="1"/>
      <c r="DU1040" s="1"/>
      <c r="DV1040" s="1"/>
      <c r="DW1040" s="1"/>
      <c r="DX1040" s="1"/>
      <c r="DY1040" s="1"/>
      <c r="DZ1040" s="1"/>
      <c r="EA1040" s="1"/>
      <c r="EB1040" s="1"/>
      <c r="EC1040" s="1"/>
      <c r="ED1040" s="1"/>
      <c r="EE1040" s="1"/>
      <c r="EF1040" s="1"/>
      <c r="EG1040" s="1"/>
      <c r="EH1040" s="1"/>
      <c r="EI1040" s="1"/>
      <c r="EJ1040" s="1"/>
      <c r="EK1040" s="1"/>
      <c r="EL1040" s="1"/>
      <c r="EM1040" s="1"/>
      <c r="EN1040" s="1"/>
      <c r="EO1040" s="1"/>
      <c r="EP1040" s="1"/>
      <c r="EQ1040" s="1"/>
      <c r="ER1040" s="1"/>
      <c r="ES1040" s="1"/>
      <c r="ET1040" s="1"/>
      <c r="EU1040" s="1"/>
      <c r="EV1040" s="1"/>
      <c r="EW1040" s="1"/>
      <c r="EX1040" s="1"/>
      <c r="EY1040" s="1"/>
      <c r="EZ1040" s="1"/>
      <c r="FA1040" s="1"/>
      <c r="FB1040" s="1"/>
      <c r="FC1040" s="1"/>
      <c r="FD1040" s="1"/>
      <c r="FE1040" s="1"/>
      <c r="FF1040" s="1"/>
      <c r="FG1040" s="1"/>
      <c r="FH1040" s="1"/>
      <c r="FI1040" s="1"/>
      <c r="FJ1040" s="1"/>
      <c r="FK1040" s="1"/>
      <c r="FL1040" s="1"/>
      <c r="FM1040" s="1"/>
      <c r="FN1040" s="1"/>
      <c r="FO1040" s="1"/>
      <c r="FP1040" s="1"/>
      <c r="FQ1040" s="1"/>
      <c r="FR1040" s="2"/>
      <c r="FS1040" s="1"/>
    </row>
    <row r="1041" spans="1:175" x14ac:dyDescent="0.3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R1041" s="1"/>
      <c r="S1041" s="1"/>
      <c r="T1041" s="1"/>
      <c r="U1041" s="1"/>
      <c r="V1041" s="1"/>
      <c r="Y1041" s="1"/>
      <c r="Z1041" s="2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  <c r="AN1041" s="1"/>
      <c r="AO1041" s="1"/>
      <c r="AP1041" s="1"/>
      <c r="AQ1041" s="1"/>
      <c r="AR1041" s="1"/>
      <c r="AS1041" s="1"/>
      <c r="AU1041" s="1"/>
      <c r="AW1041" s="1"/>
      <c r="AX1041" s="1"/>
      <c r="AY1041" s="1"/>
      <c r="AZ1041" s="1"/>
      <c r="BA1041" s="1"/>
      <c r="BC1041" s="1"/>
      <c r="BD1041" s="1"/>
      <c r="BE1041" s="1"/>
      <c r="BF1041" s="1"/>
      <c r="BG1041" s="1"/>
      <c r="BH1041" s="1"/>
      <c r="BI1041" s="1"/>
      <c r="BJ1041" s="1"/>
      <c r="BK1041" s="1"/>
      <c r="BL1041" s="1"/>
      <c r="BM1041" s="1"/>
      <c r="BN1041" s="1"/>
      <c r="BO1041" s="1"/>
      <c r="BP1041" s="1"/>
      <c r="BQ1041" s="1"/>
      <c r="BR1041" s="1"/>
      <c r="BS1041" s="1"/>
      <c r="BT1041" s="1"/>
      <c r="BU1041" s="1"/>
      <c r="BV1041" s="1"/>
      <c r="BW1041" s="1"/>
      <c r="BX1041" s="1"/>
      <c r="BY1041" s="1"/>
      <c r="BZ1041" s="1"/>
      <c r="CA1041" s="1"/>
      <c r="CB1041" s="1"/>
      <c r="CC1041" s="1"/>
      <c r="CD1041" s="1"/>
      <c r="CE1041" s="1"/>
      <c r="CF1041" s="1"/>
      <c r="CG1041" s="1"/>
      <c r="CH1041" s="1"/>
      <c r="CI1041" s="1"/>
      <c r="CJ1041" s="1"/>
      <c r="CK1041" s="1"/>
      <c r="CL1041" s="1"/>
      <c r="CM1041" s="1"/>
      <c r="CN1041" s="1"/>
      <c r="CO1041" s="1"/>
      <c r="CP1041" s="1"/>
      <c r="CQ1041" s="1"/>
      <c r="CR1041" s="1"/>
      <c r="CS1041" s="1"/>
      <c r="CT1041" s="1"/>
      <c r="CU1041" s="1"/>
      <c r="CV1041" s="1"/>
      <c r="CW1041" s="1"/>
      <c r="CX1041" s="1"/>
      <c r="CY1041" s="1"/>
      <c r="CZ1041" s="1"/>
      <c r="DA1041" s="1"/>
      <c r="DB1041" s="1"/>
      <c r="DC1041" s="1"/>
      <c r="DD1041" s="1"/>
      <c r="DE1041" s="1"/>
      <c r="DF1041" s="1"/>
      <c r="DG1041" s="1"/>
      <c r="DH1041" s="1"/>
      <c r="DI1041" s="1"/>
      <c r="DJ1041" s="1"/>
      <c r="DK1041" s="1"/>
      <c r="DL1041" s="1"/>
      <c r="DM1041" s="1"/>
      <c r="DN1041" s="1"/>
      <c r="DO1041" s="1"/>
      <c r="DP1041" s="1"/>
      <c r="DQ1041" s="1"/>
      <c r="DR1041" s="1"/>
      <c r="DS1041" s="1"/>
      <c r="DT1041" s="1"/>
      <c r="DU1041" s="1"/>
      <c r="DV1041" s="1"/>
      <c r="DW1041" s="1"/>
      <c r="DX1041" s="1"/>
      <c r="DY1041" s="1"/>
      <c r="DZ1041" s="1"/>
      <c r="EA1041" s="1"/>
      <c r="EB1041" s="1"/>
      <c r="EC1041" s="1"/>
      <c r="ED1041" s="1"/>
      <c r="EE1041" s="1"/>
      <c r="EF1041" s="1"/>
      <c r="EG1041" s="1"/>
      <c r="EH1041" s="1"/>
      <c r="EI1041" s="1"/>
      <c r="EJ1041" s="1"/>
      <c r="EK1041" s="1"/>
      <c r="EL1041" s="1"/>
      <c r="EM1041" s="1"/>
      <c r="EN1041" s="1"/>
      <c r="EO1041" s="1"/>
      <c r="EP1041" s="1"/>
      <c r="EQ1041" s="1"/>
      <c r="ER1041" s="1"/>
      <c r="ES1041" s="1"/>
      <c r="ET1041" s="1"/>
      <c r="EU1041" s="1"/>
      <c r="EV1041" s="1"/>
      <c r="EW1041" s="1"/>
      <c r="EX1041" s="1"/>
      <c r="EY1041" s="1"/>
      <c r="EZ1041" s="1"/>
      <c r="FA1041" s="1"/>
      <c r="FB1041" s="1"/>
      <c r="FC1041" s="1"/>
      <c r="FD1041" s="1"/>
      <c r="FE1041" s="1"/>
      <c r="FF1041" s="1"/>
      <c r="FG1041" s="1"/>
      <c r="FH1041" s="1"/>
      <c r="FI1041" s="1"/>
      <c r="FJ1041" s="1"/>
      <c r="FK1041" s="1"/>
      <c r="FL1041" s="1"/>
      <c r="FM1041" s="1"/>
      <c r="FN1041" s="1"/>
      <c r="FO1041" s="1"/>
      <c r="FP1041" s="1"/>
      <c r="FQ1041" s="1"/>
      <c r="FR1041" s="2"/>
      <c r="FS1041" s="1"/>
    </row>
    <row r="1042" spans="1:175" x14ac:dyDescent="0.3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R1042" s="1"/>
      <c r="S1042" s="1"/>
      <c r="T1042" s="1"/>
      <c r="U1042" s="1"/>
      <c r="V1042" s="1"/>
      <c r="Y1042" s="1"/>
      <c r="Z1042" s="2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  <c r="AN1042" s="1"/>
      <c r="AO1042" s="1"/>
      <c r="AP1042" s="1"/>
      <c r="AQ1042" s="1"/>
      <c r="AR1042" s="1"/>
      <c r="AS1042" s="1"/>
      <c r="AU1042" s="1"/>
      <c r="AW1042" s="1"/>
      <c r="AX1042" s="1"/>
      <c r="AY1042" s="1"/>
      <c r="AZ1042" s="1"/>
      <c r="BA1042" s="1"/>
      <c r="BC1042" s="1"/>
      <c r="BD1042" s="1"/>
      <c r="BE1042" s="1"/>
      <c r="BF1042" s="1"/>
      <c r="BG1042" s="1"/>
      <c r="BH1042" s="1"/>
      <c r="BI1042" s="1"/>
      <c r="BJ1042" s="1"/>
      <c r="BK1042" s="1"/>
      <c r="BL1042" s="1"/>
      <c r="BM1042" s="1"/>
      <c r="BN1042" s="1"/>
      <c r="BO1042" s="1"/>
      <c r="BP1042" s="1"/>
      <c r="BQ1042" s="1"/>
      <c r="BR1042" s="1"/>
      <c r="BS1042" s="1"/>
      <c r="BT1042" s="1"/>
      <c r="BU1042" s="1"/>
      <c r="BV1042" s="1"/>
      <c r="BW1042" s="1"/>
      <c r="BX1042" s="1"/>
      <c r="BY1042" s="1"/>
      <c r="BZ1042" s="1"/>
      <c r="CA1042" s="1"/>
      <c r="CB1042" s="1"/>
      <c r="CC1042" s="1"/>
      <c r="CD1042" s="1"/>
      <c r="CE1042" s="1"/>
      <c r="CF1042" s="1"/>
      <c r="CG1042" s="1"/>
      <c r="CH1042" s="1"/>
      <c r="CI1042" s="1"/>
      <c r="CJ1042" s="1"/>
      <c r="CK1042" s="1"/>
      <c r="CL1042" s="1"/>
      <c r="CM1042" s="1"/>
      <c r="CN1042" s="1"/>
      <c r="CO1042" s="1"/>
      <c r="CP1042" s="1"/>
      <c r="CQ1042" s="1"/>
      <c r="CR1042" s="1"/>
      <c r="CS1042" s="1"/>
      <c r="CT1042" s="1"/>
      <c r="CU1042" s="1"/>
      <c r="CV1042" s="1"/>
      <c r="CW1042" s="1"/>
      <c r="CX1042" s="1"/>
      <c r="CY1042" s="1"/>
      <c r="CZ1042" s="1"/>
      <c r="DA1042" s="1"/>
      <c r="DB1042" s="1"/>
      <c r="DC1042" s="1"/>
      <c r="DD1042" s="1"/>
      <c r="DE1042" s="1"/>
      <c r="DF1042" s="1"/>
      <c r="DG1042" s="1"/>
      <c r="DH1042" s="1"/>
      <c r="DI1042" s="1"/>
      <c r="DJ1042" s="1"/>
      <c r="DK1042" s="1"/>
      <c r="DL1042" s="1"/>
      <c r="DM1042" s="1"/>
      <c r="DN1042" s="1"/>
      <c r="DO1042" s="1"/>
      <c r="DP1042" s="1"/>
      <c r="DQ1042" s="1"/>
      <c r="DR1042" s="1"/>
      <c r="DS1042" s="1"/>
      <c r="DT1042" s="1"/>
      <c r="DU1042" s="1"/>
      <c r="DV1042" s="1"/>
      <c r="DW1042" s="1"/>
      <c r="DX1042" s="1"/>
      <c r="DY1042" s="1"/>
      <c r="DZ1042" s="1"/>
      <c r="EA1042" s="1"/>
      <c r="EB1042" s="1"/>
      <c r="EC1042" s="1"/>
      <c r="ED1042" s="1"/>
      <c r="EE1042" s="1"/>
      <c r="EF1042" s="1"/>
      <c r="EG1042" s="1"/>
      <c r="EH1042" s="1"/>
      <c r="EI1042" s="1"/>
      <c r="EJ1042" s="1"/>
      <c r="EK1042" s="1"/>
      <c r="EL1042" s="1"/>
      <c r="EM1042" s="1"/>
      <c r="EN1042" s="1"/>
      <c r="EO1042" s="1"/>
      <c r="EP1042" s="1"/>
      <c r="EQ1042" s="1"/>
      <c r="ER1042" s="1"/>
      <c r="ES1042" s="1"/>
      <c r="ET1042" s="1"/>
      <c r="EU1042" s="1"/>
      <c r="EV1042" s="1"/>
      <c r="EW1042" s="1"/>
      <c r="EX1042" s="1"/>
      <c r="EY1042" s="1"/>
      <c r="EZ1042" s="1"/>
      <c r="FA1042" s="1"/>
      <c r="FB1042" s="1"/>
      <c r="FC1042" s="1"/>
      <c r="FD1042" s="1"/>
      <c r="FE1042" s="1"/>
      <c r="FF1042" s="1"/>
      <c r="FG1042" s="1"/>
      <c r="FH1042" s="1"/>
      <c r="FI1042" s="1"/>
      <c r="FJ1042" s="1"/>
      <c r="FK1042" s="1"/>
      <c r="FL1042" s="1"/>
      <c r="FM1042" s="1"/>
      <c r="FN1042" s="1"/>
      <c r="FO1042" s="1"/>
      <c r="FP1042" s="1"/>
      <c r="FQ1042" s="1"/>
      <c r="FR1042" s="2"/>
      <c r="FS1042" s="1"/>
    </row>
    <row r="1043" spans="1:175" x14ac:dyDescent="0.3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R1043" s="1"/>
      <c r="S1043" s="1"/>
      <c r="T1043" s="1"/>
      <c r="U1043" s="1"/>
      <c r="V1043" s="1"/>
      <c r="Y1043" s="1"/>
      <c r="Z1043" s="2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  <c r="AO1043" s="1"/>
      <c r="AP1043" s="1"/>
      <c r="AQ1043" s="1"/>
      <c r="AR1043" s="1"/>
      <c r="AS1043" s="1"/>
      <c r="AU1043" s="1"/>
      <c r="AW1043" s="1"/>
      <c r="AX1043" s="1"/>
      <c r="AY1043" s="1"/>
      <c r="AZ1043" s="1"/>
      <c r="BA1043" s="1"/>
      <c r="BC1043" s="1"/>
      <c r="BD1043" s="1"/>
      <c r="BE1043" s="1"/>
      <c r="BF1043" s="1"/>
      <c r="BG1043" s="1"/>
      <c r="BH1043" s="1"/>
      <c r="BI1043" s="1"/>
      <c r="BJ1043" s="1"/>
      <c r="BK1043" s="1"/>
      <c r="BL1043" s="1"/>
      <c r="BM1043" s="1"/>
      <c r="BN1043" s="1"/>
      <c r="BO1043" s="1"/>
      <c r="BP1043" s="1"/>
      <c r="BQ1043" s="1"/>
      <c r="BR1043" s="1"/>
      <c r="BS1043" s="1"/>
      <c r="BT1043" s="1"/>
      <c r="BU1043" s="1"/>
      <c r="BV1043" s="1"/>
      <c r="BW1043" s="1"/>
      <c r="BX1043" s="1"/>
      <c r="BY1043" s="1"/>
      <c r="BZ1043" s="1"/>
      <c r="CA1043" s="1"/>
      <c r="CB1043" s="1"/>
      <c r="CC1043" s="1"/>
      <c r="CD1043" s="1"/>
      <c r="CE1043" s="1"/>
      <c r="CF1043" s="1"/>
      <c r="CG1043" s="1"/>
      <c r="CH1043" s="1"/>
      <c r="CI1043" s="1"/>
      <c r="CJ1043" s="1"/>
      <c r="CK1043" s="1"/>
      <c r="CL1043" s="1"/>
      <c r="CM1043" s="1"/>
      <c r="CN1043" s="1"/>
      <c r="CO1043" s="1"/>
      <c r="CP1043" s="1"/>
      <c r="CQ1043" s="1"/>
      <c r="CR1043" s="1"/>
      <c r="CS1043" s="1"/>
      <c r="CT1043" s="1"/>
      <c r="CU1043" s="1"/>
      <c r="CV1043" s="1"/>
      <c r="CW1043" s="1"/>
      <c r="CX1043" s="1"/>
      <c r="CY1043" s="1"/>
      <c r="CZ1043" s="1"/>
      <c r="DA1043" s="1"/>
      <c r="DB1043" s="1"/>
      <c r="DC1043" s="1"/>
      <c r="DD1043" s="1"/>
      <c r="DE1043" s="1"/>
      <c r="DF1043" s="1"/>
      <c r="DG1043" s="1"/>
      <c r="DH1043" s="1"/>
      <c r="DI1043" s="1"/>
      <c r="DJ1043" s="1"/>
      <c r="DK1043" s="1"/>
      <c r="DL1043" s="1"/>
      <c r="DM1043" s="1"/>
      <c r="DN1043" s="1"/>
      <c r="DO1043" s="1"/>
      <c r="DP1043" s="1"/>
      <c r="DQ1043" s="1"/>
      <c r="DR1043" s="1"/>
      <c r="DS1043" s="1"/>
      <c r="DT1043" s="1"/>
      <c r="DU1043" s="1"/>
      <c r="DV1043" s="1"/>
      <c r="DW1043" s="1"/>
      <c r="DX1043" s="1"/>
      <c r="DY1043" s="1"/>
      <c r="DZ1043" s="1"/>
      <c r="EA1043" s="1"/>
      <c r="EB1043" s="1"/>
      <c r="EC1043" s="1"/>
      <c r="ED1043" s="1"/>
      <c r="EE1043" s="1"/>
      <c r="EF1043" s="1"/>
      <c r="EG1043" s="1"/>
      <c r="EH1043" s="1"/>
      <c r="EI1043" s="1"/>
      <c r="EJ1043" s="1"/>
      <c r="EK1043" s="1"/>
      <c r="EL1043" s="1"/>
      <c r="EM1043" s="1"/>
      <c r="EN1043" s="1"/>
      <c r="EO1043" s="1"/>
      <c r="EP1043" s="1"/>
      <c r="EQ1043" s="1"/>
      <c r="ER1043" s="1"/>
      <c r="ES1043" s="1"/>
      <c r="ET1043" s="1"/>
      <c r="EU1043" s="1"/>
      <c r="EV1043" s="1"/>
      <c r="EW1043" s="1"/>
      <c r="EX1043" s="1"/>
      <c r="EY1043" s="1"/>
      <c r="EZ1043" s="1"/>
      <c r="FA1043" s="1"/>
      <c r="FB1043" s="1"/>
      <c r="FC1043" s="1"/>
      <c r="FD1043" s="1"/>
      <c r="FE1043" s="1"/>
      <c r="FF1043" s="1"/>
      <c r="FG1043" s="1"/>
      <c r="FH1043" s="1"/>
      <c r="FI1043" s="1"/>
      <c r="FJ1043" s="1"/>
      <c r="FK1043" s="1"/>
      <c r="FL1043" s="1"/>
      <c r="FM1043" s="1"/>
      <c r="FN1043" s="1"/>
      <c r="FO1043" s="1"/>
      <c r="FP1043" s="1"/>
      <c r="FQ1043" s="1"/>
      <c r="FR1043" s="2"/>
      <c r="FS1043" s="1"/>
    </row>
    <row r="1044" spans="1:175" x14ac:dyDescent="0.3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R1044" s="1"/>
      <c r="S1044" s="1"/>
      <c r="T1044" s="1"/>
      <c r="U1044" s="1"/>
      <c r="V1044" s="1"/>
      <c r="Y1044" s="1"/>
      <c r="Z1044" s="2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  <c r="AO1044" s="1"/>
      <c r="AP1044" s="1"/>
      <c r="AQ1044" s="1"/>
      <c r="AR1044" s="1"/>
      <c r="AS1044" s="1"/>
      <c r="AU1044" s="1"/>
      <c r="AW1044" s="1"/>
      <c r="AX1044" s="1"/>
      <c r="AY1044" s="1"/>
      <c r="AZ1044" s="1"/>
      <c r="BA1044" s="1"/>
      <c r="BC1044" s="1"/>
      <c r="BD1044" s="1"/>
      <c r="BE1044" s="1"/>
      <c r="BF1044" s="1"/>
      <c r="BG1044" s="1"/>
      <c r="BH1044" s="1"/>
      <c r="BI1044" s="1"/>
      <c r="BJ1044" s="1"/>
      <c r="BK1044" s="1"/>
      <c r="BL1044" s="1"/>
      <c r="BM1044" s="1"/>
      <c r="BN1044" s="1"/>
      <c r="BO1044" s="1"/>
      <c r="BP1044" s="1"/>
      <c r="BQ1044" s="1"/>
      <c r="BR1044" s="1"/>
      <c r="BS1044" s="1"/>
      <c r="BT1044" s="1"/>
      <c r="BU1044" s="1"/>
      <c r="BV1044" s="1"/>
      <c r="BW1044" s="1"/>
      <c r="BX1044" s="1"/>
      <c r="BY1044" s="1"/>
      <c r="BZ1044" s="1"/>
      <c r="CA1044" s="1"/>
      <c r="CB1044" s="1"/>
      <c r="CC1044" s="1"/>
      <c r="CD1044" s="1"/>
      <c r="CE1044" s="1"/>
      <c r="CF1044" s="1"/>
      <c r="CG1044" s="1"/>
      <c r="CH1044" s="1"/>
      <c r="CI1044" s="1"/>
      <c r="CJ1044" s="1"/>
      <c r="CK1044" s="1"/>
      <c r="CL1044" s="1"/>
      <c r="CM1044" s="1"/>
      <c r="CN1044" s="1"/>
      <c r="CO1044" s="1"/>
      <c r="CP1044" s="1"/>
      <c r="CQ1044" s="1"/>
      <c r="CR1044" s="1"/>
      <c r="CS1044" s="1"/>
      <c r="CT1044" s="1"/>
      <c r="CU1044" s="1"/>
      <c r="CV1044" s="1"/>
      <c r="CW1044" s="1"/>
      <c r="CX1044" s="1"/>
      <c r="CY1044" s="1"/>
      <c r="CZ1044" s="1"/>
      <c r="DA1044" s="1"/>
      <c r="DB1044" s="1"/>
      <c r="DC1044" s="1"/>
      <c r="DD1044" s="1"/>
      <c r="DE1044" s="1"/>
      <c r="DF1044" s="1"/>
      <c r="DG1044" s="1"/>
      <c r="DH1044" s="1"/>
      <c r="DI1044" s="1"/>
      <c r="DJ1044" s="1"/>
      <c r="DK1044" s="1"/>
      <c r="DL1044" s="1"/>
      <c r="DM1044" s="1"/>
      <c r="DN1044" s="1"/>
      <c r="DO1044" s="1"/>
      <c r="DP1044" s="1"/>
      <c r="DQ1044" s="1"/>
      <c r="DR1044" s="1"/>
      <c r="DS1044" s="1"/>
      <c r="DT1044" s="1"/>
      <c r="DU1044" s="1"/>
      <c r="DV1044" s="1"/>
      <c r="DW1044" s="1"/>
      <c r="DX1044" s="1"/>
      <c r="DY1044" s="1"/>
      <c r="DZ1044" s="1"/>
      <c r="EA1044" s="1"/>
      <c r="EB1044" s="1"/>
      <c r="EC1044" s="1"/>
      <c r="ED1044" s="1"/>
      <c r="EE1044" s="1"/>
      <c r="EF1044" s="1"/>
      <c r="EG1044" s="1"/>
      <c r="EH1044" s="1"/>
      <c r="EI1044" s="1"/>
      <c r="EJ1044" s="1"/>
      <c r="EK1044" s="1"/>
      <c r="EL1044" s="1"/>
      <c r="EM1044" s="1"/>
      <c r="EN1044" s="1"/>
      <c r="EO1044" s="1"/>
      <c r="EP1044" s="1"/>
      <c r="EQ1044" s="1"/>
      <c r="ER1044" s="1"/>
      <c r="ES1044" s="1"/>
      <c r="ET1044" s="1"/>
      <c r="EU1044" s="1"/>
      <c r="EV1044" s="1"/>
      <c r="EW1044" s="1"/>
      <c r="EX1044" s="1"/>
      <c r="EY1044" s="1"/>
      <c r="EZ1044" s="1"/>
      <c r="FA1044" s="1"/>
      <c r="FB1044" s="1"/>
      <c r="FC1044" s="1"/>
      <c r="FD1044" s="1"/>
      <c r="FE1044" s="1"/>
      <c r="FF1044" s="1"/>
      <c r="FG1044" s="1"/>
      <c r="FH1044" s="1"/>
      <c r="FI1044" s="1"/>
      <c r="FJ1044" s="1"/>
      <c r="FK1044" s="1"/>
      <c r="FL1044" s="1"/>
      <c r="FM1044" s="1"/>
      <c r="FN1044" s="1"/>
      <c r="FO1044" s="1"/>
      <c r="FP1044" s="1"/>
      <c r="FQ1044" s="1"/>
      <c r="FR1044" s="2"/>
      <c r="FS1044" s="1"/>
    </row>
    <row r="1045" spans="1:175" x14ac:dyDescent="0.3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R1045" s="1"/>
      <c r="S1045" s="1"/>
      <c r="T1045" s="1"/>
      <c r="U1045" s="1"/>
      <c r="V1045" s="1"/>
      <c r="Y1045" s="1"/>
      <c r="Z1045" s="2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  <c r="AN1045" s="1"/>
      <c r="AO1045" s="1"/>
      <c r="AP1045" s="1"/>
      <c r="AQ1045" s="1"/>
      <c r="AR1045" s="1"/>
      <c r="AS1045" s="1"/>
      <c r="AU1045" s="1"/>
      <c r="AW1045" s="1"/>
      <c r="AX1045" s="1"/>
      <c r="AY1045" s="1"/>
      <c r="AZ1045" s="1"/>
      <c r="BA1045" s="1"/>
      <c r="BC1045" s="1"/>
      <c r="BD1045" s="1"/>
      <c r="BE1045" s="1"/>
      <c r="BF1045" s="1"/>
      <c r="BG1045" s="1"/>
      <c r="BH1045" s="1"/>
      <c r="BI1045" s="1"/>
      <c r="BJ1045" s="1"/>
      <c r="BK1045" s="1"/>
      <c r="BL1045" s="1"/>
      <c r="BM1045" s="1"/>
      <c r="BN1045" s="1"/>
      <c r="BO1045" s="1"/>
      <c r="BP1045" s="1"/>
      <c r="BQ1045" s="1"/>
      <c r="BR1045" s="1"/>
      <c r="BS1045" s="1"/>
      <c r="BT1045" s="1"/>
      <c r="BU1045" s="1"/>
      <c r="BV1045" s="1"/>
      <c r="BW1045" s="1"/>
      <c r="BX1045" s="1"/>
      <c r="BY1045" s="1"/>
      <c r="BZ1045" s="1"/>
      <c r="CA1045" s="1"/>
      <c r="CB1045" s="1"/>
      <c r="CC1045" s="1"/>
      <c r="CD1045" s="1"/>
      <c r="CE1045" s="1"/>
      <c r="CF1045" s="1"/>
      <c r="CG1045" s="1"/>
      <c r="CH1045" s="1"/>
      <c r="CI1045" s="1"/>
      <c r="CJ1045" s="1"/>
      <c r="CK1045" s="1"/>
      <c r="CL1045" s="1"/>
      <c r="CM1045" s="1"/>
      <c r="CN1045" s="1"/>
      <c r="CO1045" s="1"/>
      <c r="CP1045" s="1"/>
      <c r="CQ1045" s="1"/>
      <c r="CR1045" s="1"/>
      <c r="CS1045" s="1"/>
      <c r="CT1045" s="1"/>
      <c r="CU1045" s="1"/>
      <c r="CV1045" s="1"/>
      <c r="CW1045" s="1"/>
      <c r="CX1045" s="1"/>
      <c r="CY1045" s="1"/>
      <c r="CZ1045" s="1"/>
      <c r="DA1045" s="1"/>
      <c r="DB1045" s="1"/>
      <c r="DC1045" s="1"/>
      <c r="DD1045" s="1"/>
      <c r="DE1045" s="1"/>
      <c r="DF1045" s="1"/>
      <c r="DG1045" s="1"/>
      <c r="DH1045" s="1"/>
      <c r="DI1045" s="1"/>
      <c r="DJ1045" s="1"/>
      <c r="DK1045" s="1"/>
      <c r="DL1045" s="1"/>
      <c r="DM1045" s="1"/>
      <c r="DN1045" s="1"/>
      <c r="DO1045" s="1"/>
      <c r="DP1045" s="1"/>
      <c r="DQ1045" s="1"/>
      <c r="DR1045" s="1"/>
      <c r="DS1045" s="1"/>
      <c r="DT1045" s="1"/>
      <c r="DU1045" s="1"/>
      <c r="DV1045" s="1"/>
      <c r="DW1045" s="1"/>
      <c r="DX1045" s="1"/>
      <c r="DY1045" s="1"/>
      <c r="DZ1045" s="1"/>
      <c r="EA1045" s="1"/>
      <c r="EB1045" s="1"/>
      <c r="EC1045" s="1"/>
      <c r="ED1045" s="1"/>
      <c r="EE1045" s="1"/>
      <c r="EF1045" s="1"/>
      <c r="EG1045" s="1"/>
      <c r="EH1045" s="1"/>
      <c r="EI1045" s="1"/>
      <c r="EJ1045" s="1"/>
      <c r="EK1045" s="1"/>
      <c r="EL1045" s="1"/>
      <c r="EM1045" s="1"/>
      <c r="EN1045" s="1"/>
      <c r="EO1045" s="1"/>
      <c r="EP1045" s="1"/>
      <c r="EQ1045" s="1"/>
      <c r="ER1045" s="1"/>
      <c r="ES1045" s="1"/>
      <c r="ET1045" s="1"/>
      <c r="EU1045" s="1"/>
      <c r="EV1045" s="1"/>
      <c r="EW1045" s="1"/>
      <c r="EX1045" s="1"/>
      <c r="EY1045" s="1"/>
      <c r="EZ1045" s="1"/>
      <c r="FA1045" s="1"/>
      <c r="FB1045" s="1"/>
      <c r="FC1045" s="1"/>
      <c r="FD1045" s="1"/>
      <c r="FE1045" s="1"/>
      <c r="FF1045" s="1"/>
      <c r="FG1045" s="1"/>
      <c r="FH1045" s="1"/>
      <c r="FI1045" s="1"/>
      <c r="FJ1045" s="1"/>
      <c r="FK1045" s="1"/>
      <c r="FL1045" s="1"/>
      <c r="FM1045" s="1"/>
      <c r="FN1045" s="1"/>
      <c r="FO1045" s="1"/>
      <c r="FP1045" s="1"/>
      <c r="FQ1045" s="1"/>
      <c r="FR1045" s="2"/>
      <c r="FS1045" s="1"/>
    </row>
    <row r="1046" spans="1:175" x14ac:dyDescent="0.3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R1046" s="1"/>
      <c r="S1046" s="1"/>
      <c r="T1046" s="1"/>
      <c r="U1046" s="1"/>
      <c r="V1046" s="1"/>
      <c r="Y1046" s="1"/>
      <c r="Z1046" s="2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  <c r="AM1046" s="1"/>
      <c r="AN1046" s="1"/>
      <c r="AO1046" s="1"/>
      <c r="AP1046" s="1"/>
      <c r="AQ1046" s="1"/>
      <c r="AR1046" s="1"/>
      <c r="AS1046" s="1"/>
      <c r="AU1046" s="1"/>
      <c r="AW1046" s="1"/>
      <c r="AX1046" s="1"/>
      <c r="AY1046" s="1"/>
      <c r="AZ1046" s="1"/>
      <c r="BA1046" s="1"/>
      <c r="BC1046" s="1"/>
      <c r="BD1046" s="1"/>
      <c r="BE1046" s="1"/>
      <c r="BF1046" s="1"/>
      <c r="BG1046" s="1"/>
      <c r="BH1046" s="1"/>
      <c r="BI1046" s="1"/>
      <c r="BJ1046" s="1"/>
      <c r="BK1046" s="1"/>
      <c r="BL1046" s="1"/>
      <c r="BM1046" s="1"/>
      <c r="BN1046" s="1"/>
      <c r="BO1046" s="1"/>
      <c r="BP1046" s="1"/>
      <c r="BQ1046" s="1"/>
      <c r="BR1046" s="1"/>
      <c r="BS1046" s="1"/>
      <c r="BT1046" s="1"/>
      <c r="BU1046" s="1"/>
      <c r="BV1046" s="1"/>
      <c r="BW1046" s="1"/>
      <c r="BX1046" s="1"/>
      <c r="BY1046" s="1"/>
      <c r="BZ1046" s="1"/>
      <c r="CA1046" s="1"/>
      <c r="CB1046" s="1"/>
      <c r="CC1046" s="1"/>
      <c r="CD1046" s="1"/>
      <c r="CE1046" s="1"/>
      <c r="CF1046" s="1"/>
      <c r="CG1046" s="1"/>
      <c r="CH1046" s="1"/>
      <c r="CI1046" s="1"/>
      <c r="CJ1046" s="1"/>
      <c r="CK1046" s="1"/>
      <c r="CL1046" s="1"/>
      <c r="CM1046" s="1"/>
      <c r="CN1046" s="1"/>
      <c r="CO1046" s="1"/>
      <c r="CP1046" s="1"/>
      <c r="CQ1046" s="1"/>
      <c r="CR1046" s="1"/>
      <c r="CS1046" s="1"/>
      <c r="CT1046" s="1"/>
      <c r="CU1046" s="1"/>
      <c r="CV1046" s="1"/>
      <c r="CW1046" s="1"/>
      <c r="CX1046" s="1"/>
      <c r="CY1046" s="1"/>
      <c r="CZ1046" s="1"/>
      <c r="DA1046" s="1"/>
      <c r="DB1046" s="1"/>
      <c r="DC1046" s="1"/>
      <c r="DD1046" s="1"/>
      <c r="DE1046" s="1"/>
      <c r="DF1046" s="1"/>
      <c r="DG1046" s="1"/>
      <c r="DH1046" s="1"/>
      <c r="DI1046" s="1"/>
      <c r="DJ1046" s="1"/>
      <c r="DK1046" s="1"/>
      <c r="DL1046" s="1"/>
      <c r="DM1046" s="1"/>
      <c r="DN1046" s="1"/>
      <c r="DO1046" s="1"/>
      <c r="DP1046" s="1"/>
      <c r="DQ1046" s="1"/>
      <c r="DR1046" s="1"/>
      <c r="DS1046" s="1"/>
      <c r="DT1046" s="1"/>
      <c r="DU1046" s="1"/>
      <c r="DV1046" s="1"/>
      <c r="DW1046" s="1"/>
      <c r="DX1046" s="1"/>
      <c r="DY1046" s="1"/>
      <c r="DZ1046" s="1"/>
      <c r="EA1046" s="1"/>
      <c r="EB1046" s="1"/>
      <c r="EC1046" s="1"/>
      <c r="ED1046" s="1"/>
      <c r="EE1046" s="1"/>
      <c r="EF1046" s="1"/>
      <c r="EG1046" s="1"/>
      <c r="EH1046" s="1"/>
      <c r="EI1046" s="1"/>
      <c r="EJ1046" s="1"/>
      <c r="EK1046" s="1"/>
      <c r="EL1046" s="1"/>
      <c r="EM1046" s="1"/>
      <c r="EN1046" s="1"/>
      <c r="EO1046" s="1"/>
      <c r="EP1046" s="1"/>
      <c r="EQ1046" s="1"/>
      <c r="ER1046" s="1"/>
      <c r="ES1046" s="1"/>
      <c r="ET1046" s="1"/>
      <c r="EU1046" s="1"/>
      <c r="EV1046" s="1"/>
      <c r="EW1046" s="1"/>
      <c r="EX1046" s="1"/>
      <c r="EY1046" s="1"/>
      <c r="EZ1046" s="1"/>
      <c r="FA1046" s="1"/>
      <c r="FB1046" s="1"/>
      <c r="FC1046" s="1"/>
      <c r="FD1046" s="1"/>
      <c r="FE1046" s="1"/>
      <c r="FF1046" s="1"/>
      <c r="FG1046" s="1"/>
      <c r="FH1046" s="1"/>
      <c r="FI1046" s="1"/>
      <c r="FJ1046" s="1"/>
      <c r="FK1046" s="1"/>
      <c r="FL1046" s="1"/>
      <c r="FM1046" s="1"/>
      <c r="FN1046" s="1"/>
      <c r="FO1046" s="1"/>
      <c r="FP1046" s="1"/>
      <c r="FQ1046" s="1"/>
      <c r="FR1046" s="2"/>
      <c r="FS1046" s="1"/>
    </row>
    <row r="1047" spans="1:175" x14ac:dyDescent="0.3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R1047" s="1"/>
      <c r="S1047" s="1"/>
      <c r="T1047" s="1"/>
      <c r="U1047" s="1"/>
      <c r="V1047" s="1"/>
      <c r="Y1047" s="1"/>
      <c r="Z1047" s="2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  <c r="AN1047" s="1"/>
      <c r="AO1047" s="1"/>
      <c r="AP1047" s="1"/>
      <c r="AQ1047" s="1"/>
      <c r="AR1047" s="1"/>
      <c r="AS1047" s="1"/>
      <c r="AU1047" s="1"/>
      <c r="AW1047" s="1"/>
      <c r="AX1047" s="1"/>
      <c r="AY1047" s="1"/>
      <c r="AZ1047" s="1"/>
      <c r="BA1047" s="1"/>
      <c r="BC1047" s="1"/>
      <c r="BD1047" s="1"/>
      <c r="BE1047" s="1"/>
      <c r="BF1047" s="1"/>
      <c r="BG1047" s="1"/>
      <c r="BH1047" s="1"/>
      <c r="BI1047" s="1"/>
      <c r="BJ1047" s="1"/>
      <c r="BK1047" s="1"/>
      <c r="BL1047" s="1"/>
      <c r="BM1047" s="1"/>
      <c r="BN1047" s="1"/>
      <c r="BO1047" s="1"/>
      <c r="BP1047" s="1"/>
      <c r="BQ1047" s="1"/>
      <c r="BR1047" s="1"/>
      <c r="BS1047" s="1"/>
      <c r="BT1047" s="1"/>
      <c r="BU1047" s="1"/>
      <c r="BV1047" s="1"/>
      <c r="BW1047" s="1"/>
      <c r="BX1047" s="1"/>
      <c r="BY1047" s="1"/>
      <c r="BZ1047" s="1"/>
      <c r="CA1047" s="1"/>
      <c r="CB1047" s="1"/>
      <c r="CC1047" s="1"/>
      <c r="CD1047" s="1"/>
      <c r="CE1047" s="1"/>
      <c r="CF1047" s="1"/>
      <c r="CG1047" s="1"/>
      <c r="CH1047" s="1"/>
      <c r="CI1047" s="1"/>
      <c r="CJ1047" s="1"/>
      <c r="CK1047" s="1"/>
      <c r="CL1047" s="1"/>
      <c r="CM1047" s="1"/>
      <c r="CN1047" s="1"/>
      <c r="CO1047" s="1"/>
      <c r="CP1047" s="1"/>
      <c r="CQ1047" s="1"/>
      <c r="CR1047" s="1"/>
      <c r="CS1047" s="1"/>
      <c r="CT1047" s="1"/>
      <c r="CU1047" s="1"/>
      <c r="CV1047" s="1"/>
      <c r="CW1047" s="1"/>
      <c r="CX1047" s="1"/>
      <c r="CY1047" s="1"/>
      <c r="CZ1047" s="1"/>
      <c r="DA1047" s="1"/>
      <c r="DB1047" s="1"/>
      <c r="DC1047" s="1"/>
      <c r="DD1047" s="1"/>
      <c r="DE1047" s="1"/>
      <c r="DF1047" s="1"/>
      <c r="DG1047" s="1"/>
      <c r="DH1047" s="1"/>
      <c r="DI1047" s="1"/>
      <c r="DJ1047" s="1"/>
      <c r="DK1047" s="1"/>
      <c r="DL1047" s="1"/>
      <c r="DM1047" s="1"/>
      <c r="DN1047" s="1"/>
      <c r="DO1047" s="1"/>
      <c r="DP1047" s="1"/>
      <c r="DQ1047" s="1"/>
      <c r="DR1047" s="1"/>
      <c r="DS1047" s="1"/>
      <c r="DT1047" s="1"/>
      <c r="DU1047" s="1"/>
      <c r="DV1047" s="1"/>
      <c r="DW1047" s="1"/>
      <c r="DX1047" s="1"/>
      <c r="DY1047" s="1"/>
      <c r="DZ1047" s="1"/>
      <c r="EA1047" s="1"/>
      <c r="EB1047" s="1"/>
      <c r="EC1047" s="1"/>
      <c r="ED1047" s="1"/>
      <c r="EE1047" s="1"/>
      <c r="EF1047" s="1"/>
      <c r="EG1047" s="1"/>
      <c r="EH1047" s="1"/>
      <c r="EI1047" s="1"/>
      <c r="EJ1047" s="1"/>
      <c r="EK1047" s="1"/>
      <c r="EL1047" s="1"/>
      <c r="EM1047" s="1"/>
      <c r="EN1047" s="1"/>
      <c r="EO1047" s="1"/>
      <c r="EP1047" s="1"/>
      <c r="EQ1047" s="1"/>
      <c r="ER1047" s="1"/>
      <c r="ES1047" s="1"/>
      <c r="ET1047" s="1"/>
      <c r="EU1047" s="1"/>
      <c r="EV1047" s="1"/>
      <c r="EW1047" s="1"/>
      <c r="EX1047" s="1"/>
      <c r="EY1047" s="1"/>
      <c r="EZ1047" s="1"/>
      <c r="FA1047" s="1"/>
      <c r="FB1047" s="1"/>
      <c r="FC1047" s="1"/>
      <c r="FD1047" s="1"/>
      <c r="FE1047" s="1"/>
      <c r="FF1047" s="1"/>
      <c r="FG1047" s="1"/>
      <c r="FH1047" s="1"/>
      <c r="FI1047" s="1"/>
      <c r="FJ1047" s="1"/>
      <c r="FK1047" s="1"/>
      <c r="FL1047" s="1"/>
      <c r="FM1047" s="1"/>
      <c r="FN1047" s="1"/>
      <c r="FO1047" s="1"/>
      <c r="FP1047" s="1"/>
      <c r="FQ1047" s="1"/>
      <c r="FR1047" s="2"/>
      <c r="FS1047" s="1"/>
    </row>
    <row r="1048" spans="1:175" x14ac:dyDescent="0.3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R1048" s="1"/>
      <c r="S1048" s="1"/>
      <c r="T1048" s="1"/>
      <c r="U1048" s="1"/>
      <c r="V1048" s="1"/>
      <c r="Y1048" s="1"/>
      <c r="Z1048" s="2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  <c r="AM1048" s="1"/>
      <c r="AN1048" s="1"/>
      <c r="AO1048" s="1"/>
      <c r="AP1048" s="1"/>
      <c r="AQ1048" s="1"/>
      <c r="AR1048" s="1"/>
      <c r="AS1048" s="1"/>
      <c r="AU1048" s="1"/>
      <c r="AW1048" s="1"/>
      <c r="AX1048" s="1"/>
      <c r="AY1048" s="1"/>
      <c r="AZ1048" s="1"/>
      <c r="BA1048" s="1"/>
      <c r="BC1048" s="1"/>
      <c r="BD1048" s="1"/>
      <c r="BE1048" s="1"/>
      <c r="BF1048" s="1"/>
      <c r="BG1048" s="1"/>
      <c r="BH1048" s="1"/>
      <c r="BI1048" s="1"/>
      <c r="BJ1048" s="1"/>
      <c r="BK1048" s="1"/>
      <c r="BL1048" s="1"/>
      <c r="BM1048" s="1"/>
      <c r="BN1048" s="1"/>
      <c r="BO1048" s="1"/>
      <c r="BP1048" s="1"/>
      <c r="BQ1048" s="1"/>
      <c r="BR1048" s="1"/>
      <c r="BS1048" s="1"/>
      <c r="BT1048" s="1"/>
      <c r="BU1048" s="1"/>
      <c r="BV1048" s="1"/>
      <c r="BW1048" s="1"/>
      <c r="BX1048" s="1"/>
      <c r="BY1048" s="1"/>
      <c r="BZ1048" s="1"/>
      <c r="CA1048" s="1"/>
      <c r="CB1048" s="1"/>
      <c r="CC1048" s="1"/>
      <c r="CD1048" s="1"/>
      <c r="CE1048" s="1"/>
      <c r="CF1048" s="1"/>
      <c r="CG1048" s="1"/>
      <c r="CH1048" s="1"/>
      <c r="CI1048" s="1"/>
      <c r="CJ1048" s="1"/>
      <c r="CK1048" s="1"/>
      <c r="CL1048" s="1"/>
      <c r="CM1048" s="1"/>
      <c r="CN1048" s="1"/>
      <c r="CO1048" s="1"/>
      <c r="CP1048" s="1"/>
      <c r="CQ1048" s="1"/>
      <c r="CR1048" s="1"/>
      <c r="CS1048" s="1"/>
      <c r="CT1048" s="1"/>
      <c r="CU1048" s="1"/>
      <c r="CV1048" s="1"/>
      <c r="CW1048" s="1"/>
      <c r="CX1048" s="1"/>
      <c r="CY1048" s="1"/>
      <c r="CZ1048" s="1"/>
      <c r="DA1048" s="1"/>
      <c r="DB1048" s="1"/>
      <c r="DC1048" s="1"/>
      <c r="DD1048" s="1"/>
      <c r="DE1048" s="1"/>
      <c r="DF1048" s="1"/>
      <c r="DG1048" s="1"/>
      <c r="DH1048" s="1"/>
      <c r="DI1048" s="1"/>
      <c r="DJ1048" s="1"/>
      <c r="DK1048" s="1"/>
      <c r="DL1048" s="1"/>
      <c r="DM1048" s="1"/>
      <c r="DN1048" s="1"/>
      <c r="DO1048" s="1"/>
      <c r="DP1048" s="1"/>
      <c r="DQ1048" s="1"/>
      <c r="DR1048" s="1"/>
      <c r="DS1048" s="1"/>
      <c r="DT1048" s="1"/>
      <c r="DU1048" s="1"/>
      <c r="DV1048" s="1"/>
      <c r="DW1048" s="1"/>
      <c r="DX1048" s="1"/>
      <c r="DY1048" s="1"/>
      <c r="DZ1048" s="1"/>
      <c r="EA1048" s="1"/>
      <c r="EB1048" s="1"/>
      <c r="EC1048" s="1"/>
      <c r="ED1048" s="1"/>
      <c r="EE1048" s="1"/>
      <c r="EF1048" s="1"/>
      <c r="EG1048" s="1"/>
      <c r="EH1048" s="1"/>
      <c r="EI1048" s="1"/>
      <c r="EJ1048" s="1"/>
      <c r="EK1048" s="1"/>
      <c r="EL1048" s="1"/>
      <c r="EM1048" s="1"/>
      <c r="EN1048" s="1"/>
      <c r="EO1048" s="1"/>
      <c r="EP1048" s="1"/>
      <c r="EQ1048" s="1"/>
      <c r="ER1048" s="1"/>
      <c r="ES1048" s="1"/>
      <c r="ET1048" s="1"/>
      <c r="EU1048" s="1"/>
      <c r="EV1048" s="1"/>
      <c r="EW1048" s="1"/>
      <c r="EX1048" s="1"/>
      <c r="EY1048" s="1"/>
      <c r="EZ1048" s="1"/>
      <c r="FA1048" s="1"/>
      <c r="FB1048" s="1"/>
      <c r="FC1048" s="1"/>
      <c r="FD1048" s="1"/>
      <c r="FE1048" s="1"/>
      <c r="FF1048" s="1"/>
      <c r="FG1048" s="1"/>
      <c r="FH1048" s="1"/>
      <c r="FI1048" s="1"/>
      <c r="FJ1048" s="1"/>
      <c r="FK1048" s="1"/>
      <c r="FL1048" s="1"/>
      <c r="FM1048" s="1"/>
      <c r="FN1048" s="1"/>
      <c r="FO1048" s="1"/>
      <c r="FP1048" s="1"/>
      <c r="FQ1048" s="1"/>
      <c r="FR1048" s="2"/>
      <c r="FS1048" s="1"/>
    </row>
    <row r="1049" spans="1:175" x14ac:dyDescent="0.3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R1049" s="1"/>
      <c r="S1049" s="1"/>
      <c r="T1049" s="1"/>
      <c r="U1049" s="1"/>
      <c r="V1049" s="1"/>
      <c r="Y1049" s="1"/>
      <c r="Z1049" s="2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  <c r="AM1049" s="1"/>
      <c r="AN1049" s="1"/>
      <c r="AO1049" s="1"/>
      <c r="AP1049" s="1"/>
      <c r="AQ1049" s="1"/>
      <c r="AR1049" s="1"/>
      <c r="AS1049" s="1"/>
      <c r="AU1049" s="1"/>
      <c r="AW1049" s="1"/>
      <c r="AX1049" s="1"/>
      <c r="AY1049" s="1"/>
      <c r="AZ1049" s="1"/>
      <c r="BA1049" s="1"/>
      <c r="BC1049" s="1"/>
      <c r="BD1049" s="1"/>
      <c r="BE1049" s="1"/>
      <c r="BF1049" s="1"/>
      <c r="BG1049" s="1"/>
      <c r="BH1049" s="1"/>
      <c r="BI1049" s="1"/>
      <c r="BJ1049" s="1"/>
      <c r="BK1049" s="1"/>
      <c r="BL1049" s="1"/>
      <c r="BM1049" s="1"/>
      <c r="BN1049" s="1"/>
      <c r="BO1049" s="1"/>
      <c r="BP1049" s="1"/>
      <c r="BQ1049" s="1"/>
      <c r="BR1049" s="1"/>
      <c r="BS1049" s="1"/>
      <c r="BT1049" s="1"/>
      <c r="BU1049" s="1"/>
      <c r="BV1049" s="1"/>
      <c r="BW1049" s="1"/>
      <c r="BX1049" s="1"/>
      <c r="BY1049" s="1"/>
      <c r="BZ1049" s="1"/>
      <c r="CA1049" s="1"/>
      <c r="CB1049" s="1"/>
      <c r="CC1049" s="1"/>
      <c r="CD1049" s="1"/>
      <c r="CE1049" s="1"/>
      <c r="CF1049" s="1"/>
      <c r="CG1049" s="1"/>
      <c r="CH1049" s="1"/>
      <c r="CI1049" s="1"/>
      <c r="CJ1049" s="1"/>
      <c r="CK1049" s="1"/>
      <c r="CL1049" s="1"/>
      <c r="CM1049" s="1"/>
      <c r="CN1049" s="1"/>
      <c r="CO1049" s="1"/>
      <c r="CP1049" s="1"/>
      <c r="CQ1049" s="1"/>
      <c r="CR1049" s="1"/>
      <c r="CS1049" s="1"/>
      <c r="CT1049" s="1"/>
      <c r="CU1049" s="1"/>
      <c r="CV1049" s="1"/>
      <c r="CW1049" s="1"/>
      <c r="CX1049" s="1"/>
      <c r="CY1049" s="1"/>
      <c r="CZ1049" s="1"/>
      <c r="DA1049" s="1"/>
      <c r="DB1049" s="1"/>
      <c r="DC1049" s="1"/>
      <c r="DD1049" s="1"/>
      <c r="DE1049" s="1"/>
      <c r="DF1049" s="1"/>
      <c r="DG1049" s="1"/>
      <c r="DH1049" s="1"/>
      <c r="DI1049" s="1"/>
      <c r="DJ1049" s="1"/>
      <c r="DK1049" s="1"/>
      <c r="DL1049" s="1"/>
      <c r="DM1049" s="1"/>
      <c r="DN1049" s="1"/>
      <c r="DO1049" s="1"/>
      <c r="DP1049" s="1"/>
      <c r="DQ1049" s="1"/>
      <c r="DR1049" s="1"/>
      <c r="DS1049" s="1"/>
      <c r="DT1049" s="1"/>
      <c r="DU1049" s="1"/>
      <c r="DV1049" s="1"/>
      <c r="DW1049" s="1"/>
      <c r="DX1049" s="1"/>
      <c r="DY1049" s="1"/>
      <c r="DZ1049" s="1"/>
      <c r="EA1049" s="1"/>
      <c r="EB1049" s="1"/>
      <c r="EC1049" s="1"/>
      <c r="ED1049" s="1"/>
      <c r="EE1049" s="1"/>
      <c r="EF1049" s="1"/>
      <c r="EG1049" s="1"/>
      <c r="EH1049" s="1"/>
      <c r="EI1049" s="1"/>
      <c r="EJ1049" s="1"/>
      <c r="EK1049" s="1"/>
      <c r="EL1049" s="1"/>
      <c r="EM1049" s="1"/>
      <c r="EN1049" s="1"/>
      <c r="EO1049" s="1"/>
      <c r="EP1049" s="1"/>
      <c r="EQ1049" s="1"/>
      <c r="ER1049" s="1"/>
      <c r="ES1049" s="1"/>
      <c r="ET1049" s="1"/>
      <c r="EU1049" s="1"/>
      <c r="EV1049" s="1"/>
      <c r="EW1049" s="1"/>
      <c r="EX1049" s="1"/>
      <c r="EY1049" s="1"/>
      <c r="EZ1049" s="1"/>
      <c r="FA1049" s="1"/>
      <c r="FB1049" s="1"/>
      <c r="FC1049" s="1"/>
      <c r="FD1049" s="1"/>
      <c r="FE1049" s="1"/>
      <c r="FF1049" s="1"/>
      <c r="FG1049" s="1"/>
      <c r="FH1049" s="1"/>
      <c r="FI1049" s="1"/>
      <c r="FJ1049" s="1"/>
      <c r="FK1049" s="1"/>
      <c r="FL1049" s="1"/>
      <c r="FM1049" s="1"/>
      <c r="FN1049" s="1"/>
      <c r="FO1049" s="1"/>
      <c r="FP1049" s="1"/>
      <c r="FQ1049" s="1"/>
      <c r="FR1049" s="2"/>
      <c r="FS1049" s="1"/>
    </row>
    <row r="1050" spans="1:175" x14ac:dyDescent="0.3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R1050" s="1"/>
      <c r="S1050" s="1"/>
      <c r="T1050" s="1"/>
      <c r="U1050" s="1"/>
      <c r="V1050" s="1"/>
      <c r="Y1050" s="1"/>
      <c r="Z1050" s="2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  <c r="AM1050" s="1"/>
      <c r="AN1050" s="1"/>
      <c r="AO1050" s="1"/>
      <c r="AP1050" s="1"/>
      <c r="AQ1050" s="1"/>
      <c r="AR1050" s="1"/>
      <c r="AS1050" s="1"/>
      <c r="AU1050" s="1"/>
      <c r="AW1050" s="1"/>
      <c r="AX1050" s="1"/>
      <c r="AY1050" s="1"/>
      <c r="AZ1050" s="1"/>
      <c r="BA1050" s="1"/>
      <c r="BC1050" s="1"/>
      <c r="BD1050" s="1"/>
      <c r="BE1050" s="1"/>
      <c r="BF1050" s="1"/>
      <c r="BG1050" s="1"/>
      <c r="BH1050" s="1"/>
      <c r="BI1050" s="1"/>
      <c r="BJ1050" s="1"/>
      <c r="BK1050" s="1"/>
      <c r="BL1050" s="1"/>
      <c r="BM1050" s="1"/>
      <c r="BN1050" s="1"/>
      <c r="BO1050" s="1"/>
      <c r="BP1050" s="1"/>
      <c r="BQ1050" s="1"/>
      <c r="BR1050" s="1"/>
      <c r="BS1050" s="1"/>
      <c r="BT1050" s="1"/>
      <c r="BU1050" s="1"/>
      <c r="BV1050" s="1"/>
      <c r="BW1050" s="1"/>
      <c r="BX1050" s="1"/>
      <c r="BY1050" s="1"/>
      <c r="BZ1050" s="1"/>
      <c r="CA1050" s="1"/>
      <c r="CB1050" s="1"/>
      <c r="CC1050" s="1"/>
      <c r="CD1050" s="1"/>
      <c r="CE1050" s="1"/>
      <c r="CF1050" s="1"/>
      <c r="CG1050" s="1"/>
      <c r="CH1050" s="1"/>
      <c r="CI1050" s="1"/>
      <c r="CJ1050" s="1"/>
      <c r="CK1050" s="1"/>
      <c r="CL1050" s="1"/>
      <c r="CM1050" s="1"/>
      <c r="CN1050" s="1"/>
      <c r="CO1050" s="1"/>
      <c r="CP1050" s="1"/>
      <c r="CQ1050" s="1"/>
      <c r="CR1050" s="1"/>
      <c r="CS1050" s="1"/>
      <c r="CT1050" s="1"/>
      <c r="CU1050" s="1"/>
      <c r="CV1050" s="1"/>
      <c r="CW1050" s="1"/>
      <c r="CX1050" s="1"/>
      <c r="CY1050" s="1"/>
      <c r="CZ1050" s="1"/>
      <c r="DA1050" s="1"/>
      <c r="DB1050" s="1"/>
      <c r="DC1050" s="1"/>
      <c r="DD1050" s="1"/>
      <c r="DE1050" s="1"/>
      <c r="DF1050" s="1"/>
      <c r="DG1050" s="1"/>
      <c r="DH1050" s="1"/>
      <c r="DI1050" s="1"/>
      <c r="DJ1050" s="1"/>
      <c r="DK1050" s="1"/>
      <c r="DL1050" s="1"/>
      <c r="DM1050" s="1"/>
      <c r="DN1050" s="1"/>
      <c r="DO1050" s="1"/>
      <c r="DP1050" s="1"/>
      <c r="DQ1050" s="1"/>
      <c r="DR1050" s="1"/>
      <c r="DS1050" s="1"/>
      <c r="DT1050" s="1"/>
      <c r="DU1050" s="1"/>
      <c r="DV1050" s="1"/>
      <c r="DW1050" s="1"/>
      <c r="DX1050" s="1"/>
      <c r="DY1050" s="1"/>
      <c r="DZ1050" s="1"/>
      <c r="EA1050" s="1"/>
      <c r="EB1050" s="1"/>
      <c r="EC1050" s="1"/>
      <c r="ED1050" s="1"/>
      <c r="EE1050" s="1"/>
      <c r="EF1050" s="1"/>
      <c r="EG1050" s="1"/>
      <c r="EH1050" s="1"/>
      <c r="EI1050" s="1"/>
      <c r="EJ1050" s="1"/>
      <c r="EK1050" s="1"/>
      <c r="EL1050" s="1"/>
      <c r="EM1050" s="1"/>
      <c r="EN1050" s="1"/>
      <c r="EO1050" s="1"/>
      <c r="EP1050" s="1"/>
      <c r="EQ1050" s="1"/>
      <c r="ER1050" s="1"/>
      <c r="ES1050" s="1"/>
      <c r="ET1050" s="1"/>
      <c r="EU1050" s="1"/>
      <c r="EV1050" s="1"/>
      <c r="EW1050" s="1"/>
      <c r="EX1050" s="1"/>
      <c r="EY1050" s="1"/>
      <c r="EZ1050" s="1"/>
      <c r="FA1050" s="1"/>
      <c r="FB1050" s="1"/>
      <c r="FC1050" s="1"/>
      <c r="FD1050" s="1"/>
      <c r="FE1050" s="1"/>
      <c r="FF1050" s="1"/>
      <c r="FG1050" s="1"/>
      <c r="FH1050" s="1"/>
      <c r="FI1050" s="1"/>
      <c r="FJ1050" s="1"/>
      <c r="FK1050" s="1"/>
      <c r="FL1050" s="1"/>
      <c r="FM1050" s="1"/>
      <c r="FN1050" s="1"/>
      <c r="FO1050" s="1"/>
      <c r="FP1050" s="1"/>
      <c r="FQ1050" s="1"/>
      <c r="FR1050" s="2"/>
      <c r="FS1050" s="1"/>
    </row>
    <row r="1051" spans="1:175" x14ac:dyDescent="0.3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R1051" s="1"/>
      <c r="S1051" s="1"/>
      <c r="T1051" s="1"/>
      <c r="U1051" s="1"/>
      <c r="V1051" s="1"/>
      <c r="Y1051" s="1"/>
      <c r="Z1051" s="2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  <c r="AM1051" s="1"/>
      <c r="AN1051" s="1"/>
      <c r="AO1051" s="1"/>
      <c r="AP1051" s="1"/>
      <c r="AQ1051" s="1"/>
      <c r="AR1051" s="1"/>
      <c r="AS1051" s="1"/>
      <c r="AU1051" s="1"/>
      <c r="AW1051" s="1"/>
      <c r="AX1051" s="1"/>
      <c r="AY1051" s="1"/>
      <c r="AZ1051" s="1"/>
      <c r="BA1051" s="1"/>
      <c r="BC1051" s="1"/>
      <c r="BD1051" s="1"/>
      <c r="BE1051" s="1"/>
      <c r="BF1051" s="1"/>
      <c r="BG1051" s="1"/>
      <c r="BH1051" s="1"/>
      <c r="BI1051" s="1"/>
      <c r="BJ1051" s="1"/>
      <c r="BK1051" s="1"/>
      <c r="BL1051" s="1"/>
      <c r="BM1051" s="1"/>
      <c r="BN1051" s="1"/>
      <c r="BO1051" s="1"/>
      <c r="BP1051" s="1"/>
      <c r="BQ1051" s="1"/>
      <c r="BR1051" s="1"/>
      <c r="BS1051" s="1"/>
      <c r="BT1051" s="1"/>
      <c r="BU1051" s="1"/>
      <c r="BV1051" s="1"/>
      <c r="BW1051" s="1"/>
      <c r="BX1051" s="1"/>
      <c r="BY1051" s="1"/>
      <c r="BZ1051" s="1"/>
      <c r="CA1051" s="1"/>
      <c r="CB1051" s="1"/>
      <c r="CC1051" s="1"/>
      <c r="CD1051" s="1"/>
      <c r="CE1051" s="1"/>
      <c r="CF1051" s="1"/>
      <c r="CG1051" s="1"/>
      <c r="CH1051" s="1"/>
      <c r="CI1051" s="1"/>
      <c r="CJ1051" s="1"/>
      <c r="CK1051" s="1"/>
      <c r="CL1051" s="1"/>
      <c r="CM1051" s="1"/>
      <c r="CN1051" s="1"/>
      <c r="CO1051" s="1"/>
      <c r="CP1051" s="1"/>
      <c r="CQ1051" s="1"/>
      <c r="CR1051" s="1"/>
      <c r="CS1051" s="1"/>
      <c r="CT1051" s="1"/>
      <c r="CU1051" s="1"/>
      <c r="CV1051" s="1"/>
      <c r="CW1051" s="1"/>
      <c r="CX1051" s="1"/>
      <c r="CY1051" s="1"/>
      <c r="CZ1051" s="1"/>
      <c r="DA1051" s="1"/>
      <c r="DB1051" s="1"/>
      <c r="DC1051" s="1"/>
      <c r="DD1051" s="1"/>
      <c r="DE1051" s="1"/>
      <c r="DF1051" s="1"/>
      <c r="DG1051" s="1"/>
      <c r="DH1051" s="1"/>
      <c r="DI1051" s="1"/>
      <c r="DJ1051" s="1"/>
      <c r="DK1051" s="1"/>
      <c r="DL1051" s="1"/>
      <c r="DM1051" s="1"/>
      <c r="DN1051" s="1"/>
      <c r="DO1051" s="1"/>
      <c r="DP1051" s="1"/>
      <c r="DQ1051" s="1"/>
      <c r="DR1051" s="1"/>
      <c r="DS1051" s="1"/>
      <c r="DT1051" s="1"/>
      <c r="DU1051" s="1"/>
      <c r="DV1051" s="1"/>
      <c r="DW1051" s="1"/>
      <c r="DX1051" s="1"/>
      <c r="DY1051" s="1"/>
      <c r="DZ1051" s="1"/>
      <c r="EA1051" s="1"/>
      <c r="EB1051" s="1"/>
      <c r="EC1051" s="1"/>
      <c r="ED1051" s="1"/>
      <c r="EE1051" s="1"/>
      <c r="EF1051" s="1"/>
      <c r="EG1051" s="1"/>
      <c r="EH1051" s="1"/>
      <c r="EI1051" s="1"/>
      <c r="EJ1051" s="1"/>
      <c r="EK1051" s="1"/>
      <c r="EL1051" s="1"/>
      <c r="EM1051" s="1"/>
      <c r="EN1051" s="1"/>
      <c r="EO1051" s="1"/>
      <c r="EP1051" s="1"/>
      <c r="EQ1051" s="1"/>
      <c r="ER1051" s="1"/>
      <c r="ES1051" s="1"/>
      <c r="ET1051" s="1"/>
      <c r="EU1051" s="1"/>
      <c r="EV1051" s="1"/>
      <c r="EW1051" s="1"/>
      <c r="EX1051" s="1"/>
      <c r="EY1051" s="1"/>
      <c r="EZ1051" s="1"/>
      <c r="FA1051" s="1"/>
      <c r="FB1051" s="1"/>
      <c r="FC1051" s="1"/>
      <c r="FD1051" s="1"/>
      <c r="FE1051" s="1"/>
      <c r="FF1051" s="1"/>
      <c r="FG1051" s="1"/>
      <c r="FH1051" s="1"/>
      <c r="FI1051" s="1"/>
      <c r="FJ1051" s="1"/>
      <c r="FK1051" s="1"/>
      <c r="FL1051" s="1"/>
      <c r="FM1051" s="1"/>
      <c r="FN1051" s="1"/>
      <c r="FO1051" s="1"/>
      <c r="FP1051" s="1"/>
      <c r="FQ1051" s="1"/>
      <c r="FR1051" s="2"/>
      <c r="FS1051" s="1"/>
    </row>
    <row r="1052" spans="1:175" x14ac:dyDescent="0.3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R1052" s="1"/>
      <c r="S1052" s="1"/>
      <c r="T1052" s="1"/>
      <c r="U1052" s="1"/>
      <c r="V1052" s="1"/>
      <c r="Y1052" s="1"/>
      <c r="Z1052" s="2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  <c r="AM1052" s="1"/>
      <c r="AN1052" s="1"/>
      <c r="AO1052" s="1"/>
      <c r="AP1052" s="1"/>
      <c r="AQ1052" s="1"/>
      <c r="AR1052" s="1"/>
      <c r="AS1052" s="1"/>
      <c r="AU1052" s="1"/>
      <c r="AW1052" s="1"/>
      <c r="AX1052" s="1"/>
      <c r="AY1052" s="1"/>
      <c r="AZ1052" s="1"/>
      <c r="BA1052" s="1"/>
      <c r="BC1052" s="1"/>
      <c r="BD1052" s="1"/>
      <c r="BE1052" s="1"/>
      <c r="BF1052" s="1"/>
      <c r="BG1052" s="1"/>
      <c r="BH1052" s="1"/>
      <c r="BI1052" s="1"/>
      <c r="BJ1052" s="1"/>
      <c r="BK1052" s="1"/>
      <c r="BL1052" s="1"/>
      <c r="BM1052" s="1"/>
      <c r="BN1052" s="1"/>
      <c r="BO1052" s="1"/>
      <c r="BP1052" s="1"/>
      <c r="BQ1052" s="1"/>
      <c r="BR1052" s="1"/>
      <c r="BS1052" s="1"/>
      <c r="BT1052" s="1"/>
      <c r="BU1052" s="1"/>
      <c r="BV1052" s="1"/>
      <c r="BW1052" s="1"/>
      <c r="BX1052" s="1"/>
      <c r="BY1052" s="1"/>
      <c r="BZ1052" s="1"/>
      <c r="CA1052" s="1"/>
      <c r="CB1052" s="1"/>
      <c r="CC1052" s="1"/>
      <c r="CD1052" s="1"/>
      <c r="CE1052" s="1"/>
      <c r="CF1052" s="1"/>
      <c r="CG1052" s="1"/>
      <c r="CH1052" s="1"/>
      <c r="CI1052" s="1"/>
      <c r="CJ1052" s="1"/>
      <c r="CK1052" s="1"/>
      <c r="CL1052" s="1"/>
      <c r="CM1052" s="1"/>
      <c r="CN1052" s="1"/>
      <c r="CO1052" s="1"/>
      <c r="CP1052" s="1"/>
      <c r="CQ1052" s="1"/>
      <c r="CR1052" s="1"/>
      <c r="CS1052" s="1"/>
      <c r="CT1052" s="1"/>
      <c r="CU1052" s="1"/>
      <c r="CV1052" s="1"/>
      <c r="CW1052" s="1"/>
      <c r="CX1052" s="1"/>
      <c r="CY1052" s="1"/>
      <c r="CZ1052" s="1"/>
      <c r="DA1052" s="1"/>
      <c r="DB1052" s="1"/>
      <c r="DC1052" s="1"/>
      <c r="DD1052" s="1"/>
      <c r="DE1052" s="1"/>
      <c r="DF1052" s="1"/>
      <c r="DG1052" s="1"/>
      <c r="DH1052" s="1"/>
      <c r="DI1052" s="1"/>
      <c r="DJ1052" s="1"/>
      <c r="DK1052" s="1"/>
      <c r="DL1052" s="1"/>
      <c r="DM1052" s="1"/>
      <c r="DN1052" s="1"/>
      <c r="DO1052" s="1"/>
      <c r="DP1052" s="1"/>
      <c r="DQ1052" s="1"/>
      <c r="DR1052" s="1"/>
      <c r="DS1052" s="1"/>
      <c r="DT1052" s="1"/>
      <c r="DU1052" s="1"/>
      <c r="DV1052" s="1"/>
      <c r="DW1052" s="1"/>
      <c r="DX1052" s="1"/>
      <c r="DY1052" s="1"/>
      <c r="DZ1052" s="1"/>
      <c r="EA1052" s="1"/>
      <c r="EB1052" s="1"/>
      <c r="EC1052" s="1"/>
      <c r="ED1052" s="1"/>
      <c r="EE1052" s="1"/>
      <c r="EF1052" s="1"/>
      <c r="EG1052" s="1"/>
      <c r="EH1052" s="1"/>
      <c r="EI1052" s="1"/>
      <c r="EJ1052" s="1"/>
      <c r="EK1052" s="1"/>
      <c r="EL1052" s="1"/>
      <c r="EM1052" s="1"/>
      <c r="EN1052" s="1"/>
      <c r="EO1052" s="1"/>
      <c r="EP1052" s="1"/>
      <c r="EQ1052" s="1"/>
      <c r="ER1052" s="1"/>
      <c r="ES1052" s="1"/>
      <c r="ET1052" s="1"/>
      <c r="EU1052" s="1"/>
      <c r="EV1052" s="1"/>
      <c r="EW1052" s="1"/>
      <c r="EX1052" s="1"/>
      <c r="EY1052" s="1"/>
      <c r="EZ1052" s="1"/>
      <c r="FA1052" s="1"/>
      <c r="FB1052" s="1"/>
      <c r="FC1052" s="1"/>
      <c r="FD1052" s="1"/>
      <c r="FE1052" s="1"/>
      <c r="FF1052" s="1"/>
      <c r="FG1052" s="1"/>
      <c r="FH1052" s="1"/>
      <c r="FI1052" s="1"/>
      <c r="FJ1052" s="1"/>
      <c r="FK1052" s="1"/>
      <c r="FL1052" s="1"/>
      <c r="FM1052" s="1"/>
      <c r="FN1052" s="1"/>
      <c r="FO1052" s="1"/>
      <c r="FP1052" s="1"/>
      <c r="FQ1052" s="1"/>
      <c r="FR1052" s="2"/>
      <c r="FS1052" s="1"/>
    </row>
    <row r="1053" spans="1:175" x14ac:dyDescent="0.3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R1053" s="1"/>
      <c r="S1053" s="1"/>
      <c r="T1053" s="1"/>
      <c r="U1053" s="1"/>
      <c r="V1053" s="1"/>
      <c r="Y1053" s="1"/>
      <c r="Z1053" s="2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  <c r="AL1053" s="1"/>
      <c r="AM1053" s="1"/>
      <c r="AN1053" s="1"/>
      <c r="AO1053" s="1"/>
      <c r="AP1053" s="1"/>
      <c r="AQ1053" s="1"/>
      <c r="AR1053" s="1"/>
      <c r="AS1053" s="1"/>
      <c r="AU1053" s="1"/>
      <c r="AW1053" s="1"/>
      <c r="AX1053" s="1"/>
      <c r="AY1053" s="1"/>
      <c r="AZ1053" s="1"/>
      <c r="BA1053" s="1"/>
      <c r="BC1053" s="1"/>
      <c r="BD1053" s="1"/>
      <c r="BE1053" s="1"/>
      <c r="BF1053" s="1"/>
      <c r="BG1053" s="1"/>
      <c r="BH1053" s="1"/>
      <c r="BI1053" s="1"/>
      <c r="BJ1053" s="1"/>
      <c r="BK1053" s="1"/>
      <c r="BL1053" s="1"/>
      <c r="BM1053" s="1"/>
      <c r="BN1053" s="1"/>
      <c r="BO1053" s="1"/>
      <c r="BP1053" s="1"/>
      <c r="BQ1053" s="1"/>
      <c r="BR1053" s="1"/>
      <c r="BS1053" s="1"/>
      <c r="BT1053" s="1"/>
      <c r="BU1053" s="1"/>
      <c r="BV1053" s="1"/>
      <c r="BW1053" s="1"/>
      <c r="BX1053" s="1"/>
      <c r="BY1053" s="1"/>
      <c r="BZ1053" s="1"/>
      <c r="CA1053" s="1"/>
      <c r="CB1053" s="1"/>
      <c r="CC1053" s="1"/>
      <c r="CD1053" s="1"/>
      <c r="CE1053" s="1"/>
      <c r="CF1053" s="1"/>
      <c r="CG1053" s="1"/>
      <c r="CH1053" s="1"/>
      <c r="CI1053" s="1"/>
      <c r="CJ1053" s="1"/>
      <c r="CK1053" s="1"/>
      <c r="CL1053" s="1"/>
      <c r="CM1053" s="1"/>
      <c r="CN1053" s="1"/>
      <c r="CO1053" s="1"/>
      <c r="CP1053" s="1"/>
      <c r="CQ1053" s="1"/>
      <c r="CR1053" s="1"/>
      <c r="CS1053" s="1"/>
      <c r="CT1053" s="1"/>
      <c r="CU1053" s="1"/>
      <c r="CV1053" s="1"/>
      <c r="CW1053" s="1"/>
      <c r="CX1053" s="1"/>
      <c r="CY1053" s="1"/>
      <c r="CZ1053" s="1"/>
      <c r="DA1053" s="1"/>
      <c r="DB1053" s="1"/>
      <c r="DC1053" s="1"/>
      <c r="DD1053" s="1"/>
      <c r="DE1053" s="1"/>
      <c r="DF1053" s="1"/>
      <c r="DG1053" s="1"/>
      <c r="DH1053" s="1"/>
      <c r="DI1053" s="1"/>
      <c r="DJ1053" s="1"/>
      <c r="DK1053" s="1"/>
      <c r="DL1053" s="1"/>
      <c r="DM1053" s="1"/>
      <c r="DN1053" s="1"/>
      <c r="DO1053" s="1"/>
      <c r="DP1053" s="1"/>
      <c r="DQ1053" s="1"/>
      <c r="DR1053" s="1"/>
      <c r="DS1053" s="1"/>
      <c r="DT1053" s="1"/>
      <c r="DU1053" s="1"/>
      <c r="DV1053" s="1"/>
      <c r="DW1053" s="1"/>
      <c r="DX1053" s="1"/>
      <c r="DY1053" s="1"/>
      <c r="DZ1053" s="1"/>
      <c r="EA1053" s="1"/>
      <c r="EB1053" s="1"/>
      <c r="EC1053" s="1"/>
      <c r="ED1053" s="1"/>
      <c r="EE1053" s="1"/>
      <c r="EF1053" s="1"/>
      <c r="EG1053" s="1"/>
      <c r="EH1053" s="1"/>
      <c r="EI1053" s="1"/>
      <c r="EJ1053" s="1"/>
      <c r="EK1053" s="1"/>
      <c r="EL1053" s="1"/>
      <c r="EM1053" s="1"/>
      <c r="EN1053" s="1"/>
      <c r="EO1053" s="1"/>
      <c r="EP1053" s="1"/>
      <c r="EQ1053" s="1"/>
      <c r="ER1053" s="1"/>
      <c r="ES1053" s="1"/>
      <c r="ET1053" s="1"/>
      <c r="EU1053" s="1"/>
      <c r="EV1053" s="1"/>
      <c r="EW1053" s="1"/>
      <c r="EX1053" s="1"/>
      <c r="EY1053" s="1"/>
      <c r="EZ1053" s="1"/>
      <c r="FA1053" s="1"/>
      <c r="FB1053" s="1"/>
      <c r="FC1053" s="1"/>
      <c r="FD1053" s="1"/>
      <c r="FE1053" s="1"/>
      <c r="FF1053" s="1"/>
      <c r="FG1053" s="1"/>
      <c r="FH1053" s="1"/>
      <c r="FI1053" s="1"/>
      <c r="FJ1053" s="1"/>
      <c r="FK1053" s="1"/>
      <c r="FL1053" s="1"/>
      <c r="FM1053" s="1"/>
      <c r="FN1053" s="1"/>
      <c r="FO1053" s="1"/>
      <c r="FP1053" s="1"/>
      <c r="FQ1053" s="1"/>
      <c r="FR1053" s="2"/>
      <c r="FS1053" s="1"/>
    </row>
    <row r="1054" spans="1:175" x14ac:dyDescent="0.3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R1054" s="1"/>
      <c r="S1054" s="1"/>
      <c r="T1054" s="1"/>
      <c r="U1054" s="1"/>
      <c r="V1054" s="1"/>
      <c r="Y1054" s="1"/>
      <c r="Z1054" s="2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  <c r="AL1054" s="1"/>
      <c r="AM1054" s="1"/>
      <c r="AN1054" s="1"/>
      <c r="AO1054" s="1"/>
      <c r="AP1054" s="1"/>
      <c r="AQ1054" s="1"/>
      <c r="AR1054" s="1"/>
      <c r="AS1054" s="1"/>
      <c r="AU1054" s="1"/>
      <c r="AW1054" s="1"/>
      <c r="AX1054" s="1"/>
      <c r="AY1054" s="1"/>
      <c r="AZ1054" s="1"/>
      <c r="BA1054" s="1"/>
      <c r="BC1054" s="1"/>
      <c r="BD1054" s="1"/>
      <c r="BE1054" s="1"/>
      <c r="BF1054" s="1"/>
      <c r="BG1054" s="1"/>
      <c r="BH1054" s="1"/>
      <c r="BI1054" s="1"/>
      <c r="BJ1054" s="1"/>
      <c r="BK1054" s="1"/>
      <c r="BL1054" s="1"/>
      <c r="BM1054" s="1"/>
      <c r="BN1054" s="1"/>
      <c r="BO1054" s="1"/>
      <c r="BP1054" s="1"/>
      <c r="BQ1054" s="1"/>
      <c r="BR1054" s="1"/>
      <c r="BS1054" s="1"/>
      <c r="BT1054" s="1"/>
      <c r="BU1054" s="1"/>
      <c r="BV1054" s="1"/>
      <c r="BW1054" s="1"/>
      <c r="BX1054" s="1"/>
      <c r="BY1054" s="1"/>
      <c r="BZ1054" s="1"/>
      <c r="CA1054" s="1"/>
      <c r="CB1054" s="1"/>
      <c r="CC1054" s="1"/>
      <c r="CD1054" s="1"/>
      <c r="CE1054" s="1"/>
      <c r="CF1054" s="1"/>
      <c r="CG1054" s="1"/>
      <c r="CH1054" s="1"/>
      <c r="CI1054" s="1"/>
      <c r="CJ1054" s="1"/>
      <c r="CK1054" s="1"/>
      <c r="CL1054" s="1"/>
      <c r="CM1054" s="1"/>
      <c r="CN1054" s="1"/>
      <c r="CO1054" s="1"/>
      <c r="CP1054" s="1"/>
      <c r="CQ1054" s="1"/>
      <c r="CR1054" s="1"/>
      <c r="CS1054" s="1"/>
      <c r="CT1054" s="1"/>
      <c r="CU1054" s="1"/>
      <c r="CV1054" s="1"/>
      <c r="CW1054" s="1"/>
      <c r="CX1054" s="1"/>
      <c r="CY1054" s="1"/>
      <c r="CZ1054" s="1"/>
      <c r="DA1054" s="1"/>
      <c r="DB1054" s="1"/>
      <c r="DC1054" s="1"/>
      <c r="DD1054" s="1"/>
      <c r="DE1054" s="1"/>
      <c r="DF1054" s="1"/>
      <c r="DG1054" s="1"/>
      <c r="DH1054" s="1"/>
      <c r="DI1054" s="1"/>
      <c r="DJ1054" s="1"/>
      <c r="DK1054" s="1"/>
      <c r="DL1054" s="1"/>
      <c r="DM1054" s="1"/>
      <c r="DN1054" s="1"/>
      <c r="DO1054" s="1"/>
      <c r="DP1054" s="1"/>
      <c r="DQ1054" s="1"/>
      <c r="DR1054" s="1"/>
      <c r="DS1054" s="1"/>
      <c r="DT1054" s="1"/>
      <c r="DU1054" s="1"/>
      <c r="DV1054" s="1"/>
      <c r="DW1054" s="1"/>
      <c r="DX1054" s="1"/>
      <c r="DY1054" s="1"/>
      <c r="DZ1054" s="1"/>
      <c r="EA1054" s="1"/>
      <c r="EB1054" s="1"/>
      <c r="EC1054" s="1"/>
      <c r="ED1054" s="1"/>
      <c r="EE1054" s="1"/>
      <c r="EF1054" s="1"/>
      <c r="EG1054" s="1"/>
      <c r="EH1054" s="1"/>
      <c r="EI1054" s="1"/>
      <c r="EJ1054" s="1"/>
      <c r="EK1054" s="1"/>
      <c r="EL1054" s="1"/>
      <c r="EM1054" s="1"/>
      <c r="EN1054" s="1"/>
      <c r="EO1054" s="1"/>
      <c r="EP1054" s="1"/>
      <c r="EQ1054" s="1"/>
      <c r="ER1054" s="1"/>
      <c r="ES1054" s="1"/>
      <c r="ET1054" s="1"/>
      <c r="EU1054" s="1"/>
      <c r="EV1054" s="1"/>
      <c r="EW1054" s="1"/>
      <c r="EX1054" s="1"/>
      <c r="EY1054" s="1"/>
      <c r="EZ1054" s="1"/>
      <c r="FA1054" s="1"/>
      <c r="FB1054" s="1"/>
      <c r="FC1054" s="1"/>
      <c r="FD1054" s="1"/>
      <c r="FE1054" s="1"/>
      <c r="FF1054" s="1"/>
      <c r="FG1054" s="1"/>
      <c r="FH1054" s="1"/>
      <c r="FI1054" s="1"/>
      <c r="FJ1054" s="1"/>
      <c r="FK1054" s="1"/>
      <c r="FL1054" s="1"/>
      <c r="FM1054" s="1"/>
      <c r="FN1054" s="1"/>
      <c r="FO1054" s="1"/>
      <c r="FP1054" s="1"/>
      <c r="FQ1054" s="1"/>
      <c r="FR1054" s="2"/>
      <c r="FS1054" s="1"/>
    </row>
    <row r="1055" spans="1:175" x14ac:dyDescent="0.3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R1055" s="1"/>
      <c r="S1055" s="1"/>
      <c r="T1055" s="1"/>
      <c r="U1055" s="1"/>
      <c r="V1055" s="1"/>
      <c r="Y1055" s="1"/>
      <c r="Z1055" s="2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  <c r="AL1055" s="1"/>
      <c r="AM1055" s="1"/>
      <c r="AN1055" s="1"/>
      <c r="AO1055" s="1"/>
      <c r="AP1055" s="1"/>
      <c r="AQ1055" s="1"/>
      <c r="AR1055" s="1"/>
      <c r="AS1055" s="1"/>
      <c r="AU1055" s="1"/>
      <c r="AW1055" s="1"/>
      <c r="AX1055" s="1"/>
      <c r="AY1055" s="1"/>
      <c r="AZ1055" s="1"/>
      <c r="BA1055" s="1"/>
      <c r="BC1055" s="1"/>
      <c r="BD1055" s="1"/>
      <c r="BE1055" s="1"/>
      <c r="BF1055" s="1"/>
      <c r="BG1055" s="1"/>
      <c r="BH1055" s="1"/>
      <c r="BI1055" s="1"/>
      <c r="BJ1055" s="1"/>
      <c r="BK1055" s="1"/>
      <c r="BL1055" s="1"/>
      <c r="BM1055" s="1"/>
      <c r="BN1055" s="1"/>
      <c r="BO1055" s="1"/>
      <c r="BP1055" s="1"/>
      <c r="BQ1055" s="1"/>
      <c r="BR1055" s="1"/>
      <c r="BS1055" s="1"/>
      <c r="BT1055" s="1"/>
      <c r="BU1055" s="1"/>
      <c r="BV1055" s="1"/>
      <c r="BW1055" s="1"/>
      <c r="BX1055" s="1"/>
      <c r="BY1055" s="1"/>
      <c r="BZ1055" s="1"/>
      <c r="CA1055" s="1"/>
      <c r="CB1055" s="1"/>
      <c r="CC1055" s="1"/>
      <c r="CD1055" s="1"/>
      <c r="CE1055" s="1"/>
      <c r="CF1055" s="1"/>
      <c r="CG1055" s="1"/>
      <c r="CH1055" s="1"/>
      <c r="CI1055" s="1"/>
      <c r="CJ1055" s="1"/>
      <c r="CK1055" s="1"/>
      <c r="CL1055" s="1"/>
      <c r="CM1055" s="1"/>
      <c r="CN1055" s="1"/>
      <c r="CO1055" s="1"/>
      <c r="CP1055" s="1"/>
      <c r="CQ1055" s="1"/>
      <c r="CR1055" s="1"/>
      <c r="CS1055" s="1"/>
      <c r="CT1055" s="1"/>
      <c r="CU1055" s="1"/>
      <c r="CV1055" s="1"/>
      <c r="CW1055" s="1"/>
      <c r="CX1055" s="1"/>
      <c r="CY1055" s="1"/>
      <c r="CZ1055" s="1"/>
      <c r="DA1055" s="1"/>
      <c r="DB1055" s="1"/>
      <c r="DC1055" s="1"/>
      <c r="DD1055" s="1"/>
      <c r="DE1055" s="1"/>
      <c r="DF1055" s="1"/>
      <c r="DG1055" s="1"/>
      <c r="DH1055" s="1"/>
      <c r="DI1055" s="1"/>
      <c r="DJ1055" s="1"/>
      <c r="DK1055" s="1"/>
      <c r="DL1055" s="1"/>
      <c r="DM1055" s="1"/>
      <c r="DN1055" s="1"/>
      <c r="DO1055" s="1"/>
      <c r="DP1055" s="1"/>
      <c r="DQ1055" s="1"/>
      <c r="DR1055" s="1"/>
      <c r="DS1055" s="1"/>
      <c r="DT1055" s="1"/>
      <c r="DU1055" s="1"/>
      <c r="DV1055" s="1"/>
      <c r="DW1055" s="1"/>
      <c r="DX1055" s="1"/>
      <c r="DY1055" s="1"/>
      <c r="DZ1055" s="1"/>
      <c r="EA1055" s="1"/>
      <c r="EB1055" s="1"/>
      <c r="EC1055" s="1"/>
      <c r="ED1055" s="1"/>
      <c r="EE1055" s="1"/>
      <c r="EF1055" s="1"/>
      <c r="EG1055" s="1"/>
      <c r="EH1055" s="1"/>
      <c r="EI1055" s="1"/>
      <c r="EJ1055" s="1"/>
      <c r="EK1055" s="1"/>
      <c r="EL1055" s="1"/>
      <c r="EM1055" s="1"/>
      <c r="EN1055" s="1"/>
      <c r="EO1055" s="1"/>
      <c r="EP1055" s="1"/>
      <c r="EQ1055" s="1"/>
      <c r="ER1055" s="1"/>
      <c r="ES1055" s="1"/>
      <c r="ET1055" s="1"/>
      <c r="EU1055" s="1"/>
      <c r="EV1055" s="1"/>
      <c r="EW1055" s="1"/>
      <c r="EX1055" s="1"/>
      <c r="EY1055" s="1"/>
      <c r="EZ1055" s="1"/>
      <c r="FA1055" s="1"/>
      <c r="FB1055" s="1"/>
      <c r="FC1055" s="1"/>
      <c r="FD1055" s="1"/>
      <c r="FE1055" s="1"/>
      <c r="FF1055" s="1"/>
      <c r="FG1055" s="1"/>
      <c r="FH1055" s="1"/>
      <c r="FI1055" s="1"/>
      <c r="FJ1055" s="1"/>
      <c r="FK1055" s="1"/>
      <c r="FL1055" s="1"/>
      <c r="FM1055" s="1"/>
      <c r="FN1055" s="1"/>
      <c r="FO1055" s="1"/>
      <c r="FP1055" s="1"/>
      <c r="FQ1055" s="1"/>
      <c r="FR1055" s="2"/>
      <c r="FS1055" s="1"/>
    </row>
    <row r="1056" spans="1:175" x14ac:dyDescent="0.3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R1056" s="1"/>
      <c r="S1056" s="1"/>
      <c r="T1056" s="1"/>
      <c r="U1056" s="1"/>
      <c r="V1056" s="1"/>
      <c r="Y1056" s="1"/>
      <c r="Z1056" s="2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  <c r="AL1056" s="1"/>
      <c r="AM1056" s="1"/>
      <c r="AN1056" s="1"/>
      <c r="AO1056" s="1"/>
      <c r="AP1056" s="1"/>
      <c r="AQ1056" s="1"/>
      <c r="AR1056" s="1"/>
      <c r="AS1056" s="1"/>
      <c r="AU1056" s="1"/>
      <c r="AW1056" s="1"/>
      <c r="AX1056" s="1"/>
      <c r="AY1056" s="1"/>
      <c r="AZ1056" s="1"/>
      <c r="BA1056" s="1"/>
      <c r="BC1056" s="1"/>
      <c r="BD1056" s="1"/>
      <c r="BE1056" s="1"/>
      <c r="BF1056" s="1"/>
      <c r="BG1056" s="1"/>
      <c r="BH1056" s="1"/>
      <c r="BI1056" s="1"/>
      <c r="BJ1056" s="1"/>
      <c r="BK1056" s="1"/>
      <c r="BL1056" s="1"/>
      <c r="BM1056" s="1"/>
      <c r="BN1056" s="1"/>
      <c r="BO1056" s="1"/>
      <c r="BP1056" s="1"/>
      <c r="BQ1056" s="1"/>
      <c r="BR1056" s="1"/>
      <c r="BS1056" s="1"/>
      <c r="BT1056" s="1"/>
      <c r="BU1056" s="1"/>
      <c r="BV1056" s="1"/>
      <c r="BW1056" s="1"/>
      <c r="BX1056" s="1"/>
      <c r="BY1056" s="1"/>
      <c r="BZ1056" s="1"/>
      <c r="CA1056" s="1"/>
      <c r="CB1056" s="1"/>
      <c r="CC1056" s="1"/>
      <c r="CD1056" s="1"/>
      <c r="CE1056" s="1"/>
      <c r="CF1056" s="1"/>
      <c r="CG1056" s="1"/>
      <c r="CH1056" s="1"/>
      <c r="CI1056" s="1"/>
      <c r="CJ1056" s="1"/>
      <c r="CK1056" s="1"/>
      <c r="CL1056" s="1"/>
      <c r="CM1056" s="1"/>
      <c r="CN1056" s="1"/>
      <c r="CO1056" s="1"/>
      <c r="CP1056" s="1"/>
      <c r="CQ1056" s="1"/>
      <c r="CR1056" s="1"/>
      <c r="CS1056" s="1"/>
      <c r="CT1056" s="1"/>
      <c r="CU1056" s="1"/>
      <c r="CV1056" s="1"/>
      <c r="CW1056" s="1"/>
      <c r="CX1056" s="1"/>
      <c r="CY1056" s="1"/>
      <c r="CZ1056" s="1"/>
      <c r="DA1056" s="1"/>
      <c r="DB1056" s="1"/>
      <c r="DC1056" s="1"/>
      <c r="DD1056" s="1"/>
      <c r="DE1056" s="1"/>
      <c r="DF1056" s="1"/>
      <c r="DG1056" s="1"/>
      <c r="DH1056" s="1"/>
      <c r="DI1056" s="1"/>
      <c r="DJ1056" s="1"/>
      <c r="DK1056" s="1"/>
      <c r="DL1056" s="1"/>
      <c r="DM1056" s="1"/>
      <c r="DN1056" s="1"/>
      <c r="DO1056" s="1"/>
      <c r="DP1056" s="1"/>
      <c r="DQ1056" s="1"/>
      <c r="DR1056" s="1"/>
      <c r="DS1056" s="1"/>
      <c r="DT1056" s="1"/>
      <c r="DU1056" s="1"/>
      <c r="DV1056" s="1"/>
      <c r="DW1056" s="1"/>
      <c r="DX1056" s="1"/>
      <c r="DY1056" s="1"/>
      <c r="DZ1056" s="1"/>
      <c r="EA1056" s="1"/>
      <c r="EB1056" s="1"/>
      <c r="EC1056" s="1"/>
      <c r="ED1056" s="1"/>
      <c r="EE1056" s="1"/>
      <c r="EF1056" s="1"/>
      <c r="EG1056" s="1"/>
      <c r="EH1056" s="1"/>
      <c r="EI1056" s="1"/>
      <c r="EJ1056" s="1"/>
      <c r="EK1056" s="1"/>
      <c r="EL1056" s="1"/>
      <c r="EM1056" s="1"/>
      <c r="EN1056" s="1"/>
      <c r="EO1056" s="1"/>
      <c r="EP1056" s="1"/>
      <c r="EQ1056" s="1"/>
      <c r="ER1056" s="1"/>
      <c r="ES1056" s="1"/>
      <c r="ET1056" s="1"/>
      <c r="EU1056" s="1"/>
      <c r="EV1056" s="1"/>
      <c r="EW1056" s="1"/>
      <c r="EX1056" s="1"/>
      <c r="EY1056" s="1"/>
      <c r="EZ1056" s="1"/>
      <c r="FA1056" s="1"/>
      <c r="FB1056" s="1"/>
      <c r="FC1056" s="1"/>
      <c r="FD1056" s="1"/>
      <c r="FE1056" s="1"/>
      <c r="FF1056" s="1"/>
      <c r="FG1056" s="1"/>
      <c r="FH1056" s="1"/>
      <c r="FI1056" s="1"/>
      <c r="FJ1056" s="1"/>
      <c r="FK1056" s="1"/>
      <c r="FL1056" s="1"/>
      <c r="FM1056" s="1"/>
      <c r="FN1056" s="1"/>
      <c r="FO1056" s="1"/>
      <c r="FP1056" s="1"/>
      <c r="FQ1056" s="1"/>
      <c r="FR1056" s="2"/>
      <c r="FS1056" s="1"/>
    </row>
    <row r="1057" spans="1:175" x14ac:dyDescent="0.3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R1057" s="1"/>
      <c r="S1057" s="1"/>
      <c r="T1057" s="1"/>
      <c r="U1057" s="1"/>
      <c r="V1057" s="1"/>
      <c r="Y1057" s="1"/>
      <c r="Z1057" s="2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  <c r="AL1057" s="1"/>
      <c r="AM1057" s="1"/>
      <c r="AN1057" s="1"/>
      <c r="AO1057" s="1"/>
      <c r="AP1057" s="1"/>
      <c r="AQ1057" s="1"/>
      <c r="AR1057" s="1"/>
      <c r="AS1057" s="1"/>
      <c r="AU1057" s="1"/>
      <c r="AW1057" s="1"/>
      <c r="AX1057" s="1"/>
      <c r="AY1057" s="1"/>
      <c r="AZ1057" s="1"/>
      <c r="BA1057" s="1"/>
      <c r="BC1057" s="1"/>
      <c r="BD1057" s="1"/>
      <c r="BE1057" s="1"/>
      <c r="BF1057" s="1"/>
      <c r="BG1057" s="1"/>
      <c r="BH1057" s="1"/>
      <c r="BI1057" s="1"/>
      <c r="BJ1057" s="1"/>
      <c r="BK1057" s="1"/>
      <c r="BL1057" s="1"/>
      <c r="BM1057" s="1"/>
      <c r="BN1057" s="1"/>
      <c r="BO1057" s="1"/>
      <c r="BP1057" s="1"/>
      <c r="BQ1057" s="1"/>
      <c r="BR1057" s="1"/>
      <c r="BS1057" s="1"/>
      <c r="BT1057" s="1"/>
      <c r="BU1057" s="1"/>
      <c r="BV1057" s="1"/>
      <c r="BW1057" s="1"/>
      <c r="BX1057" s="1"/>
      <c r="BY1057" s="1"/>
      <c r="BZ1057" s="1"/>
      <c r="CA1057" s="1"/>
      <c r="CB1057" s="1"/>
      <c r="CC1057" s="1"/>
      <c r="CD1057" s="1"/>
      <c r="CE1057" s="1"/>
      <c r="CF1057" s="1"/>
      <c r="CG1057" s="1"/>
      <c r="CH1057" s="1"/>
      <c r="CI1057" s="1"/>
      <c r="CJ1057" s="1"/>
      <c r="CK1057" s="1"/>
      <c r="CL1057" s="1"/>
      <c r="CM1057" s="1"/>
      <c r="CN1057" s="1"/>
      <c r="CO1057" s="1"/>
      <c r="CP1057" s="1"/>
      <c r="CQ1057" s="1"/>
      <c r="CR1057" s="1"/>
      <c r="CS1057" s="1"/>
      <c r="CT1057" s="1"/>
      <c r="CU1057" s="1"/>
      <c r="CV1057" s="1"/>
      <c r="CW1057" s="1"/>
      <c r="CX1057" s="1"/>
      <c r="CY1057" s="1"/>
      <c r="CZ1057" s="1"/>
      <c r="DA1057" s="1"/>
      <c r="DB1057" s="1"/>
      <c r="DC1057" s="1"/>
      <c r="DD1057" s="1"/>
      <c r="DE1057" s="1"/>
      <c r="DF1057" s="1"/>
      <c r="DG1057" s="1"/>
      <c r="DH1057" s="1"/>
      <c r="DI1057" s="1"/>
      <c r="DJ1057" s="1"/>
      <c r="DK1057" s="1"/>
      <c r="DL1057" s="1"/>
      <c r="DM1057" s="1"/>
      <c r="DN1057" s="1"/>
      <c r="DO1057" s="1"/>
      <c r="DP1057" s="1"/>
      <c r="DQ1057" s="1"/>
      <c r="DR1057" s="1"/>
      <c r="DS1057" s="1"/>
      <c r="DT1057" s="1"/>
      <c r="DU1057" s="1"/>
      <c r="DV1057" s="1"/>
      <c r="DW1057" s="1"/>
      <c r="DX1057" s="1"/>
      <c r="DY1057" s="1"/>
      <c r="DZ1057" s="1"/>
      <c r="EA1057" s="1"/>
      <c r="EB1057" s="1"/>
      <c r="EC1057" s="1"/>
      <c r="ED1057" s="1"/>
      <c r="EE1057" s="1"/>
      <c r="EF1057" s="1"/>
      <c r="EG1057" s="1"/>
      <c r="EH1057" s="1"/>
      <c r="EI1057" s="1"/>
      <c r="EJ1057" s="1"/>
      <c r="EK1057" s="1"/>
      <c r="EL1057" s="1"/>
      <c r="EM1057" s="1"/>
      <c r="EN1057" s="1"/>
      <c r="EO1057" s="1"/>
      <c r="EP1057" s="1"/>
      <c r="EQ1057" s="1"/>
      <c r="ER1057" s="1"/>
      <c r="ES1057" s="1"/>
      <c r="ET1057" s="1"/>
      <c r="EU1057" s="1"/>
      <c r="EV1057" s="1"/>
      <c r="EW1057" s="1"/>
      <c r="EX1057" s="1"/>
      <c r="EY1057" s="1"/>
      <c r="EZ1057" s="1"/>
      <c r="FA1057" s="1"/>
      <c r="FB1057" s="1"/>
      <c r="FC1057" s="1"/>
      <c r="FD1057" s="1"/>
      <c r="FE1057" s="1"/>
      <c r="FF1057" s="1"/>
      <c r="FG1057" s="1"/>
      <c r="FH1057" s="1"/>
      <c r="FI1057" s="1"/>
      <c r="FJ1057" s="1"/>
      <c r="FK1057" s="1"/>
      <c r="FL1057" s="1"/>
      <c r="FM1057" s="1"/>
      <c r="FN1057" s="1"/>
      <c r="FO1057" s="1"/>
      <c r="FP1057" s="1"/>
      <c r="FQ1057" s="1"/>
      <c r="FR1057" s="2"/>
      <c r="FS1057" s="1"/>
    </row>
    <row r="1058" spans="1:175" x14ac:dyDescent="0.3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R1058" s="1"/>
      <c r="S1058" s="1"/>
      <c r="T1058" s="1"/>
      <c r="U1058" s="1"/>
      <c r="V1058" s="1"/>
      <c r="Y1058" s="1"/>
      <c r="Z1058" s="2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  <c r="AL1058" s="1"/>
      <c r="AM1058" s="1"/>
      <c r="AN1058" s="1"/>
      <c r="AO1058" s="1"/>
      <c r="AP1058" s="1"/>
      <c r="AQ1058" s="1"/>
      <c r="AR1058" s="1"/>
      <c r="AS1058" s="1"/>
      <c r="AU1058" s="1"/>
      <c r="AW1058" s="1"/>
      <c r="AX1058" s="1"/>
      <c r="AY1058" s="1"/>
      <c r="AZ1058" s="1"/>
      <c r="BA1058" s="1"/>
      <c r="BC1058" s="1"/>
      <c r="BD1058" s="1"/>
      <c r="BE1058" s="1"/>
      <c r="BF1058" s="1"/>
      <c r="BG1058" s="1"/>
      <c r="BH1058" s="1"/>
      <c r="BI1058" s="1"/>
      <c r="BJ1058" s="1"/>
      <c r="BK1058" s="1"/>
      <c r="BL1058" s="1"/>
      <c r="BM1058" s="1"/>
      <c r="BN1058" s="1"/>
      <c r="BO1058" s="1"/>
      <c r="BP1058" s="1"/>
      <c r="BQ1058" s="1"/>
      <c r="BR1058" s="1"/>
      <c r="BS1058" s="1"/>
      <c r="BT1058" s="1"/>
      <c r="BU1058" s="1"/>
      <c r="BV1058" s="1"/>
      <c r="BW1058" s="1"/>
      <c r="BX1058" s="1"/>
      <c r="BY1058" s="1"/>
      <c r="BZ1058" s="1"/>
      <c r="CA1058" s="1"/>
      <c r="CB1058" s="1"/>
      <c r="CC1058" s="1"/>
      <c r="CD1058" s="1"/>
      <c r="CE1058" s="1"/>
      <c r="CF1058" s="1"/>
      <c r="CG1058" s="1"/>
      <c r="CH1058" s="1"/>
      <c r="CI1058" s="1"/>
      <c r="CJ1058" s="1"/>
      <c r="CK1058" s="1"/>
      <c r="CL1058" s="1"/>
      <c r="CM1058" s="1"/>
      <c r="CN1058" s="1"/>
      <c r="CO1058" s="1"/>
      <c r="CP1058" s="1"/>
      <c r="CQ1058" s="1"/>
      <c r="CR1058" s="1"/>
      <c r="CS1058" s="1"/>
      <c r="CT1058" s="1"/>
      <c r="CU1058" s="1"/>
      <c r="CV1058" s="1"/>
      <c r="CW1058" s="1"/>
      <c r="CX1058" s="1"/>
      <c r="CY1058" s="1"/>
      <c r="CZ1058" s="1"/>
      <c r="DA1058" s="1"/>
      <c r="DB1058" s="1"/>
      <c r="DC1058" s="1"/>
      <c r="DD1058" s="1"/>
      <c r="DE1058" s="1"/>
      <c r="DF1058" s="1"/>
      <c r="DG1058" s="1"/>
      <c r="DH1058" s="1"/>
      <c r="DI1058" s="1"/>
      <c r="DJ1058" s="1"/>
      <c r="DK1058" s="1"/>
      <c r="DL1058" s="1"/>
      <c r="DM1058" s="1"/>
      <c r="DN1058" s="1"/>
      <c r="DO1058" s="1"/>
      <c r="DP1058" s="1"/>
      <c r="DQ1058" s="1"/>
      <c r="DR1058" s="1"/>
      <c r="DS1058" s="1"/>
      <c r="DT1058" s="1"/>
      <c r="DU1058" s="1"/>
      <c r="DV1058" s="1"/>
      <c r="DW1058" s="1"/>
      <c r="DX1058" s="1"/>
      <c r="DY1058" s="1"/>
      <c r="DZ1058" s="1"/>
      <c r="EA1058" s="1"/>
      <c r="EB1058" s="1"/>
      <c r="EC1058" s="1"/>
      <c r="ED1058" s="1"/>
      <c r="EE1058" s="1"/>
      <c r="EF1058" s="1"/>
      <c r="EG1058" s="1"/>
      <c r="EH1058" s="1"/>
      <c r="EI1058" s="1"/>
      <c r="EJ1058" s="1"/>
      <c r="EK1058" s="1"/>
      <c r="EL1058" s="1"/>
      <c r="EM1058" s="1"/>
      <c r="EN1058" s="1"/>
      <c r="EO1058" s="1"/>
      <c r="EP1058" s="1"/>
      <c r="EQ1058" s="1"/>
      <c r="ER1058" s="1"/>
      <c r="ES1058" s="1"/>
      <c r="ET1058" s="1"/>
      <c r="EU1058" s="1"/>
      <c r="EV1058" s="1"/>
      <c r="EW1058" s="1"/>
      <c r="EX1058" s="1"/>
      <c r="EY1058" s="1"/>
      <c r="EZ1058" s="1"/>
      <c r="FA1058" s="1"/>
      <c r="FB1058" s="1"/>
      <c r="FC1058" s="1"/>
      <c r="FD1058" s="1"/>
      <c r="FE1058" s="1"/>
      <c r="FF1058" s="1"/>
      <c r="FG1058" s="1"/>
      <c r="FH1058" s="1"/>
      <c r="FI1058" s="1"/>
      <c r="FJ1058" s="1"/>
      <c r="FK1058" s="1"/>
      <c r="FL1058" s="1"/>
      <c r="FM1058" s="1"/>
      <c r="FN1058" s="1"/>
      <c r="FO1058" s="1"/>
      <c r="FP1058" s="1"/>
      <c r="FQ1058" s="1"/>
      <c r="FR1058" s="2"/>
      <c r="FS1058" s="1"/>
    </row>
    <row r="1059" spans="1:175" x14ac:dyDescent="0.3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R1059" s="1"/>
      <c r="S1059" s="1"/>
      <c r="T1059" s="1"/>
      <c r="U1059" s="1"/>
      <c r="V1059" s="1"/>
      <c r="Y1059" s="1"/>
      <c r="Z1059" s="2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  <c r="AL1059" s="1"/>
      <c r="AM1059" s="1"/>
      <c r="AN1059" s="1"/>
      <c r="AO1059" s="1"/>
      <c r="AP1059" s="1"/>
      <c r="AQ1059" s="1"/>
      <c r="AR1059" s="1"/>
      <c r="AS1059" s="1"/>
      <c r="AU1059" s="1"/>
      <c r="AW1059" s="1"/>
      <c r="AX1059" s="1"/>
      <c r="AY1059" s="1"/>
      <c r="AZ1059" s="1"/>
      <c r="BA1059" s="1"/>
      <c r="BC1059" s="1"/>
      <c r="BD1059" s="1"/>
      <c r="BE1059" s="1"/>
      <c r="BF1059" s="1"/>
      <c r="BG1059" s="1"/>
      <c r="BH1059" s="1"/>
      <c r="BI1059" s="1"/>
      <c r="BJ1059" s="1"/>
      <c r="BK1059" s="1"/>
      <c r="BL1059" s="1"/>
      <c r="BM1059" s="1"/>
      <c r="BN1059" s="1"/>
      <c r="BO1059" s="1"/>
      <c r="BP1059" s="1"/>
      <c r="BQ1059" s="1"/>
      <c r="BR1059" s="1"/>
      <c r="BS1059" s="1"/>
      <c r="BT1059" s="1"/>
      <c r="BU1059" s="1"/>
      <c r="BV1059" s="1"/>
      <c r="BW1059" s="1"/>
      <c r="BX1059" s="1"/>
      <c r="BY1059" s="1"/>
      <c r="BZ1059" s="1"/>
      <c r="CA1059" s="1"/>
      <c r="CB1059" s="1"/>
      <c r="CC1059" s="1"/>
      <c r="CD1059" s="1"/>
      <c r="CE1059" s="1"/>
      <c r="CF1059" s="1"/>
      <c r="CG1059" s="1"/>
      <c r="CH1059" s="1"/>
      <c r="CI1059" s="1"/>
      <c r="CJ1059" s="1"/>
      <c r="CK1059" s="1"/>
      <c r="CL1059" s="1"/>
      <c r="CM1059" s="1"/>
      <c r="CN1059" s="1"/>
      <c r="CO1059" s="1"/>
      <c r="CP1059" s="1"/>
      <c r="CQ1059" s="1"/>
      <c r="CR1059" s="1"/>
      <c r="CS1059" s="1"/>
      <c r="CT1059" s="1"/>
      <c r="CU1059" s="1"/>
      <c r="CV1059" s="1"/>
      <c r="CW1059" s="1"/>
      <c r="CX1059" s="1"/>
      <c r="CY1059" s="1"/>
      <c r="CZ1059" s="1"/>
      <c r="DA1059" s="1"/>
      <c r="DB1059" s="1"/>
      <c r="DC1059" s="1"/>
      <c r="DD1059" s="1"/>
      <c r="DE1059" s="1"/>
      <c r="DF1059" s="1"/>
      <c r="DG1059" s="1"/>
      <c r="DH1059" s="1"/>
      <c r="DI1059" s="1"/>
      <c r="DJ1059" s="1"/>
      <c r="DK1059" s="1"/>
      <c r="DL1059" s="1"/>
      <c r="DM1059" s="1"/>
      <c r="DN1059" s="1"/>
      <c r="DO1059" s="1"/>
      <c r="DP1059" s="1"/>
      <c r="DQ1059" s="1"/>
      <c r="DR1059" s="1"/>
      <c r="DS1059" s="1"/>
      <c r="DT1059" s="1"/>
      <c r="DU1059" s="1"/>
      <c r="DV1059" s="1"/>
      <c r="DW1059" s="1"/>
      <c r="DX1059" s="1"/>
      <c r="DY1059" s="1"/>
      <c r="DZ1059" s="1"/>
      <c r="EA1059" s="1"/>
      <c r="EB1059" s="1"/>
      <c r="EC1059" s="1"/>
      <c r="ED1059" s="1"/>
      <c r="EE1059" s="1"/>
      <c r="EF1059" s="1"/>
      <c r="EG1059" s="1"/>
      <c r="EH1059" s="1"/>
      <c r="EI1059" s="1"/>
      <c r="EJ1059" s="1"/>
      <c r="EK1059" s="1"/>
      <c r="EL1059" s="1"/>
      <c r="EM1059" s="1"/>
      <c r="EN1059" s="1"/>
      <c r="EO1059" s="1"/>
      <c r="EP1059" s="1"/>
      <c r="EQ1059" s="1"/>
      <c r="ER1059" s="1"/>
      <c r="ES1059" s="1"/>
      <c r="ET1059" s="1"/>
      <c r="EU1059" s="1"/>
      <c r="EV1059" s="1"/>
      <c r="EW1059" s="1"/>
      <c r="EX1059" s="1"/>
      <c r="EY1059" s="1"/>
      <c r="EZ1059" s="1"/>
      <c r="FA1059" s="1"/>
      <c r="FB1059" s="1"/>
      <c r="FC1059" s="1"/>
      <c r="FD1059" s="1"/>
      <c r="FE1059" s="1"/>
      <c r="FF1059" s="1"/>
      <c r="FG1059" s="1"/>
      <c r="FH1059" s="1"/>
      <c r="FI1059" s="1"/>
      <c r="FJ1059" s="1"/>
      <c r="FK1059" s="1"/>
      <c r="FL1059" s="1"/>
      <c r="FM1059" s="1"/>
      <c r="FN1059" s="1"/>
      <c r="FO1059" s="1"/>
      <c r="FP1059" s="1"/>
      <c r="FQ1059" s="1"/>
      <c r="FR1059" s="2"/>
      <c r="FS1059" s="1"/>
    </row>
    <row r="1060" spans="1:175" x14ac:dyDescent="0.3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R1060" s="1"/>
      <c r="S1060" s="1"/>
      <c r="T1060" s="1"/>
      <c r="U1060" s="1"/>
      <c r="V1060" s="1"/>
      <c r="Y1060" s="1"/>
      <c r="Z1060" s="2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  <c r="AL1060" s="1"/>
      <c r="AM1060" s="1"/>
      <c r="AN1060" s="1"/>
      <c r="AO1060" s="1"/>
      <c r="AP1060" s="1"/>
      <c r="AQ1060" s="1"/>
      <c r="AR1060" s="1"/>
      <c r="AS1060" s="1"/>
      <c r="AU1060" s="1"/>
      <c r="AW1060" s="1"/>
      <c r="AX1060" s="1"/>
      <c r="AY1060" s="1"/>
      <c r="AZ1060" s="1"/>
      <c r="BA1060" s="1"/>
      <c r="BC1060" s="1"/>
      <c r="BD1060" s="1"/>
      <c r="BE1060" s="1"/>
      <c r="BF1060" s="1"/>
      <c r="BG1060" s="1"/>
      <c r="BH1060" s="1"/>
      <c r="BI1060" s="1"/>
      <c r="BJ1060" s="1"/>
      <c r="BK1060" s="1"/>
      <c r="BL1060" s="1"/>
      <c r="BM1060" s="1"/>
      <c r="BN1060" s="1"/>
      <c r="BO1060" s="1"/>
      <c r="BP1060" s="1"/>
      <c r="BQ1060" s="1"/>
      <c r="BR1060" s="1"/>
      <c r="BS1060" s="1"/>
      <c r="BT1060" s="1"/>
      <c r="BU1060" s="1"/>
      <c r="BV1060" s="1"/>
      <c r="BW1060" s="1"/>
      <c r="BX1060" s="1"/>
      <c r="BY1060" s="1"/>
      <c r="BZ1060" s="1"/>
      <c r="CA1060" s="1"/>
      <c r="CB1060" s="1"/>
      <c r="CC1060" s="1"/>
      <c r="CD1060" s="1"/>
      <c r="CE1060" s="1"/>
      <c r="CF1060" s="1"/>
      <c r="CG1060" s="1"/>
      <c r="CH1060" s="1"/>
      <c r="CI1060" s="1"/>
      <c r="CJ1060" s="1"/>
      <c r="CK1060" s="1"/>
      <c r="CL1060" s="1"/>
      <c r="CM1060" s="1"/>
      <c r="CN1060" s="1"/>
      <c r="CO1060" s="1"/>
      <c r="CP1060" s="1"/>
      <c r="CQ1060" s="1"/>
      <c r="CR1060" s="1"/>
      <c r="CS1060" s="1"/>
      <c r="CT1060" s="1"/>
      <c r="CU1060" s="1"/>
      <c r="CV1060" s="1"/>
      <c r="CW1060" s="1"/>
      <c r="CX1060" s="1"/>
      <c r="CY1060" s="1"/>
      <c r="CZ1060" s="1"/>
      <c r="DA1060" s="1"/>
      <c r="DB1060" s="1"/>
      <c r="DC1060" s="1"/>
      <c r="DD1060" s="1"/>
      <c r="DE1060" s="1"/>
      <c r="DF1060" s="1"/>
      <c r="DG1060" s="1"/>
      <c r="DH1060" s="1"/>
      <c r="DI1060" s="1"/>
      <c r="DJ1060" s="1"/>
      <c r="DK1060" s="1"/>
      <c r="DL1060" s="1"/>
      <c r="DM1060" s="1"/>
      <c r="DN1060" s="1"/>
      <c r="DO1060" s="1"/>
      <c r="DP1060" s="1"/>
      <c r="DQ1060" s="1"/>
      <c r="DR1060" s="1"/>
      <c r="DS1060" s="1"/>
      <c r="DT1060" s="1"/>
      <c r="DU1060" s="1"/>
      <c r="DV1060" s="1"/>
      <c r="DW1060" s="1"/>
      <c r="DX1060" s="1"/>
      <c r="DY1060" s="1"/>
      <c r="DZ1060" s="1"/>
      <c r="EA1060" s="1"/>
      <c r="EB1060" s="1"/>
      <c r="EC1060" s="1"/>
      <c r="ED1060" s="1"/>
      <c r="EE1060" s="1"/>
      <c r="EF1060" s="1"/>
      <c r="EG1060" s="1"/>
      <c r="EH1060" s="1"/>
      <c r="EI1060" s="1"/>
      <c r="EJ1060" s="1"/>
      <c r="EK1060" s="1"/>
      <c r="EL1060" s="1"/>
      <c r="EM1060" s="1"/>
      <c r="EN1060" s="1"/>
      <c r="EO1060" s="1"/>
      <c r="EP1060" s="1"/>
      <c r="EQ1060" s="1"/>
      <c r="ER1060" s="1"/>
      <c r="ES1060" s="1"/>
      <c r="ET1060" s="1"/>
      <c r="EU1060" s="1"/>
      <c r="EV1060" s="1"/>
      <c r="EW1060" s="1"/>
      <c r="EX1060" s="1"/>
      <c r="EY1060" s="1"/>
      <c r="EZ1060" s="1"/>
      <c r="FA1060" s="1"/>
      <c r="FB1060" s="1"/>
      <c r="FC1060" s="1"/>
      <c r="FD1060" s="1"/>
      <c r="FE1060" s="1"/>
      <c r="FF1060" s="1"/>
      <c r="FG1060" s="1"/>
      <c r="FH1060" s="1"/>
      <c r="FI1060" s="1"/>
      <c r="FJ1060" s="1"/>
      <c r="FK1060" s="1"/>
      <c r="FL1060" s="1"/>
      <c r="FM1060" s="1"/>
      <c r="FN1060" s="1"/>
      <c r="FO1060" s="1"/>
      <c r="FP1060" s="1"/>
      <c r="FQ1060" s="1"/>
      <c r="FR1060" s="2"/>
      <c r="FS1060" s="1"/>
    </row>
    <row r="1061" spans="1:175" x14ac:dyDescent="0.3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R1061" s="1"/>
      <c r="S1061" s="1"/>
      <c r="T1061" s="1"/>
      <c r="U1061" s="1"/>
      <c r="V1061" s="1"/>
      <c r="Y1061" s="1"/>
      <c r="Z1061" s="2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  <c r="AL1061" s="1"/>
      <c r="AM1061" s="1"/>
      <c r="AN1061" s="1"/>
      <c r="AO1061" s="1"/>
      <c r="AP1061" s="1"/>
      <c r="AQ1061" s="1"/>
      <c r="AR1061" s="1"/>
      <c r="AS1061" s="1"/>
      <c r="AU1061" s="1"/>
      <c r="AW1061" s="1"/>
      <c r="AX1061" s="1"/>
      <c r="AY1061" s="1"/>
      <c r="AZ1061" s="1"/>
      <c r="BA1061" s="1"/>
      <c r="BC1061" s="1"/>
      <c r="BD1061" s="1"/>
      <c r="BE1061" s="1"/>
      <c r="BF1061" s="1"/>
      <c r="BG1061" s="1"/>
      <c r="BH1061" s="1"/>
      <c r="BI1061" s="1"/>
      <c r="BJ1061" s="1"/>
      <c r="BK1061" s="1"/>
      <c r="BL1061" s="1"/>
      <c r="BM1061" s="1"/>
      <c r="BN1061" s="1"/>
      <c r="BO1061" s="1"/>
      <c r="BP1061" s="1"/>
      <c r="BQ1061" s="1"/>
      <c r="BR1061" s="1"/>
      <c r="BS1061" s="1"/>
      <c r="BT1061" s="1"/>
      <c r="BU1061" s="1"/>
      <c r="BV1061" s="1"/>
      <c r="BW1061" s="1"/>
      <c r="BX1061" s="1"/>
      <c r="BY1061" s="1"/>
      <c r="BZ1061" s="1"/>
      <c r="CA1061" s="1"/>
      <c r="CB1061" s="1"/>
      <c r="CC1061" s="1"/>
      <c r="CD1061" s="1"/>
      <c r="CE1061" s="1"/>
      <c r="CF1061" s="1"/>
      <c r="CG1061" s="1"/>
      <c r="CH1061" s="1"/>
      <c r="CI1061" s="1"/>
      <c r="CJ1061" s="1"/>
      <c r="CK1061" s="1"/>
      <c r="CL1061" s="1"/>
      <c r="CM1061" s="1"/>
      <c r="CN1061" s="1"/>
      <c r="CO1061" s="1"/>
      <c r="CP1061" s="1"/>
      <c r="CQ1061" s="1"/>
      <c r="CR1061" s="1"/>
      <c r="CS1061" s="1"/>
      <c r="CT1061" s="1"/>
      <c r="CU1061" s="1"/>
      <c r="CV1061" s="1"/>
      <c r="CW1061" s="1"/>
      <c r="CX1061" s="1"/>
      <c r="CY1061" s="1"/>
      <c r="CZ1061" s="1"/>
      <c r="DA1061" s="1"/>
      <c r="DB1061" s="1"/>
      <c r="DC1061" s="1"/>
      <c r="DD1061" s="1"/>
      <c r="DE1061" s="1"/>
      <c r="DF1061" s="1"/>
      <c r="DG1061" s="1"/>
      <c r="DH1061" s="1"/>
      <c r="DI1061" s="1"/>
      <c r="DJ1061" s="1"/>
      <c r="DK1061" s="1"/>
      <c r="DL1061" s="1"/>
      <c r="DM1061" s="1"/>
      <c r="DN1061" s="1"/>
      <c r="DO1061" s="1"/>
      <c r="DP1061" s="1"/>
      <c r="DQ1061" s="1"/>
      <c r="DR1061" s="1"/>
      <c r="DS1061" s="1"/>
      <c r="DT1061" s="1"/>
      <c r="DU1061" s="1"/>
      <c r="DV1061" s="1"/>
      <c r="DW1061" s="1"/>
      <c r="DX1061" s="1"/>
      <c r="DY1061" s="1"/>
      <c r="DZ1061" s="1"/>
      <c r="EA1061" s="1"/>
      <c r="EB1061" s="1"/>
      <c r="EC1061" s="1"/>
      <c r="ED1061" s="1"/>
      <c r="EE1061" s="1"/>
      <c r="EF1061" s="1"/>
      <c r="EG1061" s="1"/>
      <c r="EH1061" s="1"/>
      <c r="EI1061" s="1"/>
      <c r="EJ1061" s="1"/>
      <c r="EK1061" s="1"/>
      <c r="EL1061" s="1"/>
      <c r="EM1061" s="1"/>
      <c r="EN1061" s="1"/>
      <c r="EO1061" s="1"/>
      <c r="EP1061" s="1"/>
      <c r="EQ1061" s="1"/>
      <c r="ER1061" s="1"/>
      <c r="ES1061" s="1"/>
      <c r="ET1061" s="1"/>
      <c r="EU1061" s="1"/>
      <c r="EV1061" s="1"/>
      <c r="EW1061" s="1"/>
      <c r="EX1061" s="1"/>
      <c r="EY1061" s="1"/>
      <c r="EZ1061" s="1"/>
      <c r="FA1061" s="1"/>
      <c r="FB1061" s="1"/>
      <c r="FC1061" s="1"/>
      <c r="FD1061" s="1"/>
      <c r="FE1061" s="1"/>
      <c r="FF1061" s="1"/>
      <c r="FG1061" s="1"/>
      <c r="FH1061" s="1"/>
      <c r="FI1061" s="1"/>
      <c r="FJ1061" s="1"/>
      <c r="FK1061" s="1"/>
      <c r="FL1061" s="1"/>
      <c r="FM1061" s="1"/>
      <c r="FN1061" s="1"/>
      <c r="FO1061" s="1"/>
      <c r="FP1061" s="1"/>
      <c r="FQ1061" s="1"/>
      <c r="FR1061" s="2"/>
      <c r="FS1061" s="1"/>
    </row>
    <row r="1062" spans="1:175" x14ac:dyDescent="0.3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R1062" s="1"/>
      <c r="S1062" s="1"/>
      <c r="T1062" s="1"/>
      <c r="U1062" s="1"/>
      <c r="V1062" s="1"/>
      <c r="Y1062" s="1"/>
      <c r="Z1062" s="2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/>
      <c r="AL1062" s="1"/>
      <c r="AM1062" s="1"/>
      <c r="AN1062" s="1"/>
      <c r="AO1062" s="1"/>
      <c r="AP1062" s="1"/>
      <c r="AQ1062" s="1"/>
      <c r="AR1062" s="1"/>
      <c r="AS1062" s="1"/>
      <c r="AU1062" s="1"/>
      <c r="AW1062" s="1"/>
      <c r="AX1062" s="1"/>
      <c r="AY1062" s="1"/>
      <c r="AZ1062" s="1"/>
      <c r="BA1062" s="1"/>
      <c r="BC1062" s="1"/>
      <c r="BD1062" s="1"/>
      <c r="BE1062" s="1"/>
      <c r="BF1062" s="1"/>
      <c r="BG1062" s="1"/>
      <c r="BH1062" s="1"/>
      <c r="BI1062" s="1"/>
      <c r="BJ1062" s="1"/>
      <c r="BK1062" s="1"/>
      <c r="BL1062" s="1"/>
      <c r="BM1062" s="1"/>
      <c r="BN1062" s="1"/>
      <c r="BO1062" s="1"/>
      <c r="BP1062" s="1"/>
      <c r="BQ1062" s="1"/>
      <c r="BR1062" s="1"/>
      <c r="BS1062" s="1"/>
      <c r="BT1062" s="1"/>
      <c r="BU1062" s="1"/>
      <c r="BV1062" s="1"/>
      <c r="BW1062" s="1"/>
      <c r="BX1062" s="1"/>
      <c r="BY1062" s="1"/>
      <c r="BZ1062" s="1"/>
      <c r="CA1062" s="1"/>
      <c r="CB1062" s="1"/>
      <c r="CC1062" s="1"/>
      <c r="CD1062" s="1"/>
      <c r="CE1062" s="1"/>
      <c r="CF1062" s="1"/>
      <c r="CG1062" s="1"/>
      <c r="CH1062" s="1"/>
      <c r="CI1062" s="1"/>
      <c r="CJ1062" s="1"/>
      <c r="CK1062" s="1"/>
      <c r="CL1062" s="1"/>
      <c r="CM1062" s="1"/>
      <c r="CN1062" s="1"/>
      <c r="CO1062" s="1"/>
      <c r="CP1062" s="1"/>
      <c r="CQ1062" s="1"/>
      <c r="CR1062" s="1"/>
      <c r="CS1062" s="1"/>
      <c r="CT1062" s="1"/>
      <c r="CU1062" s="1"/>
      <c r="CV1062" s="1"/>
      <c r="CW1062" s="1"/>
      <c r="CX1062" s="1"/>
      <c r="CY1062" s="1"/>
      <c r="CZ1062" s="1"/>
      <c r="DA1062" s="1"/>
      <c r="DB1062" s="1"/>
      <c r="DC1062" s="1"/>
      <c r="DD1062" s="1"/>
      <c r="DE1062" s="1"/>
      <c r="DF1062" s="1"/>
      <c r="DG1062" s="1"/>
      <c r="DH1062" s="1"/>
      <c r="DI1062" s="1"/>
      <c r="DJ1062" s="1"/>
      <c r="DK1062" s="1"/>
      <c r="DL1062" s="1"/>
      <c r="DM1062" s="1"/>
      <c r="DN1062" s="1"/>
      <c r="DO1062" s="1"/>
      <c r="DP1062" s="1"/>
      <c r="DQ1062" s="1"/>
      <c r="DR1062" s="1"/>
      <c r="DS1062" s="1"/>
      <c r="DT1062" s="1"/>
      <c r="DU1062" s="1"/>
      <c r="DV1062" s="1"/>
      <c r="DW1062" s="1"/>
      <c r="DX1062" s="1"/>
      <c r="DY1062" s="1"/>
      <c r="DZ1062" s="1"/>
      <c r="EA1062" s="1"/>
      <c r="EB1062" s="1"/>
      <c r="EC1062" s="1"/>
      <c r="ED1062" s="1"/>
      <c r="EE1062" s="1"/>
      <c r="EF1062" s="1"/>
      <c r="EG1062" s="1"/>
      <c r="EH1062" s="1"/>
      <c r="EI1062" s="1"/>
      <c r="EJ1062" s="1"/>
      <c r="EK1062" s="1"/>
      <c r="EL1062" s="1"/>
      <c r="EM1062" s="1"/>
      <c r="EN1062" s="1"/>
      <c r="EO1062" s="1"/>
      <c r="EP1062" s="1"/>
      <c r="EQ1062" s="1"/>
      <c r="ER1062" s="1"/>
      <c r="ES1062" s="1"/>
      <c r="ET1062" s="1"/>
      <c r="EU1062" s="1"/>
      <c r="EV1062" s="1"/>
      <c r="EW1062" s="1"/>
      <c r="EX1062" s="1"/>
      <c r="EY1062" s="1"/>
      <c r="EZ1062" s="1"/>
      <c r="FA1062" s="1"/>
      <c r="FB1062" s="1"/>
      <c r="FC1062" s="1"/>
      <c r="FD1062" s="1"/>
      <c r="FE1062" s="1"/>
      <c r="FF1062" s="1"/>
      <c r="FG1062" s="1"/>
      <c r="FH1062" s="1"/>
      <c r="FI1062" s="1"/>
      <c r="FJ1062" s="1"/>
      <c r="FK1062" s="1"/>
      <c r="FL1062" s="1"/>
      <c r="FM1062" s="1"/>
      <c r="FN1062" s="1"/>
      <c r="FO1062" s="1"/>
      <c r="FP1062" s="1"/>
      <c r="FQ1062" s="1"/>
      <c r="FR1062" s="2"/>
      <c r="FS1062" s="1"/>
    </row>
    <row r="1063" spans="1:175" x14ac:dyDescent="0.3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R1063" s="1"/>
      <c r="S1063" s="1"/>
      <c r="T1063" s="1"/>
      <c r="U1063" s="1"/>
      <c r="V1063" s="1"/>
      <c r="Y1063" s="1"/>
      <c r="Z1063" s="2"/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  <c r="AK1063" s="1"/>
      <c r="AL1063" s="1"/>
      <c r="AM1063" s="1"/>
      <c r="AN1063" s="1"/>
      <c r="AO1063" s="1"/>
      <c r="AP1063" s="1"/>
      <c r="AQ1063" s="1"/>
      <c r="AR1063" s="1"/>
      <c r="AS1063" s="1"/>
      <c r="AU1063" s="1"/>
      <c r="AW1063" s="1"/>
      <c r="AX1063" s="1"/>
      <c r="AY1063" s="1"/>
      <c r="AZ1063" s="1"/>
      <c r="BA1063" s="1"/>
      <c r="BC1063" s="1"/>
      <c r="BD1063" s="1"/>
      <c r="BE1063" s="1"/>
      <c r="BF1063" s="1"/>
      <c r="BG1063" s="1"/>
      <c r="BH1063" s="1"/>
      <c r="BI1063" s="1"/>
      <c r="BJ1063" s="1"/>
      <c r="BK1063" s="1"/>
      <c r="BL1063" s="1"/>
      <c r="BM1063" s="1"/>
      <c r="BN1063" s="1"/>
      <c r="BO1063" s="1"/>
      <c r="BP1063" s="1"/>
      <c r="BQ1063" s="1"/>
      <c r="BR1063" s="1"/>
      <c r="BS1063" s="1"/>
      <c r="BT1063" s="1"/>
      <c r="BU1063" s="1"/>
      <c r="BV1063" s="1"/>
      <c r="BW1063" s="1"/>
      <c r="BX1063" s="1"/>
      <c r="BY1063" s="1"/>
      <c r="BZ1063" s="1"/>
      <c r="CA1063" s="1"/>
      <c r="CB1063" s="1"/>
      <c r="CC1063" s="1"/>
      <c r="CD1063" s="1"/>
      <c r="CE1063" s="1"/>
      <c r="CF1063" s="1"/>
      <c r="CG1063" s="1"/>
      <c r="CH1063" s="1"/>
      <c r="CI1063" s="1"/>
      <c r="CJ1063" s="1"/>
      <c r="CK1063" s="1"/>
      <c r="CL1063" s="1"/>
      <c r="CM1063" s="1"/>
      <c r="CN1063" s="1"/>
      <c r="CO1063" s="1"/>
      <c r="CP1063" s="1"/>
      <c r="CQ1063" s="1"/>
      <c r="CR1063" s="1"/>
      <c r="CS1063" s="1"/>
      <c r="CT1063" s="1"/>
      <c r="CU1063" s="1"/>
      <c r="CV1063" s="1"/>
      <c r="CW1063" s="1"/>
      <c r="CX1063" s="1"/>
      <c r="CY1063" s="1"/>
      <c r="CZ1063" s="1"/>
      <c r="DA1063" s="1"/>
      <c r="DB1063" s="1"/>
      <c r="DC1063" s="1"/>
      <c r="DD1063" s="1"/>
      <c r="DE1063" s="1"/>
      <c r="DF1063" s="1"/>
      <c r="DG1063" s="1"/>
      <c r="DH1063" s="1"/>
      <c r="DI1063" s="1"/>
      <c r="DJ1063" s="1"/>
      <c r="DK1063" s="1"/>
      <c r="DL1063" s="1"/>
      <c r="DM1063" s="1"/>
      <c r="DN1063" s="1"/>
      <c r="DO1063" s="1"/>
      <c r="DP1063" s="1"/>
      <c r="DQ1063" s="1"/>
      <c r="DR1063" s="1"/>
      <c r="DS1063" s="1"/>
      <c r="DT1063" s="1"/>
      <c r="DU1063" s="1"/>
      <c r="DV1063" s="1"/>
      <c r="DW1063" s="1"/>
      <c r="DX1063" s="1"/>
      <c r="DY1063" s="1"/>
      <c r="DZ1063" s="1"/>
      <c r="EA1063" s="1"/>
      <c r="EB1063" s="1"/>
      <c r="EC1063" s="1"/>
      <c r="ED1063" s="1"/>
      <c r="EE1063" s="1"/>
      <c r="EF1063" s="1"/>
      <c r="EG1063" s="1"/>
      <c r="EH1063" s="1"/>
      <c r="EI1063" s="1"/>
      <c r="EJ1063" s="1"/>
      <c r="EK1063" s="1"/>
      <c r="EL1063" s="1"/>
      <c r="EM1063" s="1"/>
      <c r="EN1063" s="1"/>
      <c r="EO1063" s="1"/>
      <c r="EP1063" s="1"/>
      <c r="EQ1063" s="1"/>
      <c r="ER1063" s="1"/>
      <c r="ES1063" s="1"/>
      <c r="ET1063" s="1"/>
      <c r="EU1063" s="1"/>
      <c r="EV1063" s="1"/>
      <c r="EW1063" s="1"/>
      <c r="EX1063" s="1"/>
      <c r="EY1063" s="1"/>
      <c r="EZ1063" s="1"/>
      <c r="FA1063" s="1"/>
      <c r="FB1063" s="1"/>
      <c r="FC1063" s="1"/>
      <c r="FD1063" s="1"/>
      <c r="FE1063" s="1"/>
      <c r="FF1063" s="1"/>
      <c r="FG1063" s="1"/>
      <c r="FH1063" s="1"/>
      <c r="FI1063" s="1"/>
      <c r="FJ1063" s="1"/>
      <c r="FK1063" s="1"/>
      <c r="FL1063" s="1"/>
      <c r="FM1063" s="1"/>
      <c r="FN1063" s="1"/>
      <c r="FO1063" s="1"/>
      <c r="FP1063" s="1"/>
      <c r="FQ1063" s="1"/>
      <c r="FR1063" s="2"/>
      <c r="FS1063" s="1"/>
    </row>
    <row r="1064" spans="1:175" x14ac:dyDescent="0.3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R1064" s="1"/>
      <c r="S1064" s="1"/>
      <c r="T1064" s="1"/>
      <c r="U1064" s="1"/>
      <c r="V1064" s="1"/>
      <c r="Y1064" s="1"/>
      <c r="Z1064" s="2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  <c r="AL1064" s="1"/>
      <c r="AM1064" s="1"/>
      <c r="AN1064" s="1"/>
      <c r="AO1064" s="1"/>
      <c r="AP1064" s="1"/>
      <c r="AQ1064" s="1"/>
      <c r="AR1064" s="1"/>
      <c r="AS1064" s="1"/>
      <c r="AU1064" s="1"/>
      <c r="AW1064" s="1"/>
      <c r="AX1064" s="1"/>
      <c r="AY1064" s="1"/>
      <c r="AZ1064" s="1"/>
      <c r="BA1064" s="1"/>
      <c r="BC1064" s="1"/>
      <c r="BD1064" s="1"/>
      <c r="BE1064" s="1"/>
      <c r="BF1064" s="1"/>
      <c r="BG1064" s="1"/>
      <c r="BH1064" s="1"/>
      <c r="BI1064" s="1"/>
      <c r="BJ1064" s="1"/>
      <c r="BK1064" s="1"/>
      <c r="BL1064" s="1"/>
      <c r="BM1064" s="1"/>
      <c r="BN1064" s="1"/>
      <c r="BO1064" s="1"/>
      <c r="BP1064" s="1"/>
      <c r="BQ1064" s="1"/>
      <c r="BR1064" s="1"/>
      <c r="BS1064" s="1"/>
      <c r="BT1064" s="1"/>
      <c r="BU1064" s="1"/>
      <c r="BV1064" s="1"/>
      <c r="BW1064" s="1"/>
      <c r="BX1064" s="1"/>
      <c r="BY1064" s="1"/>
      <c r="BZ1064" s="1"/>
      <c r="CA1064" s="1"/>
      <c r="CB1064" s="1"/>
      <c r="CC1064" s="1"/>
      <c r="CD1064" s="1"/>
      <c r="CE1064" s="1"/>
      <c r="CF1064" s="1"/>
      <c r="CG1064" s="1"/>
      <c r="CH1064" s="1"/>
      <c r="CI1064" s="1"/>
      <c r="CJ1064" s="1"/>
      <c r="CK1064" s="1"/>
      <c r="CL1064" s="1"/>
      <c r="CM1064" s="1"/>
      <c r="CN1064" s="1"/>
      <c r="CO1064" s="1"/>
      <c r="CP1064" s="1"/>
      <c r="CQ1064" s="1"/>
      <c r="CR1064" s="1"/>
      <c r="CS1064" s="1"/>
      <c r="CT1064" s="1"/>
      <c r="CU1064" s="1"/>
      <c r="CV1064" s="1"/>
      <c r="CW1064" s="1"/>
      <c r="CX1064" s="1"/>
      <c r="CY1064" s="1"/>
      <c r="CZ1064" s="1"/>
      <c r="DA1064" s="1"/>
      <c r="DB1064" s="1"/>
      <c r="DC1064" s="1"/>
      <c r="DD1064" s="1"/>
      <c r="DE1064" s="1"/>
      <c r="DF1064" s="1"/>
      <c r="DG1064" s="1"/>
      <c r="DH1064" s="1"/>
      <c r="DI1064" s="1"/>
      <c r="DJ1064" s="1"/>
      <c r="DK1064" s="1"/>
      <c r="DL1064" s="1"/>
      <c r="DM1064" s="1"/>
      <c r="DN1064" s="1"/>
      <c r="DO1064" s="1"/>
      <c r="DP1064" s="1"/>
      <c r="DQ1064" s="1"/>
      <c r="DR1064" s="1"/>
      <c r="DS1064" s="1"/>
      <c r="DT1064" s="1"/>
      <c r="DU1064" s="1"/>
      <c r="DV1064" s="1"/>
      <c r="DW1064" s="1"/>
      <c r="DX1064" s="1"/>
      <c r="DY1064" s="1"/>
      <c r="DZ1064" s="1"/>
      <c r="EA1064" s="1"/>
      <c r="EB1064" s="1"/>
      <c r="EC1064" s="1"/>
      <c r="ED1064" s="1"/>
      <c r="EE1064" s="1"/>
      <c r="EF1064" s="1"/>
      <c r="EG1064" s="1"/>
      <c r="EH1064" s="1"/>
      <c r="EI1064" s="1"/>
      <c r="EJ1064" s="1"/>
      <c r="EK1064" s="1"/>
      <c r="EL1064" s="1"/>
      <c r="EM1064" s="1"/>
      <c r="EN1064" s="1"/>
      <c r="EO1064" s="1"/>
      <c r="EP1064" s="1"/>
      <c r="EQ1064" s="1"/>
      <c r="ER1064" s="1"/>
      <c r="ES1064" s="1"/>
      <c r="ET1064" s="1"/>
      <c r="EU1064" s="1"/>
      <c r="EV1064" s="1"/>
      <c r="EW1064" s="1"/>
      <c r="EX1064" s="1"/>
      <c r="EY1064" s="1"/>
      <c r="EZ1064" s="1"/>
      <c r="FA1064" s="1"/>
      <c r="FB1064" s="1"/>
      <c r="FC1064" s="1"/>
      <c r="FD1064" s="1"/>
      <c r="FE1064" s="1"/>
      <c r="FF1064" s="1"/>
      <c r="FG1064" s="1"/>
      <c r="FH1064" s="1"/>
      <c r="FI1064" s="1"/>
      <c r="FJ1064" s="1"/>
      <c r="FK1064" s="1"/>
      <c r="FL1064" s="1"/>
      <c r="FM1064" s="1"/>
      <c r="FN1064" s="1"/>
      <c r="FO1064" s="1"/>
      <c r="FP1064" s="1"/>
      <c r="FQ1064" s="1"/>
      <c r="FR1064" s="2"/>
      <c r="FS1064" s="1"/>
    </row>
    <row r="1065" spans="1:175" x14ac:dyDescent="0.3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R1065" s="1"/>
      <c r="S1065" s="1"/>
      <c r="T1065" s="1"/>
      <c r="U1065" s="1"/>
      <c r="V1065" s="1"/>
      <c r="Y1065" s="1"/>
      <c r="Z1065" s="2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/>
      <c r="AL1065" s="1"/>
      <c r="AM1065" s="1"/>
      <c r="AN1065" s="1"/>
      <c r="AO1065" s="1"/>
      <c r="AP1065" s="1"/>
      <c r="AQ1065" s="1"/>
      <c r="AR1065" s="1"/>
      <c r="AS1065" s="1"/>
      <c r="AU1065" s="1"/>
      <c r="AW1065" s="1"/>
      <c r="AX1065" s="1"/>
      <c r="AY1065" s="1"/>
      <c r="AZ1065" s="1"/>
      <c r="BA1065" s="1"/>
      <c r="BC1065" s="1"/>
      <c r="BD1065" s="1"/>
      <c r="BE1065" s="1"/>
      <c r="BF1065" s="1"/>
      <c r="BG1065" s="1"/>
      <c r="BH1065" s="1"/>
      <c r="BI1065" s="1"/>
      <c r="BJ1065" s="1"/>
      <c r="BK1065" s="1"/>
      <c r="BL1065" s="1"/>
      <c r="BM1065" s="1"/>
      <c r="BN1065" s="1"/>
      <c r="BO1065" s="1"/>
      <c r="BP1065" s="1"/>
      <c r="BQ1065" s="1"/>
      <c r="BR1065" s="1"/>
      <c r="BS1065" s="1"/>
      <c r="BT1065" s="1"/>
      <c r="BU1065" s="1"/>
      <c r="BV1065" s="1"/>
      <c r="BW1065" s="1"/>
      <c r="BX1065" s="1"/>
      <c r="BY1065" s="1"/>
      <c r="BZ1065" s="1"/>
      <c r="CA1065" s="1"/>
      <c r="CB1065" s="1"/>
      <c r="CC1065" s="1"/>
      <c r="CD1065" s="1"/>
      <c r="CE1065" s="1"/>
      <c r="CF1065" s="1"/>
      <c r="CG1065" s="1"/>
      <c r="CH1065" s="1"/>
      <c r="CI1065" s="1"/>
      <c r="CJ1065" s="1"/>
      <c r="CK1065" s="1"/>
      <c r="CL1065" s="1"/>
      <c r="CM1065" s="1"/>
      <c r="CN1065" s="1"/>
      <c r="CO1065" s="1"/>
      <c r="CP1065" s="1"/>
      <c r="CQ1065" s="1"/>
      <c r="CR1065" s="1"/>
      <c r="CS1065" s="1"/>
      <c r="CT1065" s="1"/>
      <c r="CU1065" s="1"/>
      <c r="CV1065" s="1"/>
      <c r="CW1065" s="1"/>
      <c r="CX1065" s="1"/>
      <c r="CY1065" s="1"/>
      <c r="CZ1065" s="1"/>
      <c r="DA1065" s="1"/>
      <c r="DB1065" s="1"/>
      <c r="DC1065" s="1"/>
      <c r="DD1065" s="1"/>
      <c r="DE1065" s="1"/>
      <c r="DF1065" s="1"/>
      <c r="DG1065" s="1"/>
      <c r="DH1065" s="1"/>
      <c r="DI1065" s="1"/>
      <c r="DJ1065" s="1"/>
      <c r="DK1065" s="1"/>
      <c r="DL1065" s="1"/>
      <c r="DM1065" s="1"/>
      <c r="DN1065" s="1"/>
      <c r="DO1065" s="1"/>
      <c r="DP1065" s="1"/>
      <c r="DQ1065" s="1"/>
      <c r="DR1065" s="1"/>
      <c r="DS1065" s="1"/>
      <c r="DT1065" s="1"/>
      <c r="DU1065" s="1"/>
      <c r="DV1065" s="1"/>
      <c r="DW1065" s="1"/>
      <c r="DX1065" s="1"/>
      <c r="DY1065" s="1"/>
      <c r="DZ1065" s="1"/>
      <c r="EA1065" s="1"/>
      <c r="EB1065" s="1"/>
      <c r="EC1065" s="1"/>
      <c r="ED1065" s="1"/>
      <c r="EE1065" s="1"/>
      <c r="EF1065" s="1"/>
      <c r="EG1065" s="1"/>
      <c r="EH1065" s="1"/>
      <c r="EI1065" s="1"/>
      <c r="EJ1065" s="1"/>
      <c r="EK1065" s="1"/>
      <c r="EL1065" s="1"/>
      <c r="EM1065" s="1"/>
      <c r="EN1065" s="1"/>
      <c r="EO1065" s="1"/>
      <c r="EP1065" s="1"/>
      <c r="EQ1065" s="1"/>
      <c r="ER1065" s="1"/>
      <c r="ES1065" s="1"/>
      <c r="ET1065" s="1"/>
      <c r="EU1065" s="1"/>
      <c r="EV1065" s="1"/>
      <c r="EW1065" s="1"/>
      <c r="EX1065" s="1"/>
      <c r="EY1065" s="1"/>
      <c r="EZ1065" s="1"/>
      <c r="FA1065" s="1"/>
      <c r="FB1065" s="1"/>
      <c r="FC1065" s="1"/>
      <c r="FD1065" s="1"/>
      <c r="FE1065" s="1"/>
      <c r="FF1065" s="1"/>
      <c r="FG1065" s="1"/>
      <c r="FH1065" s="1"/>
      <c r="FI1065" s="1"/>
      <c r="FJ1065" s="1"/>
      <c r="FK1065" s="1"/>
      <c r="FL1065" s="1"/>
      <c r="FM1065" s="1"/>
      <c r="FN1065" s="1"/>
      <c r="FO1065" s="1"/>
      <c r="FP1065" s="1"/>
      <c r="FQ1065" s="1"/>
      <c r="FR1065" s="2"/>
      <c r="FS1065" s="1"/>
    </row>
    <row r="1066" spans="1:175" x14ac:dyDescent="0.3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R1066" s="1"/>
      <c r="S1066" s="1"/>
      <c r="T1066" s="1"/>
      <c r="U1066" s="1"/>
      <c r="V1066" s="1"/>
      <c r="Y1066" s="1"/>
      <c r="Z1066" s="2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  <c r="AL1066" s="1"/>
      <c r="AM1066" s="1"/>
      <c r="AN1066" s="1"/>
      <c r="AO1066" s="1"/>
      <c r="AP1066" s="1"/>
      <c r="AQ1066" s="1"/>
      <c r="AR1066" s="1"/>
      <c r="AS1066" s="1"/>
      <c r="AU1066" s="1"/>
      <c r="AW1066" s="1"/>
      <c r="AX1066" s="1"/>
      <c r="AY1066" s="1"/>
      <c r="AZ1066" s="1"/>
      <c r="BA1066" s="1"/>
      <c r="BC1066" s="1"/>
      <c r="BD1066" s="1"/>
      <c r="BE1066" s="1"/>
      <c r="BF1066" s="1"/>
      <c r="BG1066" s="1"/>
      <c r="BH1066" s="1"/>
      <c r="BI1066" s="1"/>
      <c r="BJ1066" s="1"/>
      <c r="BK1066" s="1"/>
      <c r="BL1066" s="1"/>
      <c r="BM1066" s="1"/>
      <c r="BN1066" s="1"/>
      <c r="BO1066" s="1"/>
      <c r="BP1066" s="1"/>
      <c r="BQ1066" s="1"/>
      <c r="BR1066" s="1"/>
      <c r="BS1066" s="1"/>
      <c r="BT1066" s="1"/>
      <c r="BU1066" s="1"/>
      <c r="BV1066" s="1"/>
      <c r="BW1066" s="1"/>
      <c r="BX1066" s="1"/>
      <c r="BY1066" s="1"/>
      <c r="BZ1066" s="1"/>
      <c r="CA1066" s="1"/>
      <c r="CB1066" s="1"/>
      <c r="CC1066" s="1"/>
      <c r="CD1066" s="1"/>
      <c r="CE1066" s="1"/>
      <c r="CF1066" s="1"/>
      <c r="CG1066" s="1"/>
      <c r="CH1066" s="1"/>
      <c r="CI1066" s="1"/>
      <c r="CJ1066" s="1"/>
      <c r="CK1066" s="1"/>
      <c r="CL1066" s="1"/>
      <c r="CM1066" s="1"/>
      <c r="CN1066" s="1"/>
      <c r="CO1066" s="1"/>
      <c r="CP1066" s="1"/>
      <c r="CQ1066" s="1"/>
      <c r="CR1066" s="1"/>
      <c r="CS1066" s="1"/>
      <c r="CT1066" s="1"/>
      <c r="CU1066" s="1"/>
      <c r="CV1066" s="1"/>
      <c r="CW1066" s="1"/>
      <c r="CX1066" s="1"/>
      <c r="CY1066" s="1"/>
      <c r="CZ1066" s="1"/>
      <c r="DA1066" s="1"/>
      <c r="DB1066" s="1"/>
      <c r="DC1066" s="1"/>
      <c r="DD1066" s="1"/>
      <c r="DE1066" s="1"/>
      <c r="DF1066" s="1"/>
      <c r="DG1066" s="1"/>
      <c r="DH1066" s="1"/>
      <c r="DI1066" s="1"/>
      <c r="DJ1066" s="1"/>
      <c r="DK1066" s="1"/>
      <c r="DL1066" s="1"/>
      <c r="DM1066" s="1"/>
      <c r="DN1066" s="1"/>
      <c r="DO1066" s="1"/>
      <c r="DP1066" s="1"/>
      <c r="DQ1066" s="1"/>
      <c r="DR1066" s="1"/>
      <c r="DS1066" s="1"/>
      <c r="DT1066" s="1"/>
      <c r="DU1066" s="1"/>
      <c r="DV1066" s="1"/>
      <c r="DW1066" s="1"/>
      <c r="DX1066" s="1"/>
      <c r="DY1066" s="1"/>
      <c r="DZ1066" s="1"/>
      <c r="EA1066" s="1"/>
      <c r="EB1066" s="1"/>
      <c r="EC1066" s="1"/>
      <c r="ED1066" s="1"/>
      <c r="EE1066" s="1"/>
      <c r="EF1066" s="1"/>
      <c r="EG1066" s="1"/>
      <c r="EH1066" s="1"/>
      <c r="EI1066" s="1"/>
      <c r="EJ1066" s="1"/>
      <c r="EK1066" s="1"/>
      <c r="EL1066" s="1"/>
      <c r="EM1066" s="1"/>
      <c r="EN1066" s="1"/>
      <c r="EO1066" s="1"/>
      <c r="EP1066" s="1"/>
      <c r="EQ1066" s="1"/>
      <c r="ER1066" s="1"/>
      <c r="ES1066" s="1"/>
      <c r="ET1066" s="1"/>
      <c r="EU1066" s="1"/>
      <c r="EV1066" s="1"/>
      <c r="EW1066" s="1"/>
      <c r="EX1066" s="1"/>
      <c r="EY1066" s="1"/>
      <c r="EZ1066" s="1"/>
      <c r="FA1066" s="1"/>
      <c r="FB1066" s="1"/>
      <c r="FC1066" s="1"/>
      <c r="FD1066" s="1"/>
      <c r="FE1066" s="1"/>
      <c r="FF1066" s="1"/>
      <c r="FG1066" s="1"/>
      <c r="FH1066" s="1"/>
      <c r="FI1066" s="1"/>
      <c r="FJ1066" s="1"/>
      <c r="FK1066" s="1"/>
      <c r="FL1066" s="1"/>
      <c r="FM1066" s="1"/>
      <c r="FN1066" s="1"/>
      <c r="FO1066" s="1"/>
      <c r="FP1066" s="1"/>
      <c r="FQ1066" s="1"/>
      <c r="FR1066" s="2"/>
      <c r="FS1066" s="1"/>
    </row>
    <row r="1067" spans="1:175" x14ac:dyDescent="0.3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R1067" s="1"/>
      <c r="S1067" s="1"/>
      <c r="T1067" s="1"/>
      <c r="U1067" s="1"/>
      <c r="V1067" s="1"/>
      <c r="Y1067" s="1"/>
      <c r="Z1067" s="2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  <c r="AL1067" s="1"/>
      <c r="AM1067" s="1"/>
      <c r="AN1067" s="1"/>
      <c r="AO1067" s="1"/>
      <c r="AP1067" s="1"/>
      <c r="AQ1067" s="1"/>
      <c r="AR1067" s="1"/>
      <c r="AS1067" s="1"/>
      <c r="AU1067" s="1"/>
      <c r="AW1067" s="1"/>
      <c r="AX1067" s="1"/>
      <c r="AY1067" s="1"/>
      <c r="AZ1067" s="1"/>
      <c r="BA1067" s="1"/>
      <c r="BC1067" s="1"/>
      <c r="BD1067" s="1"/>
      <c r="BE1067" s="1"/>
      <c r="BF1067" s="1"/>
      <c r="BG1067" s="1"/>
      <c r="BH1067" s="1"/>
      <c r="BI1067" s="1"/>
      <c r="BJ1067" s="1"/>
      <c r="BK1067" s="1"/>
      <c r="BL1067" s="1"/>
      <c r="BM1067" s="1"/>
      <c r="BN1067" s="1"/>
      <c r="BO1067" s="1"/>
      <c r="BP1067" s="1"/>
      <c r="BQ1067" s="1"/>
      <c r="BR1067" s="1"/>
      <c r="BS1067" s="1"/>
      <c r="BT1067" s="1"/>
      <c r="BU1067" s="1"/>
      <c r="BV1067" s="1"/>
      <c r="BW1067" s="1"/>
      <c r="BX1067" s="1"/>
      <c r="BY1067" s="1"/>
      <c r="BZ1067" s="1"/>
      <c r="CA1067" s="1"/>
      <c r="CB1067" s="1"/>
      <c r="CC1067" s="1"/>
      <c r="CD1067" s="1"/>
      <c r="CE1067" s="1"/>
      <c r="CF1067" s="1"/>
      <c r="CG1067" s="1"/>
      <c r="CH1067" s="1"/>
      <c r="CI1067" s="1"/>
      <c r="CJ1067" s="1"/>
      <c r="CK1067" s="1"/>
      <c r="CL1067" s="1"/>
      <c r="CM1067" s="1"/>
      <c r="CN1067" s="1"/>
      <c r="CO1067" s="1"/>
      <c r="CP1067" s="1"/>
      <c r="CQ1067" s="1"/>
      <c r="CR1067" s="1"/>
      <c r="CS1067" s="1"/>
      <c r="CT1067" s="1"/>
      <c r="CU1067" s="1"/>
      <c r="CV1067" s="1"/>
      <c r="CW1067" s="1"/>
      <c r="CX1067" s="1"/>
      <c r="CY1067" s="1"/>
      <c r="CZ1067" s="1"/>
      <c r="DA1067" s="1"/>
      <c r="DB1067" s="1"/>
      <c r="DC1067" s="1"/>
      <c r="DD1067" s="1"/>
      <c r="DE1067" s="1"/>
      <c r="DF1067" s="1"/>
      <c r="DG1067" s="1"/>
      <c r="DH1067" s="1"/>
      <c r="DI1067" s="1"/>
      <c r="DJ1067" s="1"/>
      <c r="DK1067" s="1"/>
      <c r="DL1067" s="1"/>
      <c r="DM1067" s="1"/>
      <c r="DN1067" s="1"/>
      <c r="DO1067" s="1"/>
      <c r="DP1067" s="1"/>
      <c r="DQ1067" s="1"/>
      <c r="DR1067" s="1"/>
      <c r="DS1067" s="1"/>
      <c r="DT1067" s="1"/>
      <c r="DU1067" s="1"/>
      <c r="DV1067" s="1"/>
      <c r="DW1067" s="1"/>
      <c r="DX1067" s="1"/>
      <c r="DY1067" s="1"/>
      <c r="DZ1067" s="1"/>
      <c r="EA1067" s="1"/>
      <c r="EB1067" s="1"/>
      <c r="EC1067" s="1"/>
      <c r="ED1067" s="1"/>
      <c r="EE1067" s="1"/>
      <c r="EF1067" s="1"/>
      <c r="EG1067" s="1"/>
      <c r="EH1067" s="1"/>
      <c r="EI1067" s="1"/>
      <c r="EJ1067" s="1"/>
      <c r="EK1067" s="1"/>
      <c r="EL1067" s="1"/>
      <c r="EM1067" s="1"/>
      <c r="EN1067" s="1"/>
      <c r="EO1067" s="1"/>
      <c r="EP1067" s="1"/>
      <c r="EQ1067" s="1"/>
      <c r="ER1067" s="1"/>
      <c r="ES1067" s="1"/>
      <c r="ET1067" s="1"/>
      <c r="EU1067" s="1"/>
      <c r="EV1067" s="1"/>
      <c r="EW1067" s="1"/>
      <c r="EX1067" s="1"/>
      <c r="EY1067" s="1"/>
      <c r="EZ1067" s="1"/>
      <c r="FA1067" s="1"/>
      <c r="FB1067" s="1"/>
      <c r="FC1067" s="1"/>
      <c r="FD1067" s="1"/>
      <c r="FE1067" s="1"/>
      <c r="FF1067" s="1"/>
      <c r="FG1067" s="1"/>
      <c r="FH1067" s="1"/>
      <c r="FI1067" s="1"/>
      <c r="FJ1067" s="1"/>
      <c r="FK1067" s="1"/>
      <c r="FL1067" s="1"/>
      <c r="FM1067" s="1"/>
      <c r="FN1067" s="1"/>
      <c r="FO1067" s="1"/>
      <c r="FP1067" s="1"/>
      <c r="FQ1067" s="1"/>
      <c r="FR1067" s="2"/>
      <c r="FS1067" s="1"/>
    </row>
    <row r="1068" spans="1:175" x14ac:dyDescent="0.3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R1068" s="1"/>
      <c r="S1068" s="1"/>
      <c r="T1068" s="1"/>
      <c r="U1068" s="1"/>
      <c r="V1068" s="1"/>
      <c r="Y1068" s="1"/>
      <c r="Z1068" s="2"/>
      <c r="AA1068" s="1"/>
      <c r="AB1068" s="1"/>
      <c r="AC1068" s="1"/>
      <c r="AD1068" s="1"/>
      <c r="AE1068" s="1"/>
      <c r="AF1068" s="1"/>
      <c r="AG1068" s="1"/>
      <c r="AH1068" s="1"/>
      <c r="AI1068" s="1"/>
      <c r="AJ1068" s="1"/>
      <c r="AK1068" s="1"/>
      <c r="AL1068" s="1"/>
      <c r="AM1068" s="1"/>
      <c r="AN1068" s="1"/>
      <c r="AO1068" s="1"/>
      <c r="AP1068" s="1"/>
      <c r="AQ1068" s="1"/>
      <c r="AR1068" s="1"/>
      <c r="AS1068" s="1"/>
      <c r="AU1068" s="1"/>
      <c r="AW1068" s="1"/>
      <c r="AX1068" s="1"/>
      <c r="AY1068" s="1"/>
      <c r="AZ1068" s="1"/>
      <c r="BA1068" s="1"/>
      <c r="BC1068" s="1"/>
      <c r="BD1068" s="1"/>
      <c r="BE1068" s="1"/>
      <c r="BF1068" s="1"/>
      <c r="BG1068" s="1"/>
      <c r="BH1068" s="1"/>
      <c r="BI1068" s="1"/>
      <c r="BJ1068" s="1"/>
      <c r="BK1068" s="1"/>
      <c r="BL1068" s="1"/>
      <c r="BM1068" s="1"/>
      <c r="BN1068" s="1"/>
      <c r="BO1068" s="1"/>
      <c r="BP1068" s="1"/>
      <c r="BQ1068" s="1"/>
      <c r="BR1068" s="1"/>
      <c r="BS1068" s="1"/>
      <c r="BT1068" s="1"/>
      <c r="BU1068" s="1"/>
      <c r="BV1068" s="1"/>
      <c r="BW1068" s="1"/>
      <c r="BX1068" s="1"/>
      <c r="BY1068" s="1"/>
      <c r="BZ1068" s="1"/>
      <c r="CA1068" s="1"/>
      <c r="CB1068" s="1"/>
      <c r="CC1068" s="1"/>
      <c r="CD1068" s="1"/>
      <c r="CE1068" s="1"/>
      <c r="CF1068" s="1"/>
      <c r="CG1068" s="1"/>
      <c r="CH1068" s="1"/>
      <c r="CI1068" s="1"/>
      <c r="CJ1068" s="1"/>
      <c r="CK1068" s="1"/>
      <c r="CL1068" s="1"/>
      <c r="CM1068" s="1"/>
      <c r="CN1068" s="1"/>
      <c r="CO1068" s="1"/>
      <c r="CP1068" s="1"/>
      <c r="CQ1068" s="1"/>
      <c r="CR1068" s="1"/>
      <c r="CS1068" s="1"/>
      <c r="CT1068" s="1"/>
      <c r="CU1068" s="1"/>
      <c r="CV1068" s="1"/>
      <c r="CW1068" s="1"/>
      <c r="CX1068" s="1"/>
      <c r="CY1068" s="1"/>
      <c r="CZ1068" s="1"/>
      <c r="DA1068" s="1"/>
      <c r="DB1068" s="1"/>
      <c r="DC1068" s="1"/>
      <c r="DD1068" s="1"/>
      <c r="DE1068" s="1"/>
      <c r="DF1068" s="1"/>
      <c r="DG1068" s="1"/>
      <c r="DH1068" s="1"/>
      <c r="DI1068" s="1"/>
      <c r="DJ1068" s="1"/>
      <c r="DK1068" s="1"/>
      <c r="DL1068" s="1"/>
      <c r="DM1068" s="1"/>
      <c r="DN1068" s="1"/>
      <c r="DO1068" s="1"/>
      <c r="DP1068" s="1"/>
      <c r="DQ1068" s="1"/>
      <c r="DR1068" s="1"/>
      <c r="DS1068" s="1"/>
      <c r="DT1068" s="1"/>
      <c r="DU1068" s="1"/>
      <c r="DV1068" s="1"/>
      <c r="DW1068" s="1"/>
      <c r="DX1068" s="1"/>
      <c r="DY1068" s="1"/>
      <c r="DZ1068" s="1"/>
      <c r="EA1068" s="1"/>
      <c r="EB1068" s="1"/>
      <c r="EC1068" s="1"/>
      <c r="ED1068" s="1"/>
      <c r="EE1068" s="1"/>
      <c r="EF1068" s="1"/>
      <c r="EG1068" s="1"/>
      <c r="EH1068" s="1"/>
      <c r="EI1068" s="1"/>
      <c r="EJ1068" s="1"/>
      <c r="EK1068" s="1"/>
      <c r="EL1068" s="1"/>
      <c r="EM1068" s="1"/>
      <c r="EN1068" s="1"/>
      <c r="EO1068" s="1"/>
      <c r="EP1068" s="1"/>
      <c r="EQ1068" s="1"/>
      <c r="ER1068" s="1"/>
      <c r="ES1068" s="1"/>
      <c r="ET1068" s="1"/>
      <c r="EU1068" s="1"/>
      <c r="EV1068" s="1"/>
      <c r="EW1068" s="1"/>
      <c r="EX1068" s="1"/>
      <c r="EY1068" s="1"/>
      <c r="EZ1068" s="1"/>
      <c r="FA1068" s="1"/>
      <c r="FB1068" s="1"/>
      <c r="FC1068" s="1"/>
      <c r="FD1068" s="1"/>
      <c r="FE1068" s="1"/>
      <c r="FF1068" s="1"/>
      <c r="FG1068" s="1"/>
      <c r="FH1068" s="1"/>
      <c r="FI1068" s="1"/>
      <c r="FJ1068" s="1"/>
      <c r="FK1068" s="1"/>
      <c r="FL1068" s="1"/>
      <c r="FM1068" s="1"/>
      <c r="FN1068" s="1"/>
      <c r="FO1068" s="1"/>
      <c r="FP1068" s="1"/>
      <c r="FQ1068" s="1"/>
      <c r="FR1068" s="2"/>
      <c r="FS1068" s="1"/>
    </row>
    <row r="1069" spans="1:175" x14ac:dyDescent="0.3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R1069" s="1"/>
      <c r="S1069" s="1"/>
      <c r="T1069" s="1"/>
      <c r="U1069" s="1"/>
      <c r="V1069" s="1"/>
      <c r="Y1069" s="1"/>
      <c r="Z1069" s="2"/>
      <c r="AA1069" s="1"/>
      <c r="AB1069" s="1"/>
      <c r="AC1069" s="1"/>
      <c r="AD1069" s="1"/>
      <c r="AE1069" s="1"/>
      <c r="AF1069" s="1"/>
      <c r="AG1069" s="1"/>
      <c r="AH1069" s="1"/>
      <c r="AI1069" s="1"/>
      <c r="AJ1069" s="1"/>
      <c r="AK1069" s="1"/>
      <c r="AL1069" s="1"/>
      <c r="AM1069" s="1"/>
      <c r="AN1069" s="1"/>
      <c r="AO1069" s="1"/>
      <c r="AP1069" s="1"/>
      <c r="AQ1069" s="1"/>
      <c r="AR1069" s="1"/>
      <c r="AS1069" s="1"/>
      <c r="AU1069" s="1"/>
      <c r="AW1069" s="1"/>
      <c r="AX1069" s="1"/>
      <c r="AY1069" s="1"/>
      <c r="AZ1069" s="1"/>
      <c r="BA1069" s="1"/>
      <c r="BC1069" s="1"/>
      <c r="BD1069" s="1"/>
      <c r="BE1069" s="1"/>
      <c r="BF1069" s="1"/>
      <c r="BG1069" s="1"/>
      <c r="BH1069" s="1"/>
      <c r="BI1069" s="1"/>
      <c r="BJ1069" s="1"/>
      <c r="BK1069" s="1"/>
      <c r="BL1069" s="1"/>
      <c r="BM1069" s="1"/>
      <c r="BN1069" s="1"/>
      <c r="BO1069" s="1"/>
      <c r="BP1069" s="1"/>
      <c r="BQ1069" s="1"/>
      <c r="BR1069" s="1"/>
      <c r="BS1069" s="1"/>
      <c r="BT1069" s="1"/>
      <c r="BU1069" s="1"/>
      <c r="BV1069" s="1"/>
      <c r="BW1069" s="1"/>
      <c r="BX1069" s="1"/>
      <c r="BY1069" s="1"/>
      <c r="BZ1069" s="1"/>
      <c r="CA1069" s="1"/>
      <c r="CB1069" s="1"/>
      <c r="CC1069" s="1"/>
      <c r="CD1069" s="1"/>
      <c r="CE1069" s="1"/>
      <c r="CF1069" s="1"/>
      <c r="CG1069" s="1"/>
      <c r="CH1069" s="1"/>
      <c r="CI1069" s="1"/>
      <c r="CJ1069" s="1"/>
      <c r="CK1069" s="1"/>
      <c r="CL1069" s="1"/>
      <c r="CM1069" s="1"/>
      <c r="CN1069" s="1"/>
      <c r="CO1069" s="1"/>
      <c r="CP1069" s="1"/>
      <c r="CQ1069" s="1"/>
      <c r="CR1069" s="1"/>
      <c r="CS1069" s="1"/>
      <c r="CT1069" s="1"/>
      <c r="CU1069" s="1"/>
      <c r="CV1069" s="1"/>
      <c r="CW1069" s="1"/>
      <c r="CX1069" s="1"/>
      <c r="CY1069" s="1"/>
      <c r="CZ1069" s="1"/>
      <c r="DA1069" s="1"/>
      <c r="DB1069" s="1"/>
      <c r="DC1069" s="1"/>
      <c r="DD1069" s="1"/>
      <c r="DE1069" s="1"/>
      <c r="DF1069" s="1"/>
      <c r="DG1069" s="1"/>
      <c r="DH1069" s="1"/>
      <c r="DI1069" s="1"/>
      <c r="DJ1069" s="1"/>
      <c r="DK1069" s="1"/>
      <c r="DL1069" s="1"/>
      <c r="DM1069" s="1"/>
      <c r="DN1069" s="1"/>
      <c r="DO1069" s="1"/>
      <c r="DP1069" s="1"/>
      <c r="DQ1069" s="1"/>
      <c r="DR1069" s="1"/>
      <c r="DS1069" s="1"/>
      <c r="DT1069" s="1"/>
      <c r="DU1069" s="1"/>
      <c r="DV1069" s="1"/>
      <c r="DW1069" s="1"/>
      <c r="DX1069" s="1"/>
      <c r="DY1069" s="1"/>
      <c r="DZ1069" s="1"/>
      <c r="EA1069" s="1"/>
      <c r="EB1069" s="1"/>
      <c r="EC1069" s="1"/>
      <c r="ED1069" s="1"/>
      <c r="EE1069" s="1"/>
      <c r="EF1069" s="1"/>
      <c r="EG1069" s="1"/>
      <c r="EH1069" s="1"/>
      <c r="EI1069" s="1"/>
      <c r="EJ1069" s="1"/>
      <c r="EK1069" s="1"/>
      <c r="EL1069" s="1"/>
      <c r="EM1069" s="1"/>
      <c r="EN1069" s="1"/>
      <c r="EO1069" s="1"/>
      <c r="EP1069" s="1"/>
      <c r="EQ1069" s="1"/>
      <c r="ER1069" s="1"/>
      <c r="ES1069" s="1"/>
      <c r="ET1069" s="1"/>
      <c r="EU1069" s="1"/>
      <c r="EV1069" s="1"/>
      <c r="EW1069" s="1"/>
      <c r="EX1069" s="1"/>
      <c r="EY1069" s="1"/>
      <c r="EZ1069" s="1"/>
      <c r="FA1069" s="1"/>
      <c r="FB1069" s="1"/>
      <c r="FC1069" s="1"/>
      <c r="FD1069" s="1"/>
      <c r="FE1069" s="1"/>
      <c r="FF1069" s="1"/>
      <c r="FG1069" s="1"/>
      <c r="FH1069" s="1"/>
      <c r="FI1069" s="1"/>
      <c r="FJ1069" s="1"/>
      <c r="FK1069" s="1"/>
      <c r="FL1069" s="1"/>
      <c r="FM1069" s="1"/>
      <c r="FN1069" s="1"/>
      <c r="FO1069" s="1"/>
      <c r="FP1069" s="1"/>
      <c r="FQ1069" s="1"/>
      <c r="FR1069" s="2"/>
      <c r="FS1069" s="1"/>
    </row>
    <row r="1070" spans="1:175" x14ac:dyDescent="0.3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R1070" s="1"/>
      <c r="S1070" s="1"/>
      <c r="T1070" s="1"/>
      <c r="U1070" s="1"/>
      <c r="V1070" s="1"/>
      <c r="Y1070" s="1"/>
      <c r="Z1070" s="2"/>
      <c r="AA1070" s="1"/>
      <c r="AB1070" s="1"/>
      <c r="AC1070" s="1"/>
      <c r="AD1070" s="1"/>
      <c r="AE1070" s="1"/>
      <c r="AF1070" s="1"/>
      <c r="AG1070" s="1"/>
      <c r="AH1070" s="1"/>
      <c r="AI1070" s="1"/>
      <c r="AJ1070" s="1"/>
      <c r="AK1070" s="1"/>
      <c r="AL1070" s="1"/>
      <c r="AM1070" s="1"/>
      <c r="AN1070" s="1"/>
      <c r="AO1070" s="1"/>
      <c r="AP1070" s="1"/>
      <c r="AQ1070" s="1"/>
      <c r="AR1070" s="1"/>
      <c r="AS1070" s="1"/>
      <c r="AU1070" s="1"/>
      <c r="AW1070" s="1"/>
      <c r="AX1070" s="1"/>
      <c r="AY1070" s="1"/>
      <c r="AZ1070" s="1"/>
      <c r="BA1070" s="1"/>
      <c r="BC1070" s="1"/>
      <c r="BD1070" s="1"/>
      <c r="BE1070" s="1"/>
      <c r="BF1070" s="1"/>
      <c r="BG1070" s="1"/>
      <c r="BH1070" s="1"/>
      <c r="BI1070" s="1"/>
      <c r="BJ1070" s="1"/>
      <c r="BK1070" s="1"/>
      <c r="BL1070" s="1"/>
      <c r="BM1070" s="1"/>
      <c r="BN1070" s="1"/>
      <c r="BO1070" s="1"/>
      <c r="BP1070" s="1"/>
      <c r="BQ1070" s="1"/>
      <c r="BR1070" s="1"/>
      <c r="BS1070" s="1"/>
      <c r="BT1070" s="1"/>
      <c r="BU1070" s="1"/>
      <c r="BV1070" s="1"/>
      <c r="BW1070" s="1"/>
      <c r="BX1070" s="1"/>
      <c r="BY1070" s="1"/>
      <c r="BZ1070" s="1"/>
      <c r="CA1070" s="1"/>
      <c r="CB1070" s="1"/>
      <c r="CC1070" s="1"/>
      <c r="CD1070" s="1"/>
      <c r="CE1070" s="1"/>
      <c r="CF1070" s="1"/>
      <c r="CG1070" s="1"/>
      <c r="CH1070" s="1"/>
      <c r="CI1070" s="1"/>
      <c r="CJ1070" s="1"/>
      <c r="CK1070" s="1"/>
      <c r="CL1070" s="1"/>
      <c r="CM1070" s="1"/>
      <c r="CN1070" s="1"/>
      <c r="CO1070" s="1"/>
      <c r="CP1070" s="1"/>
      <c r="CQ1070" s="1"/>
      <c r="CR1070" s="1"/>
      <c r="CS1070" s="1"/>
      <c r="CT1070" s="1"/>
      <c r="CU1070" s="1"/>
      <c r="CV1070" s="1"/>
      <c r="CW1070" s="1"/>
      <c r="CX1070" s="1"/>
      <c r="CY1070" s="1"/>
      <c r="CZ1070" s="1"/>
      <c r="DA1070" s="1"/>
      <c r="DB1070" s="1"/>
      <c r="DC1070" s="1"/>
      <c r="DD1070" s="1"/>
      <c r="DE1070" s="1"/>
      <c r="DF1070" s="1"/>
      <c r="DG1070" s="1"/>
      <c r="DH1070" s="1"/>
      <c r="DI1070" s="1"/>
      <c r="DJ1070" s="1"/>
      <c r="DK1070" s="1"/>
      <c r="DL1070" s="1"/>
      <c r="DM1070" s="1"/>
      <c r="DN1070" s="1"/>
      <c r="DO1070" s="1"/>
      <c r="DP1070" s="1"/>
      <c r="DQ1070" s="1"/>
      <c r="DR1070" s="1"/>
      <c r="DS1070" s="1"/>
      <c r="DT1070" s="1"/>
      <c r="DU1070" s="1"/>
      <c r="DV1070" s="1"/>
      <c r="DW1070" s="1"/>
      <c r="DX1070" s="1"/>
      <c r="DY1070" s="1"/>
      <c r="DZ1070" s="1"/>
      <c r="EA1070" s="1"/>
      <c r="EB1070" s="1"/>
      <c r="EC1070" s="1"/>
      <c r="ED1070" s="1"/>
      <c r="EE1070" s="1"/>
      <c r="EF1070" s="1"/>
      <c r="EG1070" s="1"/>
      <c r="EH1070" s="1"/>
      <c r="EI1070" s="1"/>
      <c r="EJ1070" s="1"/>
      <c r="EK1070" s="1"/>
      <c r="EL1070" s="1"/>
      <c r="EM1070" s="1"/>
      <c r="EN1070" s="1"/>
      <c r="EO1070" s="1"/>
      <c r="EP1070" s="1"/>
      <c r="EQ1070" s="1"/>
      <c r="ER1070" s="1"/>
      <c r="ES1070" s="1"/>
      <c r="ET1070" s="1"/>
      <c r="EU1070" s="1"/>
      <c r="EV1070" s="1"/>
      <c r="EW1070" s="1"/>
      <c r="EX1070" s="1"/>
      <c r="EY1070" s="1"/>
      <c r="EZ1070" s="1"/>
      <c r="FA1070" s="1"/>
      <c r="FB1070" s="1"/>
      <c r="FC1070" s="1"/>
      <c r="FD1070" s="1"/>
      <c r="FE1070" s="1"/>
      <c r="FF1070" s="1"/>
      <c r="FG1070" s="1"/>
      <c r="FH1070" s="1"/>
      <c r="FI1070" s="1"/>
      <c r="FJ1070" s="1"/>
      <c r="FK1070" s="1"/>
      <c r="FL1070" s="1"/>
      <c r="FM1070" s="1"/>
      <c r="FN1070" s="1"/>
      <c r="FO1070" s="1"/>
      <c r="FP1070" s="1"/>
      <c r="FQ1070" s="1"/>
      <c r="FR1070" s="2"/>
      <c r="FS1070" s="1"/>
    </row>
    <row r="1071" spans="1:175" x14ac:dyDescent="0.3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R1071" s="1"/>
      <c r="S1071" s="1"/>
      <c r="T1071" s="1"/>
      <c r="U1071" s="1"/>
      <c r="V1071" s="1"/>
      <c r="Y1071" s="1"/>
      <c r="Z1071" s="2"/>
      <c r="AA1071" s="1"/>
      <c r="AB1071" s="1"/>
      <c r="AC1071" s="1"/>
      <c r="AD1071" s="1"/>
      <c r="AE1071" s="1"/>
      <c r="AF1071" s="1"/>
      <c r="AG1071" s="1"/>
      <c r="AH1071" s="1"/>
      <c r="AI1071" s="1"/>
      <c r="AJ1071" s="1"/>
      <c r="AK1071" s="1"/>
      <c r="AL1071" s="1"/>
      <c r="AM1071" s="1"/>
      <c r="AN1071" s="1"/>
      <c r="AO1071" s="1"/>
      <c r="AP1071" s="1"/>
      <c r="AQ1071" s="1"/>
      <c r="AR1071" s="1"/>
      <c r="AS1071" s="1"/>
      <c r="AU1071" s="1"/>
      <c r="AW1071" s="1"/>
      <c r="AX1071" s="1"/>
      <c r="AY1071" s="1"/>
      <c r="AZ1071" s="1"/>
      <c r="BA1071" s="1"/>
      <c r="BC1071" s="1"/>
      <c r="BD1071" s="1"/>
      <c r="BE1071" s="1"/>
      <c r="BF1071" s="1"/>
      <c r="BG1071" s="1"/>
      <c r="BH1071" s="1"/>
      <c r="BI1071" s="1"/>
      <c r="BJ1071" s="1"/>
      <c r="BK1071" s="1"/>
      <c r="BL1071" s="1"/>
      <c r="BM1071" s="1"/>
      <c r="BN1071" s="1"/>
      <c r="BO1071" s="1"/>
      <c r="BP1071" s="1"/>
      <c r="BQ1071" s="1"/>
      <c r="BR1071" s="1"/>
      <c r="BS1071" s="1"/>
      <c r="BT1071" s="1"/>
      <c r="BU1071" s="1"/>
      <c r="BV1071" s="1"/>
      <c r="BW1071" s="1"/>
      <c r="BX1071" s="1"/>
      <c r="BY1071" s="1"/>
      <c r="BZ1071" s="1"/>
      <c r="CA1071" s="1"/>
      <c r="CB1071" s="1"/>
      <c r="CC1071" s="1"/>
      <c r="CD1071" s="1"/>
      <c r="CE1071" s="1"/>
      <c r="CF1071" s="1"/>
      <c r="CG1071" s="1"/>
      <c r="CH1071" s="1"/>
      <c r="CI1071" s="1"/>
      <c r="CJ1071" s="1"/>
      <c r="CK1071" s="1"/>
      <c r="CL1071" s="1"/>
      <c r="CM1071" s="1"/>
      <c r="CN1071" s="1"/>
      <c r="CO1071" s="1"/>
      <c r="CP1071" s="1"/>
      <c r="CQ1071" s="1"/>
      <c r="CR1071" s="1"/>
      <c r="CS1071" s="1"/>
      <c r="CT1071" s="1"/>
      <c r="CU1071" s="1"/>
      <c r="CV1071" s="1"/>
      <c r="CW1071" s="1"/>
      <c r="CX1071" s="1"/>
      <c r="CY1071" s="1"/>
      <c r="CZ1071" s="1"/>
      <c r="DA1071" s="1"/>
      <c r="DB1071" s="1"/>
      <c r="DC1071" s="1"/>
      <c r="DD1071" s="1"/>
      <c r="DE1071" s="1"/>
      <c r="DF1071" s="1"/>
      <c r="DG1071" s="1"/>
      <c r="DH1071" s="1"/>
      <c r="DI1071" s="1"/>
      <c r="DJ1071" s="1"/>
      <c r="DK1071" s="1"/>
      <c r="DL1071" s="1"/>
      <c r="DM1071" s="1"/>
      <c r="DN1071" s="1"/>
      <c r="DO1071" s="1"/>
      <c r="DP1071" s="1"/>
      <c r="DQ1071" s="1"/>
      <c r="DR1071" s="1"/>
      <c r="DS1071" s="1"/>
      <c r="DT1071" s="1"/>
      <c r="DU1071" s="1"/>
      <c r="DV1071" s="1"/>
      <c r="DW1071" s="1"/>
      <c r="DX1071" s="1"/>
      <c r="DY1071" s="1"/>
      <c r="DZ1071" s="1"/>
      <c r="EA1071" s="1"/>
      <c r="EB1071" s="1"/>
      <c r="EC1071" s="1"/>
      <c r="ED1071" s="1"/>
      <c r="EE1071" s="1"/>
      <c r="EF1071" s="1"/>
      <c r="EG1071" s="1"/>
      <c r="EH1071" s="1"/>
      <c r="EI1071" s="1"/>
      <c r="EJ1071" s="1"/>
      <c r="EK1071" s="1"/>
      <c r="EL1071" s="1"/>
      <c r="EM1071" s="1"/>
      <c r="EN1071" s="1"/>
      <c r="EO1071" s="1"/>
      <c r="EP1071" s="1"/>
      <c r="EQ1071" s="1"/>
      <c r="ER1071" s="1"/>
      <c r="ES1071" s="1"/>
      <c r="ET1071" s="1"/>
      <c r="EU1071" s="1"/>
      <c r="EV1071" s="1"/>
      <c r="EW1071" s="1"/>
      <c r="EX1071" s="1"/>
      <c r="EY1071" s="1"/>
      <c r="EZ1071" s="1"/>
      <c r="FA1071" s="1"/>
      <c r="FB1071" s="1"/>
      <c r="FC1071" s="1"/>
      <c r="FD1071" s="1"/>
      <c r="FE1071" s="1"/>
      <c r="FF1071" s="1"/>
      <c r="FG1071" s="1"/>
      <c r="FH1071" s="1"/>
      <c r="FI1071" s="1"/>
      <c r="FJ1071" s="1"/>
      <c r="FK1071" s="1"/>
      <c r="FL1071" s="1"/>
      <c r="FM1071" s="1"/>
      <c r="FN1071" s="1"/>
      <c r="FO1071" s="1"/>
      <c r="FP1071" s="1"/>
      <c r="FQ1071" s="1"/>
      <c r="FR1071" s="2"/>
      <c r="FS1071" s="1"/>
    </row>
    <row r="1072" spans="1:175" x14ac:dyDescent="0.3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R1072" s="1"/>
      <c r="S1072" s="1"/>
      <c r="T1072" s="1"/>
      <c r="U1072" s="1"/>
      <c r="V1072" s="1"/>
      <c r="Y1072" s="1"/>
      <c r="Z1072" s="2"/>
      <c r="AA1072" s="1"/>
      <c r="AB1072" s="1"/>
      <c r="AC1072" s="1"/>
      <c r="AD1072" s="1"/>
      <c r="AE1072" s="1"/>
      <c r="AF1072" s="1"/>
      <c r="AG1072" s="1"/>
      <c r="AH1072" s="1"/>
      <c r="AI1072" s="1"/>
      <c r="AJ1072" s="1"/>
      <c r="AK1072" s="1"/>
      <c r="AL1072" s="1"/>
      <c r="AM1072" s="1"/>
      <c r="AN1072" s="1"/>
      <c r="AO1072" s="1"/>
      <c r="AP1072" s="1"/>
      <c r="AQ1072" s="1"/>
      <c r="AR1072" s="1"/>
      <c r="AS1072" s="1"/>
      <c r="AU1072" s="1"/>
      <c r="AW1072" s="1"/>
      <c r="AX1072" s="1"/>
      <c r="AY1072" s="1"/>
      <c r="AZ1072" s="1"/>
      <c r="BA1072" s="1"/>
      <c r="BC1072" s="1"/>
      <c r="BD1072" s="1"/>
      <c r="BE1072" s="1"/>
      <c r="BF1072" s="1"/>
      <c r="BG1072" s="1"/>
      <c r="BH1072" s="1"/>
      <c r="BI1072" s="1"/>
      <c r="BJ1072" s="1"/>
      <c r="BK1072" s="1"/>
      <c r="BL1072" s="1"/>
      <c r="BM1072" s="1"/>
      <c r="BN1072" s="1"/>
      <c r="BO1072" s="1"/>
      <c r="BP1072" s="1"/>
      <c r="BQ1072" s="1"/>
      <c r="BR1072" s="1"/>
      <c r="BS1072" s="1"/>
      <c r="BT1072" s="1"/>
      <c r="BU1072" s="1"/>
      <c r="BV1072" s="1"/>
      <c r="BW1072" s="1"/>
      <c r="BX1072" s="1"/>
      <c r="BY1072" s="1"/>
      <c r="BZ1072" s="1"/>
      <c r="CA1072" s="1"/>
      <c r="CB1072" s="1"/>
      <c r="CC1072" s="1"/>
      <c r="CD1072" s="1"/>
      <c r="CE1072" s="1"/>
      <c r="CF1072" s="1"/>
      <c r="CG1072" s="1"/>
      <c r="CH1072" s="1"/>
      <c r="CI1072" s="1"/>
      <c r="CJ1072" s="1"/>
      <c r="CK1072" s="1"/>
      <c r="CL1072" s="1"/>
      <c r="CM1072" s="1"/>
      <c r="CN1072" s="1"/>
      <c r="CO1072" s="1"/>
      <c r="CP1072" s="1"/>
      <c r="CQ1072" s="1"/>
      <c r="CR1072" s="1"/>
      <c r="CS1072" s="1"/>
      <c r="CT1072" s="1"/>
      <c r="CU1072" s="1"/>
      <c r="CV1072" s="1"/>
      <c r="CW1072" s="1"/>
      <c r="CX1072" s="1"/>
      <c r="CY1072" s="1"/>
      <c r="CZ1072" s="1"/>
      <c r="DA1072" s="1"/>
      <c r="DB1072" s="1"/>
      <c r="DC1072" s="1"/>
      <c r="DD1072" s="1"/>
      <c r="DE1072" s="1"/>
      <c r="DF1072" s="1"/>
      <c r="DG1072" s="1"/>
      <c r="DH1072" s="1"/>
      <c r="DI1072" s="1"/>
      <c r="DJ1072" s="1"/>
      <c r="DK1072" s="1"/>
      <c r="DL1072" s="1"/>
      <c r="DM1072" s="1"/>
      <c r="DN1072" s="1"/>
      <c r="DO1072" s="1"/>
      <c r="DP1072" s="1"/>
      <c r="DQ1072" s="1"/>
      <c r="DR1072" s="1"/>
      <c r="DS1072" s="1"/>
      <c r="DT1072" s="1"/>
      <c r="DU1072" s="1"/>
      <c r="DV1072" s="1"/>
      <c r="DW1072" s="1"/>
      <c r="DX1072" s="1"/>
      <c r="DY1072" s="1"/>
      <c r="DZ1072" s="1"/>
      <c r="EA1072" s="1"/>
      <c r="EB1072" s="1"/>
      <c r="EC1072" s="1"/>
      <c r="ED1072" s="1"/>
      <c r="EE1072" s="1"/>
      <c r="EF1072" s="1"/>
      <c r="EG1072" s="1"/>
      <c r="EH1072" s="1"/>
      <c r="EI1072" s="1"/>
      <c r="EJ1072" s="1"/>
      <c r="EK1072" s="1"/>
      <c r="EL1072" s="1"/>
      <c r="EM1072" s="1"/>
      <c r="EN1072" s="1"/>
      <c r="EO1072" s="1"/>
      <c r="EP1072" s="1"/>
      <c r="EQ1072" s="1"/>
      <c r="ER1072" s="1"/>
      <c r="ES1072" s="1"/>
      <c r="ET1072" s="1"/>
      <c r="EU1072" s="1"/>
      <c r="EV1072" s="1"/>
      <c r="EW1072" s="1"/>
      <c r="EX1072" s="1"/>
      <c r="EY1072" s="1"/>
      <c r="EZ1072" s="1"/>
      <c r="FA1072" s="1"/>
      <c r="FB1072" s="1"/>
      <c r="FC1072" s="1"/>
      <c r="FD1072" s="1"/>
      <c r="FE1072" s="1"/>
      <c r="FF1072" s="1"/>
      <c r="FG1072" s="1"/>
      <c r="FH1072" s="1"/>
      <c r="FI1072" s="1"/>
      <c r="FJ1072" s="1"/>
      <c r="FK1072" s="1"/>
      <c r="FL1072" s="1"/>
      <c r="FM1072" s="1"/>
      <c r="FN1072" s="1"/>
      <c r="FO1072" s="1"/>
      <c r="FP1072" s="1"/>
      <c r="FQ1072" s="1"/>
      <c r="FR1072" s="2"/>
      <c r="FS1072" s="1"/>
    </row>
    <row r="1073" spans="1:175" x14ac:dyDescent="0.3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R1073" s="1"/>
      <c r="S1073" s="1"/>
      <c r="T1073" s="1"/>
      <c r="U1073" s="1"/>
      <c r="V1073" s="1"/>
      <c r="Y1073" s="1"/>
      <c r="Z1073" s="2"/>
      <c r="AA1073" s="1"/>
      <c r="AB1073" s="1"/>
      <c r="AC1073" s="1"/>
      <c r="AD1073" s="1"/>
      <c r="AE1073" s="1"/>
      <c r="AF1073" s="1"/>
      <c r="AG1073" s="1"/>
      <c r="AH1073" s="1"/>
      <c r="AI1073" s="1"/>
      <c r="AJ1073" s="1"/>
      <c r="AK1073" s="1"/>
      <c r="AL1073" s="1"/>
      <c r="AM1073" s="1"/>
      <c r="AN1073" s="1"/>
      <c r="AO1073" s="1"/>
      <c r="AP1073" s="1"/>
      <c r="AQ1073" s="1"/>
      <c r="AR1073" s="1"/>
      <c r="AS1073" s="1"/>
      <c r="AU1073" s="1"/>
      <c r="AW1073" s="1"/>
      <c r="AX1073" s="1"/>
      <c r="AY1073" s="1"/>
      <c r="AZ1073" s="1"/>
      <c r="BA1073" s="1"/>
      <c r="BC1073" s="1"/>
      <c r="BD1073" s="1"/>
      <c r="BE1073" s="1"/>
      <c r="BF1073" s="1"/>
      <c r="BG1073" s="1"/>
      <c r="BH1073" s="1"/>
      <c r="BI1073" s="1"/>
      <c r="BJ1073" s="1"/>
      <c r="BK1073" s="1"/>
      <c r="BL1073" s="1"/>
      <c r="BM1073" s="1"/>
      <c r="BN1073" s="1"/>
      <c r="BO1073" s="1"/>
      <c r="BP1073" s="1"/>
      <c r="BQ1073" s="1"/>
      <c r="BR1073" s="1"/>
      <c r="BS1073" s="1"/>
      <c r="BT1073" s="1"/>
      <c r="BU1073" s="1"/>
      <c r="BV1073" s="1"/>
      <c r="BW1073" s="1"/>
      <c r="BX1073" s="1"/>
      <c r="BY1073" s="1"/>
      <c r="BZ1073" s="1"/>
      <c r="CA1073" s="1"/>
      <c r="CB1073" s="1"/>
      <c r="CC1073" s="1"/>
      <c r="CD1073" s="1"/>
      <c r="CE1073" s="1"/>
      <c r="CF1073" s="1"/>
      <c r="CG1073" s="1"/>
      <c r="CH1073" s="1"/>
      <c r="CI1073" s="1"/>
      <c r="CJ1073" s="1"/>
      <c r="CK1073" s="1"/>
      <c r="CL1073" s="1"/>
      <c r="CM1073" s="1"/>
      <c r="CN1073" s="1"/>
      <c r="CO1073" s="1"/>
      <c r="CP1073" s="1"/>
      <c r="CQ1073" s="1"/>
      <c r="CR1073" s="1"/>
      <c r="CS1073" s="1"/>
      <c r="CT1073" s="1"/>
      <c r="CU1073" s="1"/>
      <c r="CV1073" s="1"/>
      <c r="CW1073" s="1"/>
      <c r="CX1073" s="1"/>
      <c r="CY1073" s="1"/>
      <c r="CZ1073" s="1"/>
      <c r="DA1073" s="1"/>
      <c r="DB1073" s="1"/>
      <c r="DC1073" s="1"/>
      <c r="DD1073" s="1"/>
      <c r="DE1073" s="1"/>
      <c r="DF1073" s="1"/>
      <c r="DG1073" s="1"/>
      <c r="DH1073" s="1"/>
      <c r="DI1073" s="1"/>
      <c r="DJ1073" s="1"/>
      <c r="DK1073" s="1"/>
      <c r="DL1073" s="1"/>
      <c r="DM1073" s="1"/>
      <c r="DN1073" s="1"/>
      <c r="DO1073" s="1"/>
      <c r="DP1073" s="1"/>
      <c r="DQ1073" s="1"/>
      <c r="DR1073" s="1"/>
      <c r="DS1073" s="1"/>
      <c r="DT1073" s="1"/>
      <c r="DU1073" s="1"/>
      <c r="DV1073" s="1"/>
      <c r="DW1073" s="1"/>
      <c r="DX1073" s="1"/>
      <c r="DY1073" s="1"/>
      <c r="DZ1073" s="1"/>
      <c r="EA1073" s="1"/>
      <c r="EB1073" s="1"/>
      <c r="EC1073" s="1"/>
      <c r="ED1073" s="1"/>
      <c r="EE1073" s="1"/>
      <c r="EF1073" s="1"/>
      <c r="EG1073" s="1"/>
      <c r="EH1073" s="1"/>
      <c r="EI1073" s="1"/>
      <c r="EJ1073" s="1"/>
      <c r="EK1073" s="1"/>
      <c r="EL1073" s="1"/>
      <c r="EM1073" s="1"/>
      <c r="EN1073" s="1"/>
      <c r="EO1073" s="1"/>
      <c r="EP1073" s="1"/>
      <c r="EQ1073" s="1"/>
      <c r="ER1073" s="1"/>
      <c r="ES1073" s="1"/>
      <c r="ET1073" s="1"/>
      <c r="EU1073" s="1"/>
      <c r="EV1073" s="1"/>
      <c r="EW1073" s="1"/>
      <c r="EX1073" s="1"/>
      <c r="EY1073" s="1"/>
      <c r="EZ1073" s="1"/>
      <c r="FA1073" s="1"/>
      <c r="FB1073" s="1"/>
      <c r="FC1073" s="1"/>
      <c r="FD1073" s="1"/>
      <c r="FE1073" s="1"/>
      <c r="FF1073" s="1"/>
      <c r="FG1073" s="1"/>
      <c r="FH1073" s="1"/>
      <c r="FI1073" s="1"/>
      <c r="FJ1073" s="1"/>
      <c r="FK1073" s="1"/>
      <c r="FL1073" s="1"/>
      <c r="FM1073" s="1"/>
      <c r="FN1073" s="1"/>
      <c r="FO1073" s="1"/>
      <c r="FP1073" s="1"/>
      <c r="FQ1073" s="1"/>
      <c r="FR1073" s="2"/>
      <c r="FS1073" s="1"/>
    </row>
    <row r="1074" spans="1:175" x14ac:dyDescent="0.3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R1074" s="1"/>
      <c r="S1074" s="1"/>
      <c r="T1074" s="1"/>
      <c r="U1074" s="1"/>
      <c r="V1074" s="1"/>
      <c r="Y1074" s="1"/>
      <c r="Z1074" s="2"/>
      <c r="AA1074" s="1"/>
      <c r="AB1074" s="1"/>
      <c r="AC1074" s="1"/>
      <c r="AD1074" s="1"/>
      <c r="AE1074" s="1"/>
      <c r="AF1074" s="1"/>
      <c r="AG1074" s="1"/>
      <c r="AH1074" s="1"/>
      <c r="AI1074" s="1"/>
      <c r="AJ1074" s="1"/>
      <c r="AK1074" s="1"/>
      <c r="AL1074" s="1"/>
      <c r="AM1074" s="1"/>
      <c r="AN1074" s="1"/>
      <c r="AO1074" s="1"/>
      <c r="AP1074" s="1"/>
      <c r="AQ1074" s="1"/>
      <c r="AR1074" s="1"/>
      <c r="AS1074" s="1"/>
      <c r="AU1074" s="1"/>
      <c r="AW1074" s="1"/>
      <c r="AX1074" s="1"/>
      <c r="AY1074" s="1"/>
      <c r="AZ1074" s="1"/>
      <c r="BA1074" s="1"/>
      <c r="BC1074" s="1"/>
      <c r="BD1074" s="1"/>
      <c r="BE1074" s="1"/>
      <c r="BF1074" s="1"/>
      <c r="BG1074" s="1"/>
      <c r="BH1074" s="1"/>
      <c r="BI1074" s="1"/>
      <c r="BJ1074" s="1"/>
      <c r="BK1074" s="1"/>
      <c r="BL1074" s="1"/>
      <c r="BM1074" s="1"/>
      <c r="BN1074" s="1"/>
      <c r="BO1074" s="1"/>
      <c r="BP1074" s="1"/>
      <c r="BQ1074" s="1"/>
      <c r="BR1074" s="1"/>
      <c r="BS1074" s="1"/>
      <c r="BT1074" s="1"/>
      <c r="BU1074" s="1"/>
      <c r="BV1074" s="1"/>
      <c r="BW1074" s="1"/>
      <c r="BX1074" s="1"/>
      <c r="BY1074" s="1"/>
      <c r="BZ1074" s="1"/>
      <c r="CA1074" s="1"/>
      <c r="CB1074" s="1"/>
      <c r="CC1074" s="1"/>
      <c r="CD1074" s="1"/>
      <c r="CE1074" s="1"/>
      <c r="CF1074" s="1"/>
      <c r="CG1074" s="1"/>
      <c r="CH1074" s="1"/>
      <c r="CI1074" s="1"/>
      <c r="CJ1074" s="1"/>
      <c r="CK1074" s="1"/>
      <c r="CL1074" s="1"/>
      <c r="CM1074" s="1"/>
      <c r="CN1074" s="1"/>
      <c r="CO1074" s="1"/>
      <c r="CP1074" s="1"/>
      <c r="CQ1074" s="1"/>
      <c r="CR1074" s="1"/>
      <c r="CS1074" s="1"/>
      <c r="CT1074" s="1"/>
      <c r="CU1074" s="1"/>
      <c r="CV1074" s="1"/>
      <c r="CW1074" s="1"/>
      <c r="CX1074" s="1"/>
      <c r="CY1074" s="1"/>
      <c r="CZ1074" s="1"/>
      <c r="DA1074" s="1"/>
      <c r="DB1074" s="1"/>
      <c r="DC1074" s="1"/>
      <c r="DD1074" s="1"/>
      <c r="DE1074" s="1"/>
      <c r="DF1074" s="1"/>
      <c r="DG1074" s="1"/>
      <c r="DH1074" s="1"/>
      <c r="DI1074" s="1"/>
      <c r="DJ1074" s="1"/>
      <c r="DK1074" s="1"/>
      <c r="DL1074" s="1"/>
      <c r="DM1074" s="1"/>
      <c r="DN1074" s="1"/>
      <c r="DO1074" s="1"/>
      <c r="DP1074" s="1"/>
      <c r="DQ1074" s="1"/>
      <c r="DR1074" s="1"/>
      <c r="DS1074" s="1"/>
      <c r="DT1074" s="1"/>
      <c r="DU1074" s="1"/>
      <c r="DV1074" s="1"/>
      <c r="DW1074" s="1"/>
      <c r="DX1074" s="1"/>
      <c r="DY1074" s="1"/>
      <c r="DZ1074" s="1"/>
      <c r="EA1074" s="1"/>
      <c r="EB1074" s="1"/>
      <c r="EC1074" s="1"/>
      <c r="ED1074" s="1"/>
      <c r="EE1074" s="1"/>
      <c r="EF1074" s="1"/>
      <c r="EG1074" s="1"/>
      <c r="EH1074" s="1"/>
      <c r="EI1074" s="1"/>
      <c r="EJ1074" s="1"/>
      <c r="EK1074" s="1"/>
      <c r="EL1074" s="1"/>
      <c r="EM1074" s="1"/>
      <c r="EN1074" s="1"/>
      <c r="EO1074" s="1"/>
      <c r="EP1074" s="1"/>
      <c r="EQ1074" s="1"/>
      <c r="ER1074" s="1"/>
      <c r="ES1074" s="1"/>
      <c r="ET1074" s="1"/>
      <c r="EU1074" s="1"/>
      <c r="EV1074" s="1"/>
      <c r="EW1074" s="1"/>
      <c r="EX1074" s="1"/>
      <c r="EY1074" s="1"/>
      <c r="EZ1074" s="1"/>
      <c r="FA1074" s="1"/>
      <c r="FB1074" s="1"/>
      <c r="FC1074" s="1"/>
      <c r="FD1074" s="1"/>
      <c r="FE1074" s="1"/>
      <c r="FF1074" s="1"/>
      <c r="FG1074" s="1"/>
      <c r="FH1074" s="1"/>
      <c r="FI1074" s="1"/>
      <c r="FJ1074" s="1"/>
      <c r="FK1074" s="1"/>
      <c r="FL1074" s="1"/>
      <c r="FM1074" s="1"/>
      <c r="FN1074" s="1"/>
      <c r="FO1074" s="1"/>
      <c r="FP1074" s="1"/>
      <c r="FQ1074" s="1"/>
      <c r="FR1074" s="2"/>
      <c r="FS1074" s="1"/>
    </row>
    <row r="1075" spans="1:175" x14ac:dyDescent="0.3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R1075" s="1"/>
      <c r="S1075" s="1"/>
      <c r="T1075" s="1"/>
      <c r="U1075" s="1"/>
      <c r="V1075" s="1"/>
      <c r="Y1075" s="1"/>
      <c r="Z1075" s="2"/>
      <c r="AA1075" s="1"/>
      <c r="AB1075" s="1"/>
      <c r="AC1075" s="1"/>
      <c r="AD1075" s="1"/>
      <c r="AE1075" s="1"/>
      <c r="AF1075" s="1"/>
      <c r="AG1075" s="1"/>
      <c r="AH1075" s="1"/>
      <c r="AI1075" s="1"/>
      <c r="AJ1075" s="1"/>
      <c r="AK1075" s="1"/>
      <c r="AL1075" s="1"/>
      <c r="AM1075" s="1"/>
      <c r="AN1075" s="1"/>
      <c r="AO1075" s="1"/>
      <c r="AP1075" s="1"/>
      <c r="AQ1075" s="1"/>
      <c r="AR1075" s="1"/>
      <c r="AS1075" s="1"/>
      <c r="AU1075" s="1"/>
      <c r="AW1075" s="1"/>
      <c r="AX1075" s="1"/>
      <c r="AY1075" s="1"/>
      <c r="AZ1075" s="1"/>
      <c r="BA1075" s="1"/>
      <c r="BC1075" s="1"/>
      <c r="BD1075" s="1"/>
      <c r="BE1075" s="1"/>
      <c r="BF1075" s="1"/>
      <c r="BG1075" s="1"/>
      <c r="BH1075" s="1"/>
      <c r="BI1075" s="1"/>
      <c r="BJ1075" s="1"/>
      <c r="BK1075" s="1"/>
      <c r="BL1075" s="1"/>
      <c r="BM1075" s="1"/>
      <c r="BN1075" s="1"/>
      <c r="BO1075" s="1"/>
      <c r="BP1075" s="1"/>
      <c r="BQ1075" s="1"/>
      <c r="BR1075" s="1"/>
      <c r="BS1075" s="1"/>
      <c r="BT1075" s="1"/>
      <c r="BU1075" s="1"/>
      <c r="BV1075" s="1"/>
      <c r="BW1075" s="1"/>
      <c r="BX1075" s="1"/>
      <c r="BY1075" s="1"/>
      <c r="BZ1075" s="1"/>
      <c r="CA1075" s="1"/>
      <c r="CB1075" s="1"/>
      <c r="CC1075" s="1"/>
      <c r="CD1075" s="1"/>
      <c r="CE1075" s="1"/>
      <c r="CF1075" s="1"/>
      <c r="CG1075" s="1"/>
      <c r="CH1075" s="1"/>
      <c r="CI1075" s="1"/>
      <c r="CJ1075" s="1"/>
      <c r="CK1075" s="1"/>
      <c r="CL1075" s="1"/>
      <c r="CM1075" s="1"/>
      <c r="CN1075" s="1"/>
      <c r="CO1075" s="1"/>
      <c r="CP1075" s="1"/>
      <c r="CQ1075" s="1"/>
      <c r="CR1075" s="1"/>
      <c r="CS1075" s="1"/>
      <c r="CT1075" s="1"/>
      <c r="CU1075" s="1"/>
      <c r="CV1075" s="1"/>
      <c r="CW1075" s="1"/>
      <c r="CX1075" s="1"/>
      <c r="CY1075" s="1"/>
      <c r="CZ1075" s="1"/>
      <c r="DA1075" s="1"/>
      <c r="DB1075" s="1"/>
      <c r="DC1075" s="1"/>
      <c r="DD1075" s="1"/>
      <c r="DE1075" s="1"/>
      <c r="DF1075" s="1"/>
      <c r="DG1075" s="1"/>
      <c r="DH1075" s="1"/>
      <c r="DI1075" s="1"/>
      <c r="DJ1075" s="1"/>
      <c r="DK1075" s="1"/>
      <c r="DL1075" s="1"/>
      <c r="DM1075" s="1"/>
      <c r="DN1075" s="1"/>
      <c r="DO1075" s="1"/>
      <c r="DP1075" s="1"/>
      <c r="DQ1075" s="1"/>
      <c r="DR1075" s="1"/>
      <c r="DS1075" s="1"/>
      <c r="DT1075" s="1"/>
      <c r="DU1075" s="1"/>
      <c r="DV1075" s="1"/>
      <c r="DW1075" s="1"/>
      <c r="DX1075" s="1"/>
      <c r="DY1075" s="1"/>
      <c r="DZ1075" s="1"/>
      <c r="EA1075" s="1"/>
      <c r="EB1075" s="1"/>
      <c r="EC1075" s="1"/>
      <c r="ED1075" s="1"/>
      <c r="EE1075" s="1"/>
      <c r="EF1075" s="1"/>
      <c r="EG1075" s="1"/>
      <c r="EH1075" s="1"/>
      <c r="EI1075" s="1"/>
      <c r="EJ1075" s="1"/>
      <c r="EK1075" s="1"/>
      <c r="EL1075" s="1"/>
      <c r="EM1075" s="1"/>
      <c r="EN1075" s="1"/>
      <c r="EO1075" s="1"/>
      <c r="EP1075" s="1"/>
      <c r="EQ1075" s="1"/>
      <c r="ER1075" s="1"/>
      <c r="ES1075" s="1"/>
      <c r="ET1075" s="1"/>
      <c r="EU1075" s="1"/>
      <c r="EV1075" s="1"/>
      <c r="EW1075" s="1"/>
      <c r="EX1075" s="1"/>
      <c r="EY1075" s="1"/>
      <c r="EZ1075" s="1"/>
      <c r="FA1075" s="1"/>
      <c r="FB1075" s="1"/>
      <c r="FC1075" s="1"/>
      <c r="FD1075" s="1"/>
      <c r="FE1075" s="1"/>
      <c r="FF1075" s="1"/>
      <c r="FG1075" s="1"/>
      <c r="FH1075" s="1"/>
      <c r="FI1075" s="1"/>
      <c r="FJ1075" s="1"/>
      <c r="FK1075" s="1"/>
      <c r="FL1075" s="1"/>
      <c r="FM1075" s="1"/>
      <c r="FN1075" s="1"/>
      <c r="FO1075" s="1"/>
      <c r="FP1075" s="1"/>
      <c r="FQ1075" s="1"/>
      <c r="FR1075" s="2"/>
      <c r="FS1075" s="1"/>
    </row>
    <row r="1076" spans="1:175" x14ac:dyDescent="0.3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R1076" s="1"/>
      <c r="S1076" s="1"/>
      <c r="T1076" s="1"/>
      <c r="U1076" s="1"/>
      <c r="V1076" s="1"/>
      <c r="Y1076" s="1"/>
      <c r="Z1076" s="2"/>
      <c r="AA1076" s="1"/>
      <c r="AB1076" s="1"/>
      <c r="AC1076" s="1"/>
      <c r="AD1076" s="1"/>
      <c r="AE1076" s="1"/>
      <c r="AF1076" s="1"/>
      <c r="AG1076" s="1"/>
      <c r="AH1076" s="1"/>
      <c r="AI1076" s="1"/>
      <c r="AJ1076" s="1"/>
      <c r="AK1076" s="1"/>
      <c r="AL1076" s="1"/>
      <c r="AM1076" s="1"/>
      <c r="AN1076" s="1"/>
      <c r="AO1076" s="1"/>
      <c r="AP1076" s="1"/>
      <c r="AQ1076" s="1"/>
      <c r="AR1076" s="1"/>
      <c r="AS1076" s="1"/>
      <c r="AU1076" s="1"/>
      <c r="AW1076" s="1"/>
      <c r="AX1076" s="1"/>
      <c r="AY1076" s="1"/>
      <c r="AZ1076" s="1"/>
      <c r="BA1076" s="1"/>
      <c r="BC1076" s="1"/>
      <c r="BD1076" s="1"/>
      <c r="BE1076" s="1"/>
      <c r="BF1076" s="1"/>
      <c r="BG1076" s="1"/>
      <c r="BH1076" s="1"/>
      <c r="BI1076" s="1"/>
      <c r="BJ1076" s="1"/>
      <c r="BK1076" s="1"/>
      <c r="BL1076" s="1"/>
      <c r="BM1076" s="1"/>
      <c r="BN1076" s="1"/>
      <c r="BO1076" s="1"/>
      <c r="BP1076" s="1"/>
      <c r="BQ1076" s="1"/>
      <c r="BR1076" s="1"/>
      <c r="BS1076" s="1"/>
      <c r="BT1076" s="1"/>
      <c r="BU1076" s="1"/>
      <c r="BV1076" s="1"/>
      <c r="BW1076" s="1"/>
      <c r="BX1076" s="1"/>
      <c r="BY1076" s="1"/>
      <c r="BZ1076" s="1"/>
      <c r="CA1076" s="1"/>
      <c r="CB1076" s="1"/>
      <c r="CC1076" s="1"/>
      <c r="CD1076" s="1"/>
      <c r="CE1076" s="1"/>
      <c r="CF1076" s="1"/>
      <c r="CG1076" s="1"/>
      <c r="CH1076" s="1"/>
      <c r="CI1076" s="1"/>
      <c r="CJ1076" s="1"/>
      <c r="CK1076" s="1"/>
      <c r="CL1076" s="1"/>
      <c r="CM1076" s="1"/>
      <c r="CN1076" s="1"/>
      <c r="CO1076" s="1"/>
      <c r="CP1076" s="1"/>
      <c r="CQ1076" s="1"/>
      <c r="CR1076" s="1"/>
      <c r="CS1076" s="1"/>
      <c r="CT1076" s="1"/>
      <c r="CU1076" s="1"/>
      <c r="CV1076" s="1"/>
      <c r="CW1076" s="1"/>
      <c r="CX1076" s="1"/>
      <c r="CY1076" s="1"/>
      <c r="CZ1076" s="1"/>
      <c r="DA1076" s="1"/>
      <c r="DB1076" s="1"/>
      <c r="DC1076" s="1"/>
      <c r="DD1076" s="1"/>
      <c r="DE1076" s="1"/>
      <c r="DF1076" s="1"/>
      <c r="DG1076" s="1"/>
      <c r="DH1076" s="1"/>
      <c r="DI1076" s="1"/>
      <c r="DJ1076" s="1"/>
      <c r="DK1076" s="1"/>
      <c r="DL1076" s="1"/>
      <c r="DM1076" s="1"/>
      <c r="DN1076" s="1"/>
      <c r="DO1076" s="1"/>
      <c r="DP1076" s="1"/>
      <c r="DQ1076" s="1"/>
      <c r="DR1076" s="1"/>
      <c r="DS1076" s="1"/>
      <c r="DT1076" s="1"/>
      <c r="DU1076" s="1"/>
      <c r="DV1076" s="1"/>
      <c r="DW1076" s="1"/>
      <c r="DX1076" s="1"/>
      <c r="DY1076" s="1"/>
      <c r="DZ1076" s="1"/>
      <c r="EA1076" s="1"/>
      <c r="EB1076" s="1"/>
      <c r="EC1076" s="1"/>
      <c r="ED1076" s="1"/>
      <c r="EE1076" s="1"/>
      <c r="EF1076" s="1"/>
      <c r="EG1076" s="1"/>
      <c r="EH1076" s="1"/>
      <c r="EI1076" s="1"/>
      <c r="EJ1076" s="1"/>
      <c r="EK1076" s="1"/>
      <c r="EL1076" s="1"/>
      <c r="EM1076" s="1"/>
      <c r="EN1076" s="1"/>
      <c r="EO1076" s="1"/>
      <c r="EP1076" s="1"/>
      <c r="EQ1076" s="1"/>
      <c r="ER1076" s="1"/>
      <c r="ES1076" s="1"/>
      <c r="ET1076" s="1"/>
      <c r="EU1076" s="1"/>
      <c r="EV1076" s="1"/>
      <c r="EW1076" s="1"/>
      <c r="EX1076" s="1"/>
      <c r="EY1076" s="1"/>
      <c r="EZ1076" s="1"/>
      <c r="FA1076" s="1"/>
      <c r="FB1076" s="1"/>
      <c r="FC1076" s="1"/>
      <c r="FD1076" s="1"/>
      <c r="FE1076" s="1"/>
      <c r="FF1076" s="1"/>
      <c r="FG1076" s="1"/>
      <c r="FH1076" s="1"/>
      <c r="FI1076" s="1"/>
      <c r="FJ1076" s="1"/>
      <c r="FK1076" s="1"/>
      <c r="FL1076" s="1"/>
      <c r="FM1076" s="1"/>
      <c r="FN1076" s="1"/>
      <c r="FO1076" s="1"/>
      <c r="FP1076" s="1"/>
      <c r="FQ1076" s="1"/>
      <c r="FR1076" s="2"/>
      <c r="FS1076" s="1"/>
    </row>
    <row r="1077" spans="1:175" x14ac:dyDescent="0.3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R1077" s="1"/>
      <c r="S1077" s="1"/>
      <c r="T1077" s="1"/>
      <c r="U1077" s="1"/>
      <c r="V1077" s="1"/>
      <c r="Y1077" s="1"/>
      <c r="Z1077" s="2"/>
      <c r="AA1077" s="1"/>
      <c r="AB1077" s="1"/>
      <c r="AC1077" s="1"/>
      <c r="AD1077" s="1"/>
      <c r="AE1077" s="1"/>
      <c r="AF1077" s="1"/>
      <c r="AG1077" s="1"/>
      <c r="AH1077" s="1"/>
      <c r="AI1077" s="1"/>
      <c r="AJ1077" s="1"/>
      <c r="AK1077" s="1"/>
      <c r="AL1077" s="1"/>
      <c r="AM1077" s="1"/>
      <c r="AN1077" s="1"/>
      <c r="AO1077" s="1"/>
      <c r="AP1077" s="1"/>
      <c r="AQ1077" s="1"/>
      <c r="AR1077" s="1"/>
      <c r="AS1077" s="1"/>
      <c r="AU1077" s="1"/>
      <c r="AW1077" s="1"/>
      <c r="AX1077" s="1"/>
      <c r="AY1077" s="1"/>
      <c r="AZ1077" s="1"/>
      <c r="BA1077" s="1"/>
      <c r="BC1077" s="1"/>
      <c r="BD1077" s="1"/>
      <c r="BE1077" s="1"/>
      <c r="BF1077" s="1"/>
      <c r="BG1077" s="1"/>
      <c r="BH1077" s="1"/>
      <c r="BI1077" s="1"/>
      <c r="BJ1077" s="1"/>
      <c r="BK1077" s="1"/>
      <c r="BL1077" s="1"/>
      <c r="BM1077" s="1"/>
      <c r="BN1077" s="1"/>
      <c r="BO1077" s="1"/>
      <c r="BP1077" s="1"/>
      <c r="BQ1077" s="1"/>
      <c r="BR1077" s="1"/>
      <c r="BS1077" s="1"/>
      <c r="BT1077" s="1"/>
      <c r="BU1077" s="1"/>
      <c r="BV1077" s="1"/>
      <c r="BW1077" s="1"/>
      <c r="BX1077" s="1"/>
      <c r="BY1077" s="1"/>
      <c r="BZ1077" s="1"/>
      <c r="CA1077" s="1"/>
      <c r="CB1077" s="1"/>
      <c r="CC1077" s="1"/>
      <c r="CD1077" s="1"/>
      <c r="CE1077" s="1"/>
      <c r="CF1077" s="1"/>
      <c r="CG1077" s="1"/>
      <c r="CH1077" s="1"/>
      <c r="CI1077" s="1"/>
      <c r="CJ1077" s="1"/>
      <c r="CK1077" s="1"/>
      <c r="CL1077" s="1"/>
      <c r="CM1077" s="1"/>
      <c r="CN1077" s="1"/>
      <c r="CO1077" s="1"/>
      <c r="CP1077" s="1"/>
      <c r="CQ1077" s="1"/>
      <c r="CR1077" s="1"/>
      <c r="CS1077" s="1"/>
      <c r="CT1077" s="1"/>
      <c r="CU1077" s="1"/>
      <c r="CV1077" s="1"/>
      <c r="CW1077" s="1"/>
      <c r="CX1077" s="1"/>
      <c r="CY1077" s="1"/>
      <c r="CZ1077" s="1"/>
      <c r="DA1077" s="1"/>
      <c r="DB1077" s="1"/>
      <c r="DC1077" s="1"/>
      <c r="DD1077" s="1"/>
      <c r="DE1077" s="1"/>
      <c r="DF1077" s="1"/>
      <c r="DG1077" s="1"/>
      <c r="DH1077" s="1"/>
      <c r="DI1077" s="1"/>
      <c r="DJ1077" s="1"/>
      <c r="DK1077" s="1"/>
      <c r="DL1077" s="1"/>
      <c r="DM1077" s="1"/>
      <c r="DN1077" s="1"/>
      <c r="DO1077" s="1"/>
      <c r="DP1077" s="1"/>
      <c r="DQ1077" s="1"/>
      <c r="DR1077" s="1"/>
      <c r="DS1077" s="1"/>
      <c r="DT1077" s="1"/>
      <c r="DU1077" s="1"/>
      <c r="DV1077" s="1"/>
      <c r="DW1077" s="1"/>
      <c r="DX1077" s="1"/>
      <c r="DY1077" s="1"/>
      <c r="DZ1077" s="1"/>
      <c r="EA1077" s="1"/>
      <c r="EB1077" s="1"/>
      <c r="EC1077" s="1"/>
      <c r="ED1077" s="1"/>
      <c r="EE1077" s="1"/>
      <c r="EF1077" s="1"/>
      <c r="EG1077" s="1"/>
      <c r="EH1077" s="1"/>
      <c r="EI1077" s="1"/>
      <c r="EJ1077" s="1"/>
      <c r="EK1077" s="1"/>
      <c r="EL1077" s="1"/>
      <c r="EM1077" s="1"/>
      <c r="EN1077" s="1"/>
      <c r="EO1077" s="1"/>
      <c r="EP1077" s="1"/>
      <c r="EQ1077" s="1"/>
      <c r="ER1077" s="1"/>
      <c r="ES1077" s="1"/>
      <c r="ET1077" s="1"/>
      <c r="EU1077" s="1"/>
      <c r="EV1077" s="1"/>
      <c r="EW1077" s="1"/>
      <c r="EX1077" s="1"/>
      <c r="EY1077" s="1"/>
      <c r="EZ1077" s="1"/>
      <c r="FA1077" s="1"/>
      <c r="FB1077" s="1"/>
      <c r="FC1077" s="1"/>
      <c r="FD1077" s="1"/>
      <c r="FE1077" s="1"/>
      <c r="FF1077" s="1"/>
      <c r="FG1077" s="1"/>
      <c r="FH1077" s="1"/>
      <c r="FI1077" s="1"/>
      <c r="FJ1077" s="1"/>
      <c r="FK1077" s="1"/>
      <c r="FL1077" s="1"/>
      <c r="FM1077" s="1"/>
      <c r="FN1077" s="1"/>
      <c r="FO1077" s="1"/>
      <c r="FP1077" s="1"/>
      <c r="FQ1077" s="1"/>
      <c r="FR1077" s="2"/>
      <c r="FS1077" s="1"/>
    </row>
    <row r="1078" spans="1:175" x14ac:dyDescent="0.3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R1078" s="1"/>
      <c r="S1078" s="1"/>
      <c r="T1078" s="1"/>
      <c r="U1078" s="1"/>
      <c r="V1078" s="1"/>
      <c r="Y1078" s="1"/>
      <c r="Z1078" s="2"/>
      <c r="AA1078" s="1"/>
      <c r="AB1078" s="1"/>
      <c r="AC1078" s="1"/>
      <c r="AD1078" s="1"/>
      <c r="AE1078" s="1"/>
      <c r="AF1078" s="1"/>
      <c r="AG1078" s="1"/>
      <c r="AH1078" s="1"/>
      <c r="AI1078" s="1"/>
      <c r="AJ1078" s="1"/>
      <c r="AK1078" s="1"/>
      <c r="AL1078" s="1"/>
      <c r="AM1078" s="1"/>
      <c r="AN1078" s="1"/>
      <c r="AO1078" s="1"/>
      <c r="AP1078" s="1"/>
      <c r="AQ1078" s="1"/>
      <c r="AR1078" s="1"/>
      <c r="AS1078" s="1"/>
      <c r="AU1078" s="1"/>
      <c r="AW1078" s="1"/>
      <c r="AX1078" s="1"/>
      <c r="AY1078" s="1"/>
      <c r="AZ1078" s="1"/>
      <c r="BA1078" s="1"/>
      <c r="BC1078" s="1"/>
      <c r="BD1078" s="1"/>
      <c r="BE1078" s="1"/>
      <c r="BF1078" s="1"/>
      <c r="BG1078" s="1"/>
      <c r="BH1078" s="1"/>
      <c r="BI1078" s="1"/>
      <c r="BJ1078" s="1"/>
      <c r="BK1078" s="1"/>
      <c r="BL1078" s="1"/>
      <c r="BM1078" s="1"/>
      <c r="BN1078" s="1"/>
      <c r="BO1078" s="1"/>
      <c r="BP1078" s="1"/>
      <c r="BQ1078" s="1"/>
      <c r="BR1078" s="1"/>
      <c r="BS1078" s="1"/>
      <c r="BT1078" s="1"/>
      <c r="BU1078" s="1"/>
      <c r="BV1078" s="1"/>
      <c r="BW1078" s="1"/>
      <c r="BX1078" s="1"/>
      <c r="BY1078" s="1"/>
      <c r="BZ1078" s="1"/>
      <c r="CA1078" s="1"/>
      <c r="CB1078" s="1"/>
      <c r="CC1078" s="1"/>
      <c r="CD1078" s="1"/>
      <c r="CE1078" s="1"/>
      <c r="CF1078" s="1"/>
      <c r="CG1078" s="1"/>
      <c r="CH1078" s="1"/>
      <c r="CI1078" s="1"/>
      <c r="CJ1078" s="1"/>
      <c r="CK1078" s="1"/>
      <c r="CL1078" s="1"/>
      <c r="CM1078" s="1"/>
      <c r="CN1078" s="1"/>
      <c r="CO1078" s="1"/>
      <c r="CP1078" s="1"/>
      <c r="CQ1078" s="1"/>
      <c r="CR1078" s="1"/>
      <c r="CS1078" s="1"/>
      <c r="CT1078" s="1"/>
      <c r="CU1078" s="1"/>
      <c r="CV1078" s="1"/>
      <c r="CW1078" s="1"/>
      <c r="CX1078" s="1"/>
      <c r="CY1078" s="1"/>
      <c r="CZ1078" s="1"/>
      <c r="DA1078" s="1"/>
      <c r="DB1078" s="1"/>
      <c r="DC1078" s="1"/>
      <c r="DD1078" s="1"/>
      <c r="DE1078" s="1"/>
      <c r="DF1078" s="1"/>
      <c r="DG1078" s="1"/>
      <c r="DH1078" s="1"/>
      <c r="DI1078" s="1"/>
      <c r="DJ1078" s="1"/>
      <c r="DK1078" s="1"/>
      <c r="DL1078" s="1"/>
      <c r="DM1078" s="1"/>
      <c r="DN1078" s="1"/>
      <c r="DO1078" s="1"/>
      <c r="DP1078" s="1"/>
      <c r="DQ1078" s="1"/>
      <c r="DR1078" s="1"/>
      <c r="DS1078" s="1"/>
      <c r="DT1078" s="1"/>
      <c r="DU1078" s="1"/>
      <c r="DV1078" s="1"/>
      <c r="DW1078" s="1"/>
      <c r="DX1078" s="1"/>
      <c r="DY1078" s="1"/>
      <c r="DZ1078" s="1"/>
      <c r="EA1078" s="1"/>
      <c r="EB1078" s="1"/>
      <c r="EC1078" s="1"/>
      <c r="ED1078" s="1"/>
      <c r="EE1078" s="1"/>
      <c r="EF1078" s="1"/>
      <c r="EG1078" s="1"/>
      <c r="EH1078" s="1"/>
      <c r="EI1078" s="1"/>
      <c r="EJ1078" s="1"/>
      <c r="EK1078" s="1"/>
      <c r="EL1078" s="1"/>
      <c r="EM1078" s="1"/>
      <c r="EN1078" s="1"/>
      <c r="EO1078" s="1"/>
      <c r="EP1078" s="1"/>
      <c r="EQ1078" s="1"/>
      <c r="ER1078" s="1"/>
      <c r="ES1078" s="1"/>
      <c r="ET1078" s="1"/>
      <c r="EU1078" s="1"/>
      <c r="EV1078" s="1"/>
      <c r="EW1078" s="1"/>
      <c r="EX1078" s="1"/>
      <c r="EY1078" s="1"/>
      <c r="EZ1078" s="1"/>
      <c r="FA1078" s="1"/>
      <c r="FB1078" s="1"/>
      <c r="FC1078" s="1"/>
      <c r="FD1078" s="1"/>
      <c r="FE1078" s="1"/>
      <c r="FF1078" s="1"/>
      <c r="FG1078" s="1"/>
      <c r="FH1078" s="1"/>
      <c r="FI1078" s="1"/>
      <c r="FJ1078" s="1"/>
      <c r="FK1078" s="1"/>
      <c r="FL1078" s="1"/>
      <c r="FM1078" s="1"/>
      <c r="FN1078" s="1"/>
      <c r="FO1078" s="1"/>
      <c r="FP1078" s="1"/>
      <c r="FQ1078" s="1"/>
      <c r="FR1078" s="2"/>
      <c r="FS1078" s="1"/>
    </row>
    <row r="1079" spans="1:175" x14ac:dyDescent="0.3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R1079" s="1"/>
      <c r="S1079" s="1"/>
      <c r="T1079" s="1"/>
      <c r="U1079" s="1"/>
      <c r="V1079" s="1"/>
      <c r="Y1079" s="1"/>
      <c r="Z1079" s="2"/>
      <c r="AA1079" s="1"/>
      <c r="AB1079" s="1"/>
      <c r="AC1079" s="1"/>
      <c r="AD1079" s="1"/>
      <c r="AE1079" s="1"/>
      <c r="AF1079" s="1"/>
      <c r="AG1079" s="1"/>
      <c r="AH1079" s="1"/>
      <c r="AI1079" s="1"/>
      <c r="AJ1079" s="1"/>
      <c r="AK1079" s="1"/>
      <c r="AL1079" s="1"/>
      <c r="AM1079" s="1"/>
      <c r="AN1079" s="1"/>
      <c r="AO1079" s="1"/>
      <c r="AP1079" s="1"/>
      <c r="AQ1079" s="1"/>
      <c r="AR1079" s="1"/>
      <c r="AS1079" s="1"/>
      <c r="AU1079" s="1"/>
      <c r="AW1079" s="1"/>
      <c r="AX1079" s="1"/>
      <c r="AY1079" s="1"/>
      <c r="AZ1079" s="1"/>
      <c r="BA1079" s="1"/>
      <c r="BC1079" s="1"/>
      <c r="BD1079" s="1"/>
      <c r="BE1079" s="1"/>
      <c r="BF1079" s="1"/>
      <c r="BG1079" s="1"/>
      <c r="BH1079" s="1"/>
      <c r="BI1079" s="1"/>
      <c r="BJ1079" s="1"/>
      <c r="BK1079" s="1"/>
      <c r="BL1079" s="1"/>
      <c r="BM1079" s="1"/>
      <c r="BN1079" s="1"/>
      <c r="BO1079" s="1"/>
      <c r="BP1079" s="1"/>
      <c r="BQ1079" s="1"/>
      <c r="BR1079" s="1"/>
      <c r="BS1079" s="1"/>
      <c r="BT1079" s="1"/>
      <c r="BU1079" s="1"/>
      <c r="BV1079" s="1"/>
      <c r="BW1079" s="1"/>
      <c r="BX1079" s="1"/>
      <c r="BY1079" s="1"/>
      <c r="BZ1079" s="1"/>
      <c r="CA1079" s="1"/>
      <c r="CB1079" s="1"/>
      <c r="CC1079" s="1"/>
      <c r="CD1079" s="1"/>
      <c r="CE1079" s="1"/>
      <c r="CF1079" s="1"/>
      <c r="CG1079" s="1"/>
      <c r="CH1079" s="1"/>
      <c r="CI1079" s="1"/>
      <c r="CJ1079" s="1"/>
      <c r="CK1079" s="1"/>
      <c r="CL1079" s="1"/>
      <c r="CM1079" s="1"/>
      <c r="CN1079" s="1"/>
      <c r="CO1079" s="1"/>
      <c r="CP1079" s="1"/>
      <c r="CQ1079" s="1"/>
      <c r="CR1079" s="1"/>
      <c r="CS1079" s="1"/>
      <c r="CT1079" s="1"/>
      <c r="CU1079" s="1"/>
      <c r="CV1079" s="1"/>
      <c r="CW1079" s="1"/>
      <c r="CX1079" s="1"/>
      <c r="CY1079" s="1"/>
      <c r="CZ1079" s="1"/>
      <c r="DA1079" s="1"/>
      <c r="DB1079" s="1"/>
      <c r="DC1079" s="1"/>
      <c r="DD1079" s="1"/>
      <c r="DE1079" s="1"/>
      <c r="DF1079" s="1"/>
      <c r="DG1079" s="1"/>
      <c r="DH1079" s="1"/>
      <c r="DI1079" s="1"/>
      <c r="DJ1079" s="1"/>
      <c r="DK1079" s="1"/>
      <c r="DL1079" s="1"/>
      <c r="DM1079" s="1"/>
      <c r="DN1079" s="1"/>
      <c r="DO1079" s="1"/>
      <c r="DP1079" s="1"/>
      <c r="DQ1079" s="1"/>
      <c r="DR1079" s="1"/>
      <c r="DS1079" s="1"/>
      <c r="DT1079" s="1"/>
      <c r="DU1079" s="1"/>
      <c r="DV1079" s="1"/>
      <c r="DW1079" s="1"/>
      <c r="DX1079" s="1"/>
      <c r="DY1079" s="1"/>
      <c r="DZ1079" s="1"/>
      <c r="EA1079" s="1"/>
      <c r="EB1079" s="1"/>
      <c r="EC1079" s="1"/>
      <c r="ED1079" s="1"/>
      <c r="EE1079" s="1"/>
      <c r="EF1079" s="1"/>
      <c r="EG1079" s="1"/>
      <c r="EH1079" s="1"/>
      <c r="EI1079" s="1"/>
      <c r="EJ1079" s="1"/>
      <c r="EK1079" s="1"/>
      <c r="EL1079" s="1"/>
      <c r="EM1079" s="1"/>
      <c r="EN1079" s="1"/>
      <c r="EO1079" s="1"/>
      <c r="EP1079" s="1"/>
      <c r="EQ1079" s="1"/>
      <c r="ER1079" s="1"/>
      <c r="ES1079" s="1"/>
      <c r="ET1079" s="1"/>
      <c r="EU1079" s="1"/>
      <c r="EV1079" s="1"/>
      <c r="EW1079" s="1"/>
      <c r="EX1079" s="1"/>
      <c r="EY1079" s="1"/>
      <c r="EZ1079" s="1"/>
      <c r="FA1079" s="1"/>
      <c r="FB1079" s="1"/>
      <c r="FC1079" s="1"/>
      <c r="FD1079" s="1"/>
      <c r="FE1079" s="1"/>
      <c r="FF1079" s="1"/>
      <c r="FG1079" s="1"/>
      <c r="FH1079" s="1"/>
      <c r="FI1079" s="1"/>
      <c r="FJ1079" s="1"/>
      <c r="FK1079" s="1"/>
      <c r="FL1079" s="1"/>
      <c r="FM1079" s="1"/>
      <c r="FN1079" s="1"/>
      <c r="FO1079" s="1"/>
      <c r="FP1079" s="1"/>
      <c r="FQ1079" s="1"/>
      <c r="FR1079" s="2"/>
      <c r="FS1079" s="1"/>
    </row>
    <row r="1080" spans="1:175" x14ac:dyDescent="0.3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R1080" s="1"/>
      <c r="S1080" s="1"/>
      <c r="T1080" s="1"/>
      <c r="U1080" s="1"/>
      <c r="V1080" s="1"/>
      <c r="Y1080" s="1"/>
      <c r="Z1080" s="2"/>
      <c r="AA1080" s="1"/>
      <c r="AB1080" s="1"/>
      <c r="AC1080" s="1"/>
      <c r="AD1080" s="1"/>
      <c r="AE1080" s="1"/>
      <c r="AF1080" s="1"/>
      <c r="AG1080" s="1"/>
      <c r="AH1080" s="1"/>
      <c r="AI1080" s="1"/>
      <c r="AJ1080" s="1"/>
      <c r="AK1080" s="1"/>
      <c r="AL1080" s="1"/>
      <c r="AM1080" s="1"/>
      <c r="AN1080" s="1"/>
      <c r="AO1080" s="1"/>
      <c r="AP1080" s="1"/>
      <c r="AQ1080" s="1"/>
      <c r="AR1080" s="1"/>
      <c r="AS1080" s="1"/>
      <c r="AU1080" s="1"/>
      <c r="AW1080" s="1"/>
      <c r="AX1080" s="1"/>
      <c r="AY1080" s="1"/>
      <c r="AZ1080" s="1"/>
      <c r="BA1080" s="1"/>
      <c r="BC1080" s="1"/>
      <c r="BD1080" s="1"/>
      <c r="BE1080" s="1"/>
      <c r="BF1080" s="1"/>
      <c r="BG1080" s="1"/>
      <c r="BH1080" s="1"/>
      <c r="BI1080" s="1"/>
      <c r="BJ1080" s="1"/>
      <c r="BK1080" s="1"/>
      <c r="BL1080" s="1"/>
      <c r="BM1080" s="1"/>
      <c r="BN1080" s="1"/>
      <c r="BO1080" s="1"/>
      <c r="BP1080" s="1"/>
      <c r="BQ1080" s="1"/>
      <c r="BR1080" s="1"/>
      <c r="BS1080" s="1"/>
      <c r="BT1080" s="1"/>
      <c r="BU1080" s="1"/>
      <c r="BV1080" s="1"/>
      <c r="BW1080" s="1"/>
      <c r="BX1080" s="1"/>
      <c r="BY1080" s="1"/>
      <c r="BZ1080" s="1"/>
      <c r="CA1080" s="1"/>
      <c r="CB1080" s="1"/>
      <c r="CC1080" s="1"/>
      <c r="CD1080" s="1"/>
      <c r="CE1080" s="1"/>
      <c r="CF1080" s="1"/>
      <c r="CG1080" s="1"/>
      <c r="CH1080" s="1"/>
      <c r="CI1080" s="1"/>
      <c r="CJ1080" s="1"/>
      <c r="CK1080" s="1"/>
      <c r="CL1080" s="1"/>
      <c r="CM1080" s="1"/>
      <c r="CN1080" s="1"/>
      <c r="CO1080" s="1"/>
      <c r="CP1080" s="1"/>
      <c r="CQ1080" s="1"/>
      <c r="CR1080" s="1"/>
      <c r="CS1080" s="1"/>
      <c r="CT1080" s="1"/>
      <c r="CU1080" s="1"/>
      <c r="CV1080" s="1"/>
      <c r="CW1080" s="1"/>
      <c r="CX1080" s="1"/>
      <c r="CY1080" s="1"/>
      <c r="CZ1080" s="1"/>
      <c r="DA1080" s="1"/>
      <c r="DB1080" s="1"/>
      <c r="DC1080" s="1"/>
      <c r="DD1080" s="1"/>
      <c r="DE1080" s="1"/>
      <c r="DF1080" s="1"/>
      <c r="DG1080" s="1"/>
      <c r="DH1080" s="1"/>
      <c r="DI1080" s="1"/>
      <c r="DJ1080" s="1"/>
      <c r="DK1080" s="1"/>
      <c r="DL1080" s="1"/>
      <c r="DM1080" s="1"/>
      <c r="DN1080" s="1"/>
      <c r="DO1080" s="1"/>
      <c r="DP1080" s="1"/>
      <c r="DQ1080" s="1"/>
      <c r="DR1080" s="1"/>
      <c r="DS1080" s="1"/>
      <c r="DT1080" s="1"/>
      <c r="DU1080" s="1"/>
      <c r="DV1080" s="1"/>
      <c r="DW1080" s="1"/>
      <c r="DX1080" s="1"/>
      <c r="DY1080" s="1"/>
      <c r="DZ1080" s="1"/>
      <c r="EA1080" s="1"/>
      <c r="EB1080" s="1"/>
      <c r="EC1080" s="1"/>
      <c r="ED1080" s="1"/>
      <c r="EE1080" s="1"/>
      <c r="EF1080" s="1"/>
      <c r="EG1080" s="1"/>
      <c r="EH1080" s="1"/>
      <c r="EI1080" s="1"/>
      <c r="EJ1080" s="1"/>
      <c r="EK1080" s="1"/>
      <c r="EL1080" s="1"/>
      <c r="EM1080" s="1"/>
      <c r="EN1080" s="1"/>
      <c r="EO1080" s="1"/>
      <c r="EP1080" s="1"/>
      <c r="EQ1080" s="1"/>
      <c r="ER1080" s="1"/>
      <c r="ES1080" s="1"/>
      <c r="ET1080" s="1"/>
      <c r="EU1080" s="1"/>
      <c r="EV1080" s="1"/>
      <c r="EW1080" s="1"/>
      <c r="EX1080" s="1"/>
      <c r="EY1080" s="1"/>
      <c r="EZ1080" s="1"/>
      <c r="FA1080" s="1"/>
      <c r="FB1080" s="1"/>
      <c r="FC1080" s="1"/>
      <c r="FD1080" s="1"/>
      <c r="FE1080" s="1"/>
      <c r="FF1080" s="1"/>
      <c r="FG1080" s="1"/>
      <c r="FH1080" s="1"/>
      <c r="FI1080" s="1"/>
      <c r="FJ1080" s="1"/>
      <c r="FK1080" s="1"/>
      <c r="FL1080" s="1"/>
      <c r="FM1080" s="1"/>
      <c r="FN1080" s="1"/>
      <c r="FO1080" s="1"/>
      <c r="FP1080" s="1"/>
      <c r="FQ1080" s="1"/>
      <c r="FR1080" s="2"/>
      <c r="FS1080" s="1"/>
    </row>
    <row r="1081" spans="1:175" x14ac:dyDescent="0.3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R1081" s="1"/>
      <c r="S1081" s="1"/>
      <c r="T1081" s="1"/>
      <c r="U1081" s="1"/>
      <c r="V1081" s="1"/>
      <c r="Y1081" s="1"/>
      <c r="Z1081" s="2"/>
      <c r="AA1081" s="1"/>
      <c r="AB1081" s="1"/>
      <c r="AC1081" s="1"/>
      <c r="AD1081" s="1"/>
      <c r="AE1081" s="1"/>
      <c r="AF1081" s="1"/>
      <c r="AG1081" s="1"/>
      <c r="AH1081" s="1"/>
      <c r="AI1081" s="1"/>
      <c r="AJ1081" s="1"/>
      <c r="AK1081" s="1"/>
      <c r="AL1081" s="1"/>
      <c r="AM1081" s="1"/>
      <c r="AN1081" s="1"/>
      <c r="AO1081" s="1"/>
      <c r="AP1081" s="1"/>
      <c r="AQ1081" s="1"/>
      <c r="AR1081" s="1"/>
      <c r="AS1081" s="1"/>
      <c r="AU1081" s="1"/>
      <c r="AW1081" s="1"/>
      <c r="AX1081" s="1"/>
      <c r="AY1081" s="1"/>
      <c r="AZ1081" s="1"/>
      <c r="BA1081" s="1"/>
      <c r="BC1081" s="1"/>
      <c r="BD1081" s="1"/>
      <c r="BE1081" s="1"/>
      <c r="BF1081" s="1"/>
      <c r="BG1081" s="1"/>
      <c r="BH1081" s="1"/>
      <c r="BI1081" s="1"/>
      <c r="BJ1081" s="1"/>
      <c r="BK1081" s="1"/>
      <c r="BL1081" s="1"/>
      <c r="BM1081" s="1"/>
      <c r="BN1081" s="1"/>
      <c r="BO1081" s="1"/>
      <c r="BP1081" s="1"/>
      <c r="BQ1081" s="1"/>
      <c r="BR1081" s="1"/>
      <c r="BS1081" s="1"/>
      <c r="BT1081" s="1"/>
      <c r="BU1081" s="1"/>
      <c r="BV1081" s="1"/>
      <c r="BW1081" s="1"/>
      <c r="BX1081" s="1"/>
      <c r="BY1081" s="1"/>
      <c r="BZ1081" s="1"/>
      <c r="CA1081" s="1"/>
      <c r="CB1081" s="1"/>
      <c r="CC1081" s="1"/>
      <c r="CD1081" s="1"/>
      <c r="CE1081" s="1"/>
      <c r="CF1081" s="1"/>
      <c r="CG1081" s="1"/>
      <c r="CH1081" s="1"/>
      <c r="CI1081" s="1"/>
      <c r="CJ1081" s="1"/>
      <c r="CK1081" s="1"/>
      <c r="CL1081" s="1"/>
      <c r="CM1081" s="1"/>
      <c r="CN1081" s="1"/>
      <c r="CO1081" s="1"/>
      <c r="CP1081" s="1"/>
      <c r="CQ1081" s="1"/>
      <c r="CR1081" s="1"/>
      <c r="CS1081" s="1"/>
      <c r="CT1081" s="1"/>
      <c r="CU1081" s="1"/>
      <c r="CV1081" s="1"/>
      <c r="CW1081" s="1"/>
      <c r="CX1081" s="1"/>
      <c r="CY1081" s="1"/>
      <c r="CZ1081" s="1"/>
      <c r="DA1081" s="1"/>
      <c r="DB1081" s="1"/>
      <c r="DC1081" s="1"/>
      <c r="DD1081" s="1"/>
      <c r="DE1081" s="1"/>
      <c r="DF1081" s="1"/>
      <c r="DG1081" s="1"/>
      <c r="DH1081" s="1"/>
      <c r="DI1081" s="1"/>
      <c r="DJ1081" s="1"/>
      <c r="DK1081" s="1"/>
      <c r="DL1081" s="1"/>
      <c r="DM1081" s="1"/>
      <c r="DN1081" s="1"/>
      <c r="DO1081" s="1"/>
      <c r="DP1081" s="1"/>
      <c r="DQ1081" s="1"/>
      <c r="DR1081" s="1"/>
      <c r="DS1081" s="1"/>
      <c r="DT1081" s="1"/>
      <c r="DU1081" s="1"/>
      <c r="DV1081" s="1"/>
      <c r="DW1081" s="1"/>
      <c r="DX1081" s="1"/>
      <c r="DY1081" s="1"/>
      <c r="DZ1081" s="1"/>
      <c r="EA1081" s="1"/>
      <c r="EB1081" s="1"/>
      <c r="EC1081" s="1"/>
      <c r="ED1081" s="1"/>
      <c r="EE1081" s="1"/>
      <c r="EF1081" s="1"/>
      <c r="EG1081" s="1"/>
      <c r="EH1081" s="1"/>
      <c r="EI1081" s="1"/>
      <c r="EJ1081" s="1"/>
      <c r="EK1081" s="1"/>
      <c r="EL1081" s="1"/>
      <c r="EM1081" s="1"/>
      <c r="EN1081" s="1"/>
      <c r="EO1081" s="1"/>
      <c r="EP1081" s="1"/>
      <c r="EQ1081" s="1"/>
      <c r="ER1081" s="1"/>
      <c r="ES1081" s="1"/>
      <c r="ET1081" s="1"/>
      <c r="EU1081" s="1"/>
      <c r="EV1081" s="1"/>
      <c r="EW1081" s="1"/>
      <c r="EX1081" s="1"/>
      <c r="EY1081" s="1"/>
      <c r="EZ1081" s="1"/>
      <c r="FA1081" s="1"/>
      <c r="FB1081" s="1"/>
      <c r="FC1081" s="1"/>
      <c r="FD1081" s="1"/>
      <c r="FE1081" s="1"/>
      <c r="FF1081" s="1"/>
      <c r="FG1081" s="1"/>
      <c r="FH1081" s="1"/>
      <c r="FI1081" s="1"/>
      <c r="FJ1081" s="1"/>
      <c r="FK1081" s="1"/>
      <c r="FL1081" s="1"/>
      <c r="FM1081" s="1"/>
      <c r="FN1081" s="1"/>
      <c r="FO1081" s="1"/>
      <c r="FP1081" s="1"/>
      <c r="FQ1081" s="1"/>
      <c r="FR1081" s="2"/>
      <c r="FS1081" s="1"/>
    </row>
    <row r="1082" spans="1:175" x14ac:dyDescent="0.3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R1082" s="1"/>
      <c r="S1082" s="1"/>
      <c r="T1082" s="1"/>
      <c r="U1082" s="1"/>
      <c r="V1082" s="1"/>
      <c r="Y1082" s="1"/>
      <c r="Z1082" s="2"/>
      <c r="AA1082" s="1"/>
      <c r="AB1082" s="1"/>
      <c r="AC1082" s="1"/>
      <c r="AD1082" s="1"/>
      <c r="AE1082" s="1"/>
      <c r="AF1082" s="1"/>
      <c r="AG1082" s="1"/>
      <c r="AH1082" s="1"/>
      <c r="AI1082" s="1"/>
      <c r="AJ1082" s="1"/>
      <c r="AK1082" s="1"/>
      <c r="AL1082" s="1"/>
      <c r="AM1082" s="1"/>
      <c r="AN1082" s="1"/>
      <c r="AO1082" s="1"/>
      <c r="AP1082" s="1"/>
      <c r="AQ1082" s="1"/>
      <c r="AR1082" s="1"/>
      <c r="AS1082" s="1"/>
      <c r="AU1082" s="1"/>
      <c r="AW1082" s="1"/>
      <c r="AX1082" s="1"/>
      <c r="AY1082" s="1"/>
      <c r="AZ1082" s="1"/>
      <c r="BA1082" s="1"/>
      <c r="BC1082" s="1"/>
      <c r="BD1082" s="1"/>
      <c r="BE1082" s="1"/>
      <c r="BF1082" s="1"/>
      <c r="BG1082" s="1"/>
      <c r="BH1082" s="1"/>
      <c r="BI1082" s="1"/>
      <c r="BJ1082" s="1"/>
      <c r="BK1082" s="1"/>
      <c r="BL1082" s="1"/>
      <c r="BM1082" s="1"/>
      <c r="BN1082" s="1"/>
      <c r="BO1082" s="1"/>
      <c r="BP1082" s="1"/>
      <c r="BQ1082" s="1"/>
      <c r="BR1082" s="1"/>
      <c r="BS1082" s="1"/>
      <c r="BT1082" s="1"/>
      <c r="BU1082" s="1"/>
      <c r="BV1082" s="1"/>
      <c r="BW1082" s="1"/>
      <c r="BX1082" s="1"/>
      <c r="BY1082" s="1"/>
      <c r="BZ1082" s="1"/>
      <c r="CA1082" s="1"/>
      <c r="CB1082" s="1"/>
      <c r="CC1082" s="1"/>
      <c r="CD1082" s="1"/>
      <c r="CE1082" s="1"/>
      <c r="CF1082" s="1"/>
      <c r="CG1082" s="1"/>
      <c r="CH1082" s="1"/>
      <c r="CI1082" s="1"/>
      <c r="CJ1082" s="1"/>
      <c r="CK1082" s="1"/>
      <c r="CL1082" s="1"/>
      <c r="CM1082" s="1"/>
      <c r="CN1082" s="1"/>
      <c r="CO1082" s="1"/>
      <c r="CP1082" s="1"/>
      <c r="CQ1082" s="1"/>
      <c r="CR1082" s="1"/>
      <c r="CS1082" s="1"/>
      <c r="CT1082" s="1"/>
      <c r="CU1082" s="1"/>
      <c r="CV1082" s="1"/>
      <c r="CW1082" s="1"/>
      <c r="CX1082" s="1"/>
      <c r="CY1082" s="1"/>
      <c r="CZ1082" s="1"/>
      <c r="DA1082" s="1"/>
      <c r="DB1082" s="1"/>
      <c r="DC1082" s="1"/>
      <c r="DD1082" s="1"/>
      <c r="DE1082" s="1"/>
      <c r="DF1082" s="1"/>
      <c r="DG1082" s="1"/>
      <c r="DH1082" s="1"/>
      <c r="DI1082" s="1"/>
      <c r="DJ1082" s="1"/>
      <c r="DK1082" s="1"/>
      <c r="DL1082" s="1"/>
      <c r="DM1082" s="1"/>
      <c r="DN1082" s="1"/>
      <c r="DO1082" s="1"/>
      <c r="DP1082" s="1"/>
      <c r="DQ1082" s="1"/>
      <c r="DR1082" s="1"/>
      <c r="DS1082" s="1"/>
      <c r="DT1082" s="1"/>
      <c r="DU1082" s="1"/>
      <c r="DV1082" s="1"/>
      <c r="DW1082" s="1"/>
      <c r="DX1082" s="1"/>
      <c r="DY1082" s="1"/>
      <c r="DZ1082" s="1"/>
      <c r="EA1082" s="1"/>
      <c r="EB1082" s="1"/>
      <c r="EC1082" s="1"/>
      <c r="ED1082" s="1"/>
      <c r="EE1082" s="1"/>
      <c r="EF1082" s="1"/>
      <c r="EG1082" s="1"/>
      <c r="EH1082" s="1"/>
      <c r="EI1082" s="1"/>
      <c r="EJ1082" s="1"/>
      <c r="EK1082" s="1"/>
      <c r="EL1082" s="1"/>
      <c r="EM1082" s="1"/>
      <c r="EN1082" s="1"/>
      <c r="EO1082" s="1"/>
      <c r="EP1082" s="1"/>
      <c r="EQ1082" s="1"/>
      <c r="ER1082" s="1"/>
      <c r="ES1082" s="1"/>
      <c r="ET1082" s="1"/>
      <c r="EU1082" s="1"/>
      <c r="EV1082" s="1"/>
      <c r="EW1082" s="1"/>
      <c r="EX1082" s="1"/>
      <c r="EY1082" s="1"/>
      <c r="EZ1082" s="1"/>
      <c r="FA1082" s="1"/>
      <c r="FB1082" s="1"/>
      <c r="FC1082" s="1"/>
      <c r="FD1082" s="1"/>
      <c r="FE1082" s="1"/>
      <c r="FF1082" s="1"/>
      <c r="FG1082" s="1"/>
      <c r="FH1082" s="1"/>
      <c r="FI1082" s="1"/>
      <c r="FJ1082" s="1"/>
      <c r="FK1082" s="1"/>
      <c r="FL1082" s="1"/>
      <c r="FM1082" s="1"/>
      <c r="FN1082" s="1"/>
      <c r="FO1082" s="1"/>
      <c r="FP1082" s="1"/>
      <c r="FQ1082" s="1"/>
      <c r="FR1082" s="2"/>
      <c r="FS1082" s="1"/>
    </row>
    <row r="1083" spans="1:175" x14ac:dyDescent="0.3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R1083" s="1"/>
      <c r="S1083" s="1"/>
      <c r="T1083" s="1"/>
      <c r="U1083" s="1"/>
      <c r="V1083" s="1"/>
      <c r="Y1083" s="1"/>
      <c r="Z1083" s="2"/>
      <c r="AA1083" s="1"/>
      <c r="AB1083" s="1"/>
      <c r="AC1083" s="1"/>
      <c r="AD1083" s="1"/>
      <c r="AE1083" s="1"/>
      <c r="AF1083" s="1"/>
      <c r="AG1083" s="1"/>
      <c r="AH1083" s="1"/>
      <c r="AI1083" s="1"/>
      <c r="AJ1083" s="1"/>
      <c r="AK1083" s="1"/>
      <c r="AL1083" s="1"/>
      <c r="AM1083" s="1"/>
      <c r="AN1083" s="1"/>
      <c r="AO1083" s="1"/>
      <c r="AP1083" s="1"/>
      <c r="AQ1083" s="1"/>
      <c r="AR1083" s="1"/>
      <c r="AS1083" s="1"/>
      <c r="AU1083" s="1"/>
      <c r="AW1083" s="1"/>
      <c r="AX1083" s="1"/>
      <c r="AY1083" s="1"/>
      <c r="AZ1083" s="1"/>
      <c r="BA1083" s="1"/>
      <c r="BC1083" s="1"/>
      <c r="BD1083" s="1"/>
      <c r="BE1083" s="1"/>
      <c r="BF1083" s="1"/>
      <c r="BG1083" s="1"/>
      <c r="BH1083" s="1"/>
      <c r="BI1083" s="1"/>
      <c r="BJ1083" s="1"/>
      <c r="BK1083" s="1"/>
      <c r="BL1083" s="1"/>
      <c r="BM1083" s="1"/>
      <c r="BN1083" s="1"/>
      <c r="BO1083" s="1"/>
      <c r="BP1083" s="1"/>
      <c r="BQ1083" s="1"/>
      <c r="BR1083" s="1"/>
      <c r="BS1083" s="1"/>
      <c r="BT1083" s="1"/>
      <c r="BU1083" s="1"/>
      <c r="BV1083" s="1"/>
      <c r="BW1083" s="1"/>
      <c r="BX1083" s="1"/>
      <c r="BY1083" s="1"/>
      <c r="BZ1083" s="1"/>
      <c r="CA1083" s="1"/>
      <c r="CB1083" s="1"/>
      <c r="CC1083" s="1"/>
      <c r="CD1083" s="1"/>
      <c r="CE1083" s="1"/>
      <c r="CF1083" s="1"/>
      <c r="CG1083" s="1"/>
      <c r="CH1083" s="1"/>
      <c r="CI1083" s="1"/>
      <c r="CJ1083" s="1"/>
      <c r="CK1083" s="1"/>
      <c r="CL1083" s="1"/>
      <c r="CM1083" s="1"/>
      <c r="CN1083" s="1"/>
      <c r="CO1083" s="1"/>
      <c r="CP1083" s="1"/>
      <c r="CQ1083" s="1"/>
      <c r="CR1083" s="1"/>
      <c r="CS1083" s="1"/>
      <c r="CT1083" s="1"/>
      <c r="CU1083" s="1"/>
      <c r="CV1083" s="1"/>
      <c r="CW1083" s="1"/>
      <c r="CX1083" s="1"/>
      <c r="CY1083" s="1"/>
      <c r="CZ1083" s="1"/>
      <c r="DA1083" s="1"/>
      <c r="DB1083" s="1"/>
      <c r="DC1083" s="1"/>
      <c r="DD1083" s="1"/>
      <c r="DE1083" s="1"/>
      <c r="DF1083" s="1"/>
      <c r="DG1083" s="1"/>
      <c r="DH1083" s="1"/>
      <c r="DI1083" s="1"/>
      <c r="DJ1083" s="1"/>
      <c r="DK1083" s="1"/>
      <c r="DL1083" s="1"/>
      <c r="DM1083" s="1"/>
      <c r="DN1083" s="1"/>
      <c r="DO1083" s="1"/>
      <c r="DP1083" s="1"/>
      <c r="DQ1083" s="1"/>
      <c r="DR1083" s="1"/>
      <c r="DS1083" s="1"/>
      <c r="DT1083" s="1"/>
      <c r="DU1083" s="1"/>
      <c r="DV1083" s="1"/>
      <c r="DW1083" s="1"/>
      <c r="DX1083" s="1"/>
      <c r="DY1083" s="1"/>
      <c r="DZ1083" s="1"/>
      <c r="EA1083" s="1"/>
      <c r="EB1083" s="1"/>
      <c r="EC1083" s="1"/>
      <c r="ED1083" s="1"/>
      <c r="EE1083" s="1"/>
      <c r="EF1083" s="1"/>
      <c r="EG1083" s="1"/>
      <c r="EH1083" s="1"/>
      <c r="EI1083" s="1"/>
      <c r="EJ1083" s="1"/>
      <c r="EK1083" s="1"/>
      <c r="EL1083" s="1"/>
      <c r="EM1083" s="1"/>
      <c r="EN1083" s="1"/>
      <c r="EO1083" s="1"/>
      <c r="EP1083" s="1"/>
      <c r="EQ1083" s="1"/>
      <c r="ER1083" s="1"/>
      <c r="ES1083" s="1"/>
      <c r="ET1083" s="1"/>
      <c r="EU1083" s="1"/>
      <c r="EV1083" s="1"/>
      <c r="EW1083" s="1"/>
      <c r="EX1083" s="1"/>
      <c r="EY1083" s="1"/>
      <c r="EZ1083" s="1"/>
      <c r="FA1083" s="1"/>
      <c r="FB1083" s="1"/>
      <c r="FC1083" s="1"/>
      <c r="FD1083" s="1"/>
      <c r="FE1083" s="1"/>
      <c r="FF1083" s="1"/>
      <c r="FG1083" s="1"/>
      <c r="FH1083" s="1"/>
      <c r="FI1083" s="1"/>
      <c r="FJ1083" s="1"/>
      <c r="FK1083" s="1"/>
      <c r="FL1083" s="1"/>
      <c r="FM1083" s="1"/>
      <c r="FN1083" s="1"/>
      <c r="FO1083" s="1"/>
      <c r="FP1083" s="1"/>
      <c r="FQ1083" s="1"/>
      <c r="FR1083" s="2"/>
      <c r="FS1083" s="1"/>
    </row>
    <row r="1084" spans="1:175" x14ac:dyDescent="0.3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R1084" s="1"/>
      <c r="S1084" s="1"/>
      <c r="T1084" s="1"/>
      <c r="U1084" s="1"/>
      <c r="V1084" s="1"/>
      <c r="Y1084" s="1"/>
      <c r="Z1084" s="2"/>
      <c r="AA1084" s="1"/>
      <c r="AB1084" s="1"/>
      <c r="AC1084" s="1"/>
      <c r="AD1084" s="1"/>
      <c r="AE1084" s="1"/>
      <c r="AF1084" s="1"/>
      <c r="AG1084" s="1"/>
      <c r="AH1084" s="1"/>
      <c r="AI1084" s="1"/>
      <c r="AJ1084" s="1"/>
      <c r="AK1084" s="1"/>
      <c r="AL1084" s="1"/>
      <c r="AM1084" s="1"/>
      <c r="AN1084" s="1"/>
      <c r="AO1084" s="1"/>
      <c r="AP1084" s="1"/>
      <c r="AQ1084" s="1"/>
      <c r="AR1084" s="1"/>
      <c r="AS1084" s="1"/>
      <c r="AU1084" s="1"/>
      <c r="AW1084" s="1"/>
      <c r="AX1084" s="1"/>
      <c r="AY1084" s="1"/>
      <c r="AZ1084" s="1"/>
      <c r="BA1084" s="1"/>
      <c r="BC1084" s="1"/>
      <c r="BD1084" s="1"/>
      <c r="BE1084" s="1"/>
      <c r="BF1084" s="1"/>
      <c r="BG1084" s="1"/>
      <c r="BH1084" s="1"/>
      <c r="BI1084" s="1"/>
      <c r="BJ1084" s="1"/>
      <c r="BK1084" s="1"/>
      <c r="BL1084" s="1"/>
      <c r="BM1084" s="1"/>
      <c r="BN1084" s="1"/>
      <c r="BO1084" s="1"/>
      <c r="BP1084" s="1"/>
      <c r="BQ1084" s="1"/>
      <c r="BR1084" s="1"/>
      <c r="BS1084" s="1"/>
      <c r="BT1084" s="1"/>
      <c r="BU1084" s="1"/>
      <c r="BV1084" s="1"/>
      <c r="BW1084" s="1"/>
      <c r="BX1084" s="1"/>
      <c r="BY1084" s="1"/>
      <c r="BZ1084" s="1"/>
      <c r="CA1084" s="1"/>
      <c r="CB1084" s="1"/>
      <c r="CC1084" s="1"/>
      <c r="CD1084" s="1"/>
      <c r="CE1084" s="1"/>
      <c r="CF1084" s="1"/>
      <c r="CG1084" s="1"/>
      <c r="CH1084" s="1"/>
      <c r="CI1084" s="1"/>
      <c r="CJ1084" s="1"/>
      <c r="CK1084" s="1"/>
      <c r="CL1084" s="1"/>
      <c r="CM1084" s="1"/>
      <c r="CN1084" s="1"/>
      <c r="CO1084" s="1"/>
      <c r="CP1084" s="1"/>
      <c r="CQ1084" s="1"/>
      <c r="CR1084" s="1"/>
      <c r="CS1084" s="1"/>
      <c r="CT1084" s="1"/>
      <c r="CU1084" s="1"/>
      <c r="CV1084" s="1"/>
      <c r="CW1084" s="1"/>
      <c r="CX1084" s="1"/>
      <c r="CY1084" s="1"/>
      <c r="CZ1084" s="1"/>
      <c r="DA1084" s="1"/>
      <c r="DB1084" s="1"/>
      <c r="DC1084" s="1"/>
      <c r="DD1084" s="1"/>
      <c r="DE1084" s="1"/>
      <c r="DF1084" s="1"/>
      <c r="DG1084" s="1"/>
      <c r="DH1084" s="1"/>
      <c r="DI1084" s="1"/>
      <c r="DJ1084" s="1"/>
      <c r="DK1084" s="1"/>
      <c r="DL1084" s="1"/>
      <c r="DM1084" s="1"/>
      <c r="DN1084" s="1"/>
      <c r="DO1084" s="1"/>
      <c r="DP1084" s="1"/>
      <c r="DQ1084" s="1"/>
      <c r="DR1084" s="1"/>
      <c r="DS1084" s="1"/>
      <c r="DT1084" s="1"/>
      <c r="DU1084" s="1"/>
      <c r="DV1084" s="1"/>
      <c r="DW1084" s="1"/>
      <c r="DX1084" s="1"/>
      <c r="DY1084" s="1"/>
      <c r="DZ1084" s="1"/>
      <c r="EA1084" s="1"/>
      <c r="EB1084" s="1"/>
      <c r="EC1084" s="1"/>
      <c r="ED1084" s="1"/>
      <c r="EE1084" s="1"/>
      <c r="EF1084" s="1"/>
      <c r="EG1084" s="1"/>
      <c r="EH1084" s="1"/>
      <c r="EI1084" s="1"/>
      <c r="EJ1084" s="1"/>
      <c r="EK1084" s="1"/>
      <c r="EL1084" s="1"/>
      <c r="EM1084" s="1"/>
      <c r="EN1084" s="1"/>
      <c r="EO1084" s="1"/>
      <c r="EP1084" s="1"/>
      <c r="EQ1084" s="1"/>
      <c r="ER1084" s="1"/>
      <c r="ES1084" s="1"/>
      <c r="ET1084" s="1"/>
      <c r="EU1084" s="1"/>
      <c r="EV1084" s="1"/>
      <c r="EW1084" s="1"/>
      <c r="EX1084" s="1"/>
      <c r="EY1084" s="1"/>
      <c r="EZ1084" s="1"/>
      <c r="FA1084" s="1"/>
      <c r="FB1084" s="1"/>
      <c r="FC1084" s="1"/>
      <c r="FD1084" s="1"/>
      <c r="FE1084" s="1"/>
      <c r="FF1084" s="1"/>
      <c r="FG1084" s="1"/>
      <c r="FH1084" s="1"/>
      <c r="FI1084" s="1"/>
      <c r="FJ1084" s="1"/>
      <c r="FK1084" s="1"/>
      <c r="FL1084" s="1"/>
      <c r="FM1084" s="1"/>
      <c r="FN1084" s="1"/>
      <c r="FO1084" s="1"/>
      <c r="FP1084" s="1"/>
      <c r="FQ1084" s="1"/>
      <c r="FR1084" s="2"/>
      <c r="FS1084" s="1"/>
    </row>
    <row r="1085" spans="1:175" x14ac:dyDescent="0.3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R1085" s="1"/>
      <c r="S1085" s="1"/>
      <c r="T1085" s="1"/>
      <c r="U1085" s="1"/>
      <c r="V1085" s="1"/>
      <c r="Y1085" s="1"/>
      <c r="Z1085" s="2"/>
      <c r="AA1085" s="1"/>
      <c r="AB1085" s="1"/>
      <c r="AC1085" s="1"/>
      <c r="AD1085" s="1"/>
      <c r="AE1085" s="1"/>
      <c r="AF1085" s="1"/>
      <c r="AG1085" s="1"/>
      <c r="AH1085" s="1"/>
      <c r="AI1085" s="1"/>
      <c r="AJ1085" s="1"/>
      <c r="AK1085" s="1"/>
      <c r="AL1085" s="1"/>
      <c r="AM1085" s="1"/>
      <c r="AN1085" s="1"/>
      <c r="AO1085" s="1"/>
      <c r="AP1085" s="1"/>
      <c r="AQ1085" s="1"/>
      <c r="AR1085" s="1"/>
      <c r="AS1085" s="1"/>
      <c r="AU1085" s="1"/>
      <c r="AW1085" s="1"/>
      <c r="AX1085" s="1"/>
      <c r="AY1085" s="1"/>
      <c r="AZ1085" s="1"/>
      <c r="BA1085" s="1"/>
      <c r="BC1085" s="1"/>
      <c r="BD1085" s="1"/>
      <c r="BE1085" s="1"/>
      <c r="BF1085" s="1"/>
      <c r="BG1085" s="1"/>
      <c r="BH1085" s="1"/>
      <c r="BI1085" s="1"/>
      <c r="BJ1085" s="1"/>
      <c r="BK1085" s="1"/>
      <c r="BL1085" s="1"/>
      <c r="BM1085" s="1"/>
      <c r="BN1085" s="1"/>
      <c r="BO1085" s="1"/>
      <c r="BP1085" s="1"/>
      <c r="BQ1085" s="1"/>
      <c r="BR1085" s="1"/>
      <c r="BS1085" s="1"/>
      <c r="BT1085" s="1"/>
      <c r="BU1085" s="1"/>
      <c r="BV1085" s="1"/>
      <c r="BW1085" s="1"/>
      <c r="BX1085" s="1"/>
      <c r="BY1085" s="1"/>
      <c r="BZ1085" s="1"/>
      <c r="CA1085" s="1"/>
      <c r="CB1085" s="1"/>
      <c r="CC1085" s="1"/>
      <c r="CD1085" s="1"/>
      <c r="CE1085" s="1"/>
      <c r="CF1085" s="1"/>
      <c r="CG1085" s="1"/>
      <c r="CH1085" s="1"/>
      <c r="CI1085" s="1"/>
      <c r="CJ1085" s="1"/>
      <c r="CK1085" s="1"/>
      <c r="CL1085" s="1"/>
      <c r="CM1085" s="1"/>
      <c r="CN1085" s="1"/>
      <c r="CO1085" s="1"/>
      <c r="CP1085" s="1"/>
      <c r="CQ1085" s="1"/>
      <c r="CR1085" s="1"/>
      <c r="CS1085" s="1"/>
      <c r="CT1085" s="1"/>
      <c r="CU1085" s="1"/>
      <c r="CV1085" s="1"/>
      <c r="CW1085" s="1"/>
      <c r="CX1085" s="1"/>
      <c r="CY1085" s="1"/>
      <c r="CZ1085" s="1"/>
      <c r="DA1085" s="1"/>
      <c r="DB1085" s="1"/>
      <c r="DC1085" s="1"/>
      <c r="DD1085" s="1"/>
      <c r="DE1085" s="1"/>
      <c r="DF1085" s="1"/>
      <c r="DG1085" s="1"/>
      <c r="DH1085" s="1"/>
      <c r="DI1085" s="1"/>
      <c r="DJ1085" s="1"/>
      <c r="DK1085" s="1"/>
      <c r="DL1085" s="1"/>
      <c r="DM1085" s="1"/>
      <c r="DN1085" s="1"/>
      <c r="DO1085" s="1"/>
      <c r="DP1085" s="1"/>
      <c r="DQ1085" s="1"/>
      <c r="DR1085" s="1"/>
      <c r="DS1085" s="1"/>
      <c r="DT1085" s="1"/>
      <c r="DU1085" s="1"/>
      <c r="DV1085" s="1"/>
      <c r="DW1085" s="1"/>
      <c r="DX1085" s="1"/>
      <c r="DY1085" s="1"/>
      <c r="DZ1085" s="1"/>
      <c r="EA1085" s="1"/>
      <c r="EB1085" s="1"/>
      <c r="EC1085" s="1"/>
      <c r="ED1085" s="1"/>
      <c r="EE1085" s="1"/>
      <c r="EF1085" s="1"/>
      <c r="EG1085" s="1"/>
      <c r="EH1085" s="1"/>
      <c r="EI1085" s="1"/>
      <c r="EJ1085" s="1"/>
      <c r="EK1085" s="1"/>
      <c r="EL1085" s="1"/>
      <c r="EM1085" s="1"/>
      <c r="EN1085" s="1"/>
      <c r="EO1085" s="1"/>
      <c r="EP1085" s="1"/>
      <c r="EQ1085" s="1"/>
      <c r="ER1085" s="1"/>
      <c r="ES1085" s="1"/>
      <c r="ET1085" s="1"/>
      <c r="EU1085" s="1"/>
      <c r="EV1085" s="1"/>
      <c r="EW1085" s="1"/>
      <c r="EX1085" s="1"/>
      <c r="EY1085" s="1"/>
      <c r="EZ1085" s="1"/>
      <c r="FA1085" s="1"/>
      <c r="FB1085" s="1"/>
      <c r="FC1085" s="1"/>
      <c r="FD1085" s="1"/>
      <c r="FE1085" s="1"/>
      <c r="FF1085" s="1"/>
      <c r="FG1085" s="1"/>
      <c r="FH1085" s="1"/>
      <c r="FI1085" s="1"/>
      <c r="FJ1085" s="1"/>
      <c r="FK1085" s="1"/>
      <c r="FL1085" s="1"/>
      <c r="FM1085" s="1"/>
      <c r="FN1085" s="1"/>
      <c r="FO1085" s="1"/>
      <c r="FP1085" s="1"/>
      <c r="FQ1085" s="1"/>
      <c r="FR1085" s="2"/>
      <c r="FS1085" s="1"/>
    </row>
    <row r="1086" spans="1:175" x14ac:dyDescent="0.3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R1086" s="1"/>
      <c r="S1086" s="1"/>
      <c r="T1086" s="1"/>
      <c r="U1086" s="1"/>
      <c r="V1086" s="1"/>
      <c r="Y1086" s="1"/>
      <c r="Z1086" s="2"/>
      <c r="AA1086" s="1"/>
      <c r="AB1086" s="1"/>
      <c r="AC1086" s="1"/>
      <c r="AD1086" s="1"/>
      <c r="AE1086" s="1"/>
      <c r="AF1086" s="1"/>
      <c r="AG1086" s="1"/>
      <c r="AH1086" s="1"/>
      <c r="AI1086" s="1"/>
      <c r="AJ1086" s="1"/>
      <c r="AK1086" s="1"/>
      <c r="AL1086" s="1"/>
      <c r="AM1086" s="1"/>
      <c r="AN1086" s="1"/>
      <c r="AO1086" s="1"/>
      <c r="AP1086" s="1"/>
      <c r="AQ1086" s="1"/>
      <c r="AR1086" s="1"/>
      <c r="AS1086" s="1"/>
      <c r="AU1086" s="1"/>
      <c r="AW1086" s="1"/>
      <c r="AX1086" s="1"/>
      <c r="AY1086" s="1"/>
      <c r="AZ1086" s="1"/>
      <c r="BA1086" s="1"/>
      <c r="BC1086" s="1"/>
      <c r="BD1086" s="1"/>
      <c r="BE1086" s="1"/>
      <c r="BF1086" s="1"/>
      <c r="BG1086" s="1"/>
      <c r="BH1086" s="1"/>
      <c r="BI1086" s="1"/>
      <c r="BJ1086" s="1"/>
      <c r="BK1086" s="1"/>
      <c r="BL1086" s="1"/>
      <c r="BM1086" s="1"/>
      <c r="BN1086" s="1"/>
      <c r="BO1086" s="1"/>
      <c r="BP1086" s="1"/>
      <c r="BQ1086" s="1"/>
      <c r="BR1086" s="1"/>
      <c r="BS1086" s="1"/>
      <c r="BT1086" s="1"/>
      <c r="BU1086" s="1"/>
      <c r="BV1086" s="1"/>
      <c r="BW1086" s="1"/>
      <c r="BX1086" s="1"/>
      <c r="BY1086" s="1"/>
      <c r="BZ1086" s="1"/>
      <c r="CA1086" s="1"/>
      <c r="CB1086" s="1"/>
      <c r="CC1086" s="1"/>
      <c r="CD1086" s="1"/>
      <c r="CE1086" s="1"/>
      <c r="CF1086" s="1"/>
      <c r="CG1086" s="1"/>
      <c r="CH1086" s="1"/>
      <c r="CI1086" s="1"/>
      <c r="CJ1086" s="1"/>
      <c r="CK1086" s="1"/>
      <c r="CL1086" s="1"/>
      <c r="CM1086" s="1"/>
      <c r="CN1086" s="1"/>
      <c r="CO1086" s="1"/>
      <c r="CP1086" s="1"/>
      <c r="CQ1086" s="1"/>
      <c r="CR1086" s="1"/>
      <c r="CS1086" s="1"/>
      <c r="CT1086" s="1"/>
      <c r="CU1086" s="1"/>
      <c r="CV1086" s="1"/>
      <c r="CW1086" s="1"/>
      <c r="CX1086" s="1"/>
      <c r="CY1086" s="1"/>
      <c r="CZ1086" s="1"/>
      <c r="DA1086" s="1"/>
      <c r="DB1086" s="1"/>
      <c r="DC1086" s="1"/>
      <c r="DD1086" s="1"/>
      <c r="DE1086" s="1"/>
      <c r="DF1086" s="1"/>
      <c r="DG1086" s="1"/>
      <c r="DH1086" s="1"/>
      <c r="DI1086" s="1"/>
      <c r="DJ1086" s="1"/>
      <c r="DK1086" s="1"/>
      <c r="DL1086" s="1"/>
      <c r="DM1086" s="1"/>
      <c r="DN1086" s="1"/>
      <c r="DO1086" s="1"/>
      <c r="DP1086" s="1"/>
      <c r="DQ1086" s="1"/>
      <c r="DR1086" s="1"/>
      <c r="DS1086" s="1"/>
      <c r="DT1086" s="1"/>
      <c r="DU1086" s="1"/>
      <c r="DV1086" s="1"/>
      <c r="DW1086" s="1"/>
      <c r="DX1086" s="1"/>
      <c r="DY1086" s="1"/>
      <c r="DZ1086" s="1"/>
      <c r="EA1086" s="1"/>
      <c r="EB1086" s="1"/>
      <c r="EC1086" s="1"/>
      <c r="ED1086" s="1"/>
      <c r="EE1086" s="1"/>
      <c r="EF1086" s="1"/>
      <c r="EG1086" s="1"/>
      <c r="EH1086" s="1"/>
      <c r="EI1086" s="1"/>
      <c r="EJ1086" s="1"/>
      <c r="EK1086" s="1"/>
      <c r="EL1086" s="1"/>
      <c r="EM1086" s="1"/>
      <c r="EN1086" s="1"/>
      <c r="EO1086" s="1"/>
      <c r="EP1086" s="1"/>
      <c r="EQ1086" s="1"/>
      <c r="ER1086" s="1"/>
      <c r="ES1086" s="1"/>
      <c r="ET1086" s="1"/>
      <c r="EU1086" s="1"/>
      <c r="EV1086" s="1"/>
      <c r="EW1086" s="1"/>
      <c r="EX1086" s="1"/>
      <c r="EY1086" s="1"/>
      <c r="EZ1086" s="1"/>
      <c r="FA1086" s="1"/>
      <c r="FB1086" s="1"/>
      <c r="FC1086" s="1"/>
      <c r="FD1086" s="1"/>
      <c r="FE1086" s="1"/>
      <c r="FF1086" s="1"/>
      <c r="FG1086" s="1"/>
      <c r="FH1086" s="1"/>
      <c r="FI1086" s="1"/>
      <c r="FJ1086" s="1"/>
      <c r="FK1086" s="1"/>
      <c r="FL1086" s="1"/>
      <c r="FM1086" s="1"/>
      <c r="FN1086" s="1"/>
      <c r="FO1086" s="1"/>
      <c r="FP1086" s="1"/>
      <c r="FQ1086" s="1"/>
      <c r="FR1086" s="2"/>
      <c r="FS1086" s="1"/>
    </row>
    <row r="1087" spans="1:175" x14ac:dyDescent="0.3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R1087" s="1"/>
      <c r="S1087" s="1"/>
      <c r="T1087" s="1"/>
      <c r="U1087" s="1"/>
      <c r="V1087" s="1"/>
      <c r="Y1087" s="1"/>
      <c r="Z1087" s="2"/>
      <c r="AA1087" s="1"/>
      <c r="AB1087" s="1"/>
      <c r="AC1087" s="1"/>
      <c r="AD1087" s="1"/>
      <c r="AE1087" s="1"/>
      <c r="AF1087" s="1"/>
      <c r="AG1087" s="1"/>
      <c r="AH1087" s="1"/>
      <c r="AI1087" s="1"/>
      <c r="AJ1087" s="1"/>
      <c r="AK1087" s="1"/>
      <c r="AL1087" s="1"/>
      <c r="AM1087" s="1"/>
      <c r="AN1087" s="1"/>
      <c r="AO1087" s="1"/>
      <c r="AP1087" s="1"/>
      <c r="AQ1087" s="1"/>
      <c r="AR1087" s="1"/>
      <c r="AS1087" s="1"/>
      <c r="AU1087" s="1"/>
      <c r="AW1087" s="1"/>
      <c r="AX1087" s="1"/>
      <c r="AY1087" s="1"/>
      <c r="AZ1087" s="1"/>
      <c r="BA1087" s="1"/>
      <c r="BC1087" s="1"/>
      <c r="BD1087" s="1"/>
      <c r="BE1087" s="1"/>
      <c r="BF1087" s="1"/>
      <c r="BG1087" s="1"/>
      <c r="BH1087" s="1"/>
      <c r="BI1087" s="1"/>
      <c r="BJ1087" s="1"/>
      <c r="BK1087" s="1"/>
      <c r="BL1087" s="1"/>
      <c r="BM1087" s="1"/>
      <c r="BN1087" s="1"/>
      <c r="BO1087" s="1"/>
      <c r="BP1087" s="1"/>
      <c r="BQ1087" s="1"/>
      <c r="BR1087" s="1"/>
      <c r="BS1087" s="1"/>
      <c r="BT1087" s="1"/>
      <c r="BU1087" s="1"/>
      <c r="BV1087" s="1"/>
      <c r="BW1087" s="1"/>
      <c r="BX1087" s="1"/>
      <c r="BY1087" s="1"/>
      <c r="BZ1087" s="1"/>
      <c r="CA1087" s="1"/>
      <c r="CB1087" s="1"/>
      <c r="CC1087" s="1"/>
      <c r="CD1087" s="1"/>
      <c r="CE1087" s="1"/>
      <c r="CF1087" s="1"/>
      <c r="CG1087" s="1"/>
      <c r="CH1087" s="1"/>
      <c r="CI1087" s="1"/>
      <c r="CJ1087" s="1"/>
      <c r="CK1087" s="1"/>
      <c r="CL1087" s="1"/>
      <c r="CM1087" s="1"/>
      <c r="CN1087" s="1"/>
      <c r="CO1087" s="1"/>
      <c r="CP1087" s="1"/>
      <c r="CQ1087" s="1"/>
      <c r="CR1087" s="1"/>
      <c r="CS1087" s="1"/>
      <c r="CT1087" s="1"/>
      <c r="CU1087" s="1"/>
      <c r="CV1087" s="1"/>
      <c r="CW1087" s="1"/>
      <c r="CX1087" s="1"/>
      <c r="CY1087" s="1"/>
      <c r="CZ1087" s="1"/>
      <c r="DA1087" s="1"/>
      <c r="DB1087" s="1"/>
      <c r="DC1087" s="1"/>
      <c r="DD1087" s="1"/>
      <c r="DE1087" s="1"/>
      <c r="DF1087" s="1"/>
      <c r="DG1087" s="1"/>
      <c r="DH1087" s="1"/>
      <c r="DI1087" s="1"/>
      <c r="DJ1087" s="1"/>
      <c r="DK1087" s="1"/>
      <c r="DL1087" s="1"/>
      <c r="DM1087" s="1"/>
      <c r="DN1087" s="1"/>
      <c r="DO1087" s="1"/>
      <c r="DP1087" s="1"/>
      <c r="DQ1087" s="1"/>
      <c r="DR1087" s="1"/>
      <c r="DS1087" s="1"/>
      <c r="DT1087" s="1"/>
      <c r="DU1087" s="1"/>
      <c r="DV1087" s="1"/>
      <c r="DW1087" s="1"/>
      <c r="DX1087" s="1"/>
      <c r="DY1087" s="1"/>
      <c r="DZ1087" s="1"/>
      <c r="EA1087" s="1"/>
      <c r="EB1087" s="1"/>
      <c r="EC1087" s="1"/>
      <c r="ED1087" s="1"/>
      <c r="EE1087" s="1"/>
      <c r="EF1087" s="1"/>
      <c r="EG1087" s="1"/>
      <c r="EH1087" s="1"/>
      <c r="EI1087" s="1"/>
      <c r="EJ1087" s="1"/>
      <c r="EK1087" s="1"/>
      <c r="EL1087" s="1"/>
      <c r="EM1087" s="1"/>
      <c r="EN1087" s="1"/>
      <c r="EO1087" s="1"/>
      <c r="EP1087" s="1"/>
      <c r="EQ1087" s="1"/>
      <c r="ER1087" s="1"/>
      <c r="ES1087" s="1"/>
      <c r="ET1087" s="1"/>
      <c r="EU1087" s="1"/>
      <c r="EV1087" s="1"/>
      <c r="EW1087" s="1"/>
      <c r="EX1087" s="1"/>
      <c r="EY1087" s="1"/>
      <c r="EZ1087" s="1"/>
      <c r="FA1087" s="1"/>
      <c r="FB1087" s="1"/>
      <c r="FC1087" s="1"/>
      <c r="FD1087" s="1"/>
      <c r="FE1087" s="1"/>
      <c r="FF1087" s="1"/>
      <c r="FG1087" s="1"/>
      <c r="FH1087" s="1"/>
      <c r="FI1087" s="1"/>
      <c r="FJ1087" s="1"/>
      <c r="FK1087" s="1"/>
      <c r="FL1087" s="1"/>
      <c r="FM1087" s="1"/>
      <c r="FN1087" s="1"/>
      <c r="FO1087" s="1"/>
      <c r="FP1087" s="1"/>
      <c r="FQ1087" s="1"/>
      <c r="FR1087" s="2"/>
      <c r="FS1087" s="1"/>
    </row>
    <row r="1088" spans="1:175" x14ac:dyDescent="0.3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R1088" s="1"/>
      <c r="S1088" s="1"/>
      <c r="T1088" s="1"/>
      <c r="U1088" s="1"/>
      <c r="V1088" s="1"/>
      <c r="Y1088" s="1"/>
      <c r="Z1088" s="2"/>
      <c r="AA1088" s="1"/>
      <c r="AB1088" s="1"/>
      <c r="AC1088" s="1"/>
      <c r="AD1088" s="1"/>
      <c r="AE1088" s="1"/>
      <c r="AF1088" s="1"/>
      <c r="AG1088" s="1"/>
      <c r="AH1088" s="1"/>
      <c r="AI1088" s="1"/>
      <c r="AJ1088" s="1"/>
      <c r="AK1088" s="1"/>
      <c r="AL1088" s="1"/>
      <c r="AM1088" s="1"/>
      <c r="AN1088" s="1"/>
      <c r="AO1088" s="1"/>
      <c r="AP1088" s="1"/>
      <c r="AQ1088" s="1"/>
      <c r="AR1088" s="1"/>
      <c r="AS1088" s="1"/>
      <c r="AU1088" s="1"/>
      <c r="AW1088" s="1"/>
      <c r="AX1088" s="1"/>
      <c r="AY1088" s="1"/>
      <c r="AZ1088" s="1"/>
      <c r="BA1088" s="1"/>
      <c r="BC1088" s="1"/>
      <c r="BD1088" s="1"/>
      <c r="BE1088" s="1"/>
      <c r="BF1088" s="1"/>
      <c r="BG1088" s="1"/>
      <c r="BH1088" s="1"/>
      <c r="BI1088" s="1"/>
      <c r="BJ1088" s="1"/>
      <c r="BK1088" s="1"/>
      <c r="BL1088" s="1"/>
      <c r="BM1088" s="1"/>
      <c r="BN1088" s="1"/>
      <c r="BO1088" s="1"/>
      <c r="BP1088" s="1"/>
      <c r="BQ1088" s="1"/>
      <c r="BR1088" s="1"/>
      <c r="BS1088" s="1"/>
      <c r="BT1088" s="1"/>
      <c r="BU1088" s="1"/>
      <c r="BV1088" s="1"/>
      <c r="BW1088" s="1"/>
      <c r="BX1088" s="1"/>
      <c r="BY1088" s="1"/>
      <c r="BZ1088" s="1"/>
      <c r="CA1088" s="1"/>
      <c r="CB1088" s="1"/>
      <c r="CC1088" s="1"/>
      <c r="CD1088" s="1"/>
      <c r="CE1088" s="1"/>
      <c r="CF1088" s="1"/>
      <c r="CG1088" s="1"/>
      <c r="CH1088" s="1"/>
      <c r="CI1088" s="1"/>
      <c r="CJ1088" s="1"/>
      <c r="CK1088" s="1"/>
      <c r="CL1088" s="1"/>
      <c r="CM1088" s="1"/>
      <c r="CN1088" s="1"/>
      <c r="CO1088" s="1"/>
      <c r="CP1088" s="1"/>
      <c r="CQ1088" s="1"/>
      <c r="CR1088" s="1"/>
      <c r="CS1088" s="1"/>
      <c r="CT1088" s="1"/>
      <c r="CU1088" s="1"/>
      <c r="CV1088" s="1"/>
      <c r="CW1088" s="1"/>
      <c r="CX1088" s="1"/>
      <c r="CY1088" s="1"/>
      <c r="CZ1088" s="1"/>
      <c r="DA1088" s="1"/>
      <c r="DB1088" s="1"/>
      <c r="DC1088" s="1"/>
      <c r="DD1088" s="1"/>
      <c r="DE1088" s="1"/>
      <c r="DF1088" s="1"/>
      <c r="DG1088" s="1"/>
      <c r="DH1088" s="1"/>
      <c r="DI1088" s="1"/>
      <c r="DJ1088" s="1"/>
      <c r="DK1088" s="1"/>
      <c r="DL1088" s="1"/>
      <c r="DM1088" s="1"/>
      <c r="DN1088" s="1"/>
      <c r="DO1088" s="1"/>
      <c r="DP1088" s="1"/>
      <c r="DQ1088" s="1"/>
      <c r="DR1088" s="1"/>
      <c r="DS1088" s="1"/>
      <c r="DT1088" s="1"/>
      <c r="DU1088" s="1"/>
      <c r="DV1088" s="1"/>
      <c r="DW1088" s="1"/>
      <c r="DX1088" s="1"/>
      <c r="DY1088" s="1"/>
      <c r="DZ1088" s="1"/>
      <c r="EA1088" s="1"/>
      <c r="EB1088" s="1"/>
      <c r="EC1088" s="1"/>
      <c r="ED1088" s="1"/>
      <c r="EE1088" s="1"/>
      <c r="EF1088" s="1"/>
      <c r="EG1088" s="1"/>
      <c r="EH1088" s="1"/>
      <c r="EI1088" s="1"/>
      <c r="EJ1088" s="1"/>
      <c r="EK1088" s="1"/>
      <c r="EL1088" s="1"/>
      <c r="EM1088" s="1"/>
      <c r="EN1088" s="1"/>
      <c r="EO1088" s="1"/>
      <c r="EP1088" s="1"/>
      <c r="EQ1088" s="1"/>
      <c r="ER1088" s="1"/>
      <c r="ES1088" s="1"/>
      <c r="ET1088" s="1"/>
      <c r="EU1088" s="1"/>
      <c r="EV1088" s="1"/>
      <c r="EW1088" s="1"/>
      <c r="EX1088" s="1"/>
      <c r="EY1088" s="1"/>
      <c r="EZ1088" s="1"/>
      <c r="FA1088" s="1"/>
      <c r="FB1088" s="1"/>
      <c r="FC1088" s="1"/>
      <c r="FD1088" s="1"/>
      <c r="FE1088" s="1"/>
      <c r="FF1088" s="1"/>
      <c r="FG1088" s="1"/>
      <c r="FH1088" s="1"/>
      <c r="FI1088" s="1"/>
      <c r="FJ1088" s="1"/>
      <c r="FK1088" s="1"/>
      <c r="FL1088" s="1"/>
      <c r="FM1088" s="1"/>
      <c r="FN1088" s="1"/>
      <c r="FO1088" s="1"/>
      <c r="FP1088" s="1"/>
      <c r="FQ1088" s="1"/>
      <c r="FR1088" s="2"/>
      <c r="FS1088" s="1"/>
    </row>
    <row r="1089" spans="1:175" x14ac:dyDescent="0.3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R1089" s="1"/>
      <c r="S1089" s="1"/>
      <c r="T1089" s="1"/>
      <c r="U1089" s="1"/>
      <c r="V1089" s="1"/>
      <c r="Y1089" s="1"/>
      <c r="Z1089" s="2"/>
      <c r="AA1089" s="1"/>
      <c r="AB1089" s="1"/>
      <c r="AC1089" s="1"/>
      <c r="AD1089" s="1"/>
      <c r="AE1089" s="1"/>
      <c r="AF1089" s="1"/>
      <c r="AG1089" s="1"/>
      <c r="AH1089" s="1"/>
      <c r="AI1089" s="1"/>
      <c r="AJ1089" s="1"/>
      <c r="AK1089" s="1"/>
      <c r="AL1089" s="1"/>
      <c r="AM1089" s="1"/>
      <c r="AN1089" s="1"/>
      <c r="AO1089" s="1"/>
      <c r="AP1089" s="1"/>
      <c r="AQ1089" s="1"/>
      <c r="AR1089" s="1"/>
      <c r="AS1089" s="1"/>
      <c r="AU1089" s="1"/>
      <c r="AW1089" s="1"/>
      <c r="AX1089" s="1"/>
      <c r="AY1089" s="1"/>
      <c r="AZ1089" s="1"/>
      <c r="BA1089" s="1"/>
      <c r="BC1089" s="1"/>
      <c r="BD1089" s="1"/>
      <c r="BE1089" s="1"/>
      <c r="BF1089" s="1"/>
      <c r="BG1089" s="1"/>
      <c r="BH1089" s="1"/>
      <c r="BI1089" s="1"/>
      <c r="BJ1089" s="1"/>
      <c r="BK1089" s="1"/>
      <c r="BL1089" s="1"/>
      <c r="BM1089" s="1"/>
      <c r="BN1089" s="1"/>
      <c r="BO1089" s="1"/>
      <c r="BP1089" s="1"/>
      <c r="BQ1089" s="1"/>
      <c r="BR1089" s="1"/>
      <c r="BS1089" s="1"/>
      <c r="BT1089" s="1"/>
      <c r="BU1089" s="1"/>
      <c r="BV1089" s="1"/>
      <c r="BW1089" s="1"/>
      <c r="BX1089" s="1"/>
      <c r="BY1089" s="1"/>
      <c r="BZ1089" s="1"/>
      <c r="CA1089" s="1"/>
      <c r="CB1089" s="1"/>
      <c r="CC1089" s="1"/>
      <c r="CD1089" s="1"/>
      <c r="CE1089" s="1"/>
      <c r="CF1089" s="1"/>
      <c r="CG1089" s="1"/>
      <c r="CH1089" s="1"/>
      <c r="CI1089" s="1"/>
      <c r="CJ1089" s="1"/>
      <c r="CK1089" s="1"/>
      <c r="CL1089" s="1"/>
      <c r="CM1089" s="1"/>
      <c r="CN1089" s="1"/>
      <c r="CO1089" s="1"/>
      <c r="CP1089" s="1"/>
      <c r="CQ1089" s="1"/>
      <c r="CR1089" s="1"/>
      <c r="CS1089" s="1"/>
      <c r="CT1089" s="1"/>
      <c r="CU1089" s="1"/>
      <c r="CV1089" s="1"/>
      <c r="CW1089" s="1"/>
      <c r="CX1089" s="1"/>
      <c r="CY1089" s="1"/>
      <c r="CZ1089" s="1"/>
      <c r="DA1089" s="1"/>
      <c r="DB1089" s="1"/>
      <c r="DC1089" s="1"/>
      <c r="DD1089" s="1"/>
      <c r="DE1089" s="1"/>
      <c r="DF1089" s="1"/>
      <c r="DG1089" s="1"/>
      <c r="DH1089" s="1"/>
      <c r="DI1089" s="1"/>
      <c r="DJ1089" s="1"/>
      <c r="DK1089" s="1"/>
      <c r="DL1089" s="1"/>
      <c r="DM1089" s="1"/>
      <c r="DN1089" s="1"/>
      <c r="DO1089" s="1"/>
      <c r="DP1089" s="1"/>
      <c r="DQ1089" s="1"/>
      <c r="DR1089" s="1"/>
      <c r="DS1089" s="1"/>
      <c r="DT1089" s="1"/>
      <c r="DU1089" s="1"/>
      <c r="DV1089" s="1"/>
      <c r="DW1089" s="1"/>
      <c r="DX1089" s="1"/>
      <c r="DY1089" s="1"/>
      <c r="DZ1089" s="1"/>
      <c r="EA1089" s="1"/>
      <c r="EB1089" s="1"/>
      <c r="EC1089" s="1"/>
      <c r="ED1089" s="1"/>
      <c r="EE1089" s="1"/>
      <c r="EF1089" s="1"/>
      <c r="EG1089" s="1"/>
      <c r="EH1089" s="1"/>
      <c r="EI1089" s="1"/>
      <c r="EJ1089" s="1"/>
      <c r="EK1089" s="1"/>
      <c r="EL1089" s="1"/>
      <c r="EM1089" s="1"/>
      <c r="EN1089" s="1"/>
      <c r="EO1089" s="1"/>
      <c r="EP1089" s="1"/>
      <c r="EQ1089" s="1"/>
      <c r="ER1089" s="1"/>
      <c r="ES1089" s="1"/>
      <c r="ET1089" s="1"/>
      <c r="EU1089" s="1"/>
      <c r="EV1089" s="1"/>
      <c r="EW1089" s="1"/>
      <c r="EX1089" s="1"/>
      <c r="EY1089" s="1"/>
      <c r="EZ1089" s="1"/>
      <c r="FA1089" s="1"/>
      <c r="FB1089" s="1"/>
      <c r="FC1089" s="1"/>
      <c r="FD1089" s="1"/>
      <c r="FE1089" s="1"/>
      <c r="FF1089" s="1"/>
      <c r="FG1089" s="1"/>
      <c r="FH1089" s="1"/>
      <c r="FI1089" s="1"/>
      <c r="FJ1089" s="1"/>
      <c r="FK1089" s="1"/>
      <c r="FL1089" s="1"/>
      <c r="FM1089" s="1"/>
      <c r="FN1089" s="1"/>
      <c r="FO1089" s="1"/>
      <c r="FP1089" s="1"/>
      <c r="FQ1089" s="1"/>
      <c r="FR1089" s="2"/>
      <c r="FS1089" s="1"/>
    </row>
    <row r="1090" spans="1:175" x14ac:dyDescent="0.3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R1090" s="1"/>
      <c r="S1090" s="1"/>
      <c r="T1090" s="1"/>
      <c r="U1090" s="1"/>
      <c r="V1090" s="1"/>
      <c r="Y1090" s="1"/>
      <c r="Z1090" s="2"/>
      <c r="AA1090" s="1"/>
      <c r="AB1090" s="1"/>
      <c r="AC1090" s="1"/>
      <c r="AD1090" s="1"/>
      <c r="AE1090" s="1"/>
      <c r="AF1090" s="1"/>
      <c r="AG1090" s="1"/>
      <c r="AH1090" s="1"/>
      <c r="AI1090" s="1"/>
      <c r="AJ1090" s="1"/>
      <c r="AK1090" s="1"/>
      <c r="AL1090" s="1"/>
      <c r="AM1090" s="1"/>
      <c r="AN1090" s="1"/>
      <c r="AO1090" s="1"/>
      <c r="AP1090" s="1"/>
      <c r="AQ1090" s="1"/>
      <c r="AR1090" s="1"/>
      <c r="AS1090" s="1"/>
      <c r="AU1090" s="1"/>
      <c r="AW1090" s="1"/>
      <c r="AX1090" s="1"/>
      <c r="AY1090" s="1"/>
      <c r="AZ1090" s="1"/>
      <c r="BA1090" s="1"/>
      <c r="BC1090" s="1"/>
      <c r="BD1090" s="1"/>
      <c r="BE1090" s="1"/>
      <c r="BF1090" s="1"/>
      <c r="BG1090" s="1"/>
      <c r="BH1090" s="1"/>
      <c r="BI1090" s="1"/>
      <c r="BJ1090" s="1"/>
      <c r="BK1090" s="1"/>
      <c r="BL1090" s="1"/>
      <c r="BM1090" s="1"/>
      <c r="BN1090" s="1"/>
      <c r="BO1090" s="1"/>
      <c r="BP1090" s="1"/>
      <c r="BQ1090" s="1"/>
      <c r="BR1090" s="1"/>
      <c r="BS1090" s="1"/>
      <c r="BT1090" s="1"/>
      <c r="BU1090" s="1"/>
      <c r="BV1090" s="1"/>
      <c r="BW1090" s="1"/>
      <c r="BX1090" s="1"/>
      <c r="BY1090" s="1"/>
      <c r="BZ1090" s="1"/>
      <c r="CA1090" s="1"/>
      <c r="CB1090" s="1"/>
      <c r="CC1090" s="1"/>
      <c r="CD1090" s="1"/>
      <c r="CE1090" s="1"/>
      <c r="CF1090" s="1"/>
      <c r="CG1090" s="1"/>
      <c r="CH1090" s="1"/>
      <c r="CI1090" s="1"/>
      <c r="CJ1090" s="1"/>
      <c r="CK1090" s="1"/>
      <c r="CL1090" s="1"/>
      <c r="CM1090" s="1"/>
      <c r="CN1090" s="1"/>
      <c r="CO1090" s="1"/>
      <c r="CP1090" s="1"/>
      <c r="CQ1090" s="1"/>
      <c r="CR1090" s="1"/>
      <c r="CS1090" s="1"/>
      <c r="CT1090" s="1"/>
      <c r="CU1090" s="1"/>
      <c r="CV1090" s="1"/>
      <c r="CW1090" s="1"/>
      <c r="CX1090" s="1"/>
      <c r="CY1090" s="1"/>
      <c r="CZ1090" s="1"/>
      <c r="DA1090" s="1"/>
      <c r="DB1090" s="1"/>
      <c r="DC1090" s="1"/>
      <c r="DD1090" s="1"/>
      <c r="DE1090" s="1"/>
      <c r="DF1090" s="1"/>
      <c r="DG1090" s="1"/>
      <c r="DH1090" s="1"/>
      <c r="DI1090" s="1"/>
      <c r="DJ1090" s="1"/>
      <c r="DK1090" s="1"/>
      <c r="DL1090" s="1"/>
      <c r="DM1090" s="1"/>
      <c r="DN1090" s="1"/>
      <c r="DO1090" s="1"/>
      <c r="DP1090" s="1"/>
      <c r="DQ1090" s="1"/>
      <c r="DR1090" s="1"/>
      <c r="DS1090" s="1"/>
      <c r="DT1090" s="1"/>
      <c r="DU1090" s="1"/>
      <c r="DV1090" s="1"/>
      <c r="DW1090" s="1"/>
      <c r="DX1090" s="1"/>
      <c r="DY1090" s="1"/>
      <c r="DZ1090" s="1"/>
      <c r="EA1090" s="1"/>
      <c r="EB1090" s="1"/>
      <c r="EC1090" s="1"/>
      <c r="ED1090" s="1"/>
      <c r="EE1090" s="1"/>
      <c r="EF1090" s="1"/>
      <c r="EG1090" s="1"/>
      <c r="EH1090" s="1"/>
      <c r="EI1090" s="1"/>
      <c r="EJ1090" s="1"/>
      <c r="EK1090" s="1"/>
      <c r="EL1090" s="1"/>
      <c r="EM1090" s="1"/>
      <c r="EN1090" s="1"/>
      <c r="EO1090" s="1"/>
      <c r="EP1090" s="1"/>
      <c r="EQ1090" s="1"/>
      <c r="ER1090" s="1"/>
      <c r="ES1090" s="1"/>
      <c r="ET1090" s="1"/>
      <c r="EU1090" s="1"/>
      <c r="EV1090" s="1"/>
      <c r="EW1090" s="1"/>
      <c r="EX1090" s="1"/>
      <c r="EY1090" s="1"/>
      <c r="EZ1090" s="1"/>
      <c r="FA1090" s="1"/>
      <c r="FB1090" s="1"/>
      <c r="FC1090" s="1"/>
      <c r="FD1090" s="1"/>
      <c r="FE1090" s="1"/>
      <c r="FF1090" s="1"/>
      <c r="FG1090" s="1"/>
      <c r="FH1090" s="1"/>
      <c r="FI1090" s="1"/>
      <c r="FJ1090" s="1"/>
      <c r="FK1090" s="1"/>
      <c r="FL1090" s="1"/>
      <c r="FM1090" s="1"/>
      <c r="FN1090" s="1"/>
      <c r="FO1090" s="1"/>
      <c r="FP1090" s="1"/>
      <c r="FQ1090" s="1"/>
      <c r="FR1090" s="2"/>
      <c r="FS1090" s="1"/>
    </row>
    <row r="1091" spans="1:175" x14ac:dyDescent="0.3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R1091" s="1"/>
      <c r="S1091" s="1"/>
      <c r="T1091" s="1"/>
      <c r="U1091" s="1"/>
      <c r="V1091" s="1"/>
      <c r="Y1091" s="1"/>
      <c r="Z1091" s="2"/>
      <c r="AA1091" s="1"/>
      <c r="AB1091" s="1"/>
      <c r="AC1091" s="1"/>
      <c r="AD1091" s="1"/>
      <c r="AE1091" s="1"/>
      <c r="AF1091" s="1"/>
      <c r="AG1091" s="1"/>
      <c r="AH1091" s="1"/>
      <c r="AI1091" s="1"/>
      <c r="AJ1091" s="1"/>
      <c r="AK1091" s="1"/>
      <c r="AL1091" s="1"/>
      <c r="AM1091" s="1"/>
      <c r="AN1091" s="1"/>
      <c r="AO1091" s="1"/>
      <c r="AP1091" s="1"/>
      <c r="AQ1091" s="1"/>
      <c r="AR1091" s="1"/>
      <c r="AS1091" s="1"/>
      <c r="AU1091" s="1"/>
      <c r="AW1091" s="1"/>
      <c r="AX1091" s="1"/>
      <c r="AY1091" s="1"/>
      <c r="AZ1091" s="1"/>
      <c r="BA1091" s="1"/>
      <c r="BC1091" s="1"/>
      <c r="BD1091" s="1"/>
      <c r="BE1091" s="1"/>
      <c r="BF1091" s="1"/>
      <c r="BG1091" s="1"/>
      <c r="BH1091" s="1"/>
      <c r="BI1091" s="1"/>
      <c r="BJ1091" s="1"/>
      <c r="BK1091" s="1"/>
      <c r="BL1091" s="1"/>
      <c r="BM1091" s="1"/>
      <c r="BN1091" s="1"/>
      <c r="BO1091" s="1"/>
      <c r="BP1091" s="1"/>
      <c r="BQ1091" s="1"/>
      <c r="BR1091" s="1"/>
      <c r="BS1091" s="1"/>
      <c r="BT1091" s="1"/>
      <c r="BU1091" s="1"/>
      <c r="BV1091" s="1"/>
      <c r="BW1091" s="1"/>
      <c r="BX1091" s="1"/>
      <c r="BY1091" s="1"/>
      <c r="BZ1091" s="1"/>
      <c r="CA1091" s="1"/>
      <c r="CB1091" s="1"/>
      <c r="CC1091" s="1"/>
      <c r="CD1091" s="1"/>
      <c r="CE1091" s="1"/>
      <c r="CF1091" s="1"/>
      <c r="CG1091" s="1"/>
      <c r="CH1091" s="1"/>
      <c r="CI1091" s="1"/>
      <c r="CJ1091" s="1"/>
      <c r="CK1091" s="1"/>
      <c r="CL1091" s="1"/>
      <c r="CM1091" s="1"/>
      <c r="CN1091" s="1"/>
      <c r="CO1091" s="1"/>
      <c r="CP1091" s="1"/>
      <c r="CQ1091" s="1"/>
      <c r="CR1091" s="1"/>
      <c r="CS1091" s="1"/>
      <c r="CT1091" s="1"/>
      <c r="CU1091" s="1"/>
      <c r="CV1091" s="1"/>
      <c r="CW1091" s="1"/>
      <c r="CX1091" s="1"/>
      <c r="CY1091" s="1"/>
      <c r="CZ1091" s="1"/>
      <c r="DA1091" s="1"/>
      <c r="DB1091" s="1"/>
      <c r="DC1091" s="1"/>
      <c r="DD1091" s="1"/>
      <c r="DE1091" s="1"/>
      <c r="DF1091" s="1"/>
      <c r="DG1091" s="1"/>
      <c r="DH1091" s="1"/>
      <c r="DI1091" s="1"/>
      <c r="DJ1091" s="1"/>
      <c r="DK1091" s="1"/>
      <c r="DL1091" s="1"/>
      <c r="DM1091" s="1"/>
      <c r="DN1091" s="1"/>
      <c r="DO1091" s="1"/>
      <c r="DP1091" s="1"/>
      <c r="DQ1091" s="1"/>
      <c r="DR1091" s="1"/>
      <c r="DS1091" s="1"/>
      <c r="DT1091" s="1"/>
      <c r="DU1091" s="1"/>
      <c r="DV1091" s="1"/>
      <c r="DW1091" s="1"/>
      <c r="DX1091" s="1"/>
      <c r="DY1091" s="1"/>
      <c r="DZ1091" s="1"/>
      <c r="EA1091" s="1"/>
      <c r="EB1091" s="1"/>
      <c r="EC1091" s="1"/>
      <c r="ED1091" s="1"/>
      <c r="EE1091" s="1"/>
      <c r="EF1091" s="1"/>
      <c r="EG1091" s="1"/>
      <c r="EH1091" s="1"/>
      <c r="EI1091" s="1"/>
      <c r="EJ1091" s="1"/>
      <c r="EK1091" s="1"/>
      <c r="EL1091" s="1"/>
      <c r="EM1091" s="1"/>
      <c r="EN1091" s="1"/>
      <c r="EO1091" s="1"/>
      <c r="EP1091" s="1"/>
      <c r="EQ1091" s="1"/>
      <c r="ER1091" s="1"/>
      <c r="ES1091" s="1"/>
      <c r="ET1091" s="1"/>
      <c r="EU1091" s="1"/>
      <c r="EV1091" s="1"/>
      <c r="EW1091" s="1"/>
      <c r="EX1091" s="1"/>
      <c r="EY1091" s="1"/>
      <c r="EZ1091" s="1"/>
      <c r="FA1091" s="1"/>
      <c r="FB1091" s="1"/>
      <c r="FC1091" s="1"/>
      <c r="FD1091" s="1"/>
      <c r="FE1091" s="1"/>
      <c r="FF1091" s="1"/>
      <c r="FG1091" s="1"/>
      <c r="FH1091" s="1"/>
      <c r="FI1091" s="1"/>
      <c r="FJ1091" s="1"/>
      <c r="FK1091" s="1"/>
      <c r="FL1091" s="1"/>
      <c r="FM1091" s="1"/>
      <c r="FN1091" s="1"/>
      <c r="FO1091" s="1"/>
      <c r="FP1091" s="1"/>
      <c r="FQ1091" s="1"/>
      <c r="FR1091" s="2"/>
      <c r="FS1091" s="1"/>
    </row>
    <row r="1092" spans="1:175" x14ac:dyDescent="0.3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R1092" s="1"/>
      <c r="S1092" s="1"/>
      <c r="T1092" s="1"/>
      <c r="U1092" s="1"/>
      <c r="V1092" s="1"/>
      <c r="Y1092" s="1"/>
      <c r="Z1092" s="2"/>
      <c r="AA1092" s="1"/>
      <c r="AB1092" s="1"/>
      <c r="AC1092" s="1"/>
      <c r="AD1092" s="1"/>
      <c r="AE1092" s="1"/>
      <c r="AF1092" s="1"/>
      <c r="AG1092" s="1"/>
      <c r="AH1092" s="1"/>
      <c r="AI1092" s="1"/>
      <c r="AJ1092" s="1"/>
      <c r="AK1092" s="1"/>
      <c r="AL1092" s="1"/>
      <c r="AM1092" s="1"/>
      <c r="AN1092" s="1"/>
      <c r="AO1092" s="1"/>
      <c r="AP1092" s="1"/>
      <c r="AQ1092" s="1"/>
      <c r="AR1092" s="1"/>
      <c r="AS1092" s="1"/>
      <c r="AU1092" s="1"/>
      <c r="AW1092" s="1"/>
      <c r="AX1092" s="1"/>
      <c r="AY1092" s="1"/>
      <c r="AZ1092" s="1"/>
      <c r="BA1092" s="1"/>
      <c r="BC1092" s="1"/>
      <c r="BD1092" s="1"/>
      <c r="BE1092" s="1"/>
      <c r="BF1092" s="1"/>
      <c r="BG1092" s="1"/>
      <c r="BH1092" s="1"/>
      <c r="BI1092" s="1"/>
      <c r="BJ1092" s="1"/>
      <c r="BK1092" s="1"/>
      <c r="BL1092" s="1"/>
      <c r="BM1092" s="1"/>
      <c r="BN1092" s="1"/>
      <c r="BO1092" s="1"/>
      <c r="BP1092" s="1"/>
      <c r="BQ1092" s="1"/>
      <c r="BR1092" s="1"/>
      <c r="BS1092" s="1"/>
      <c r="BT1092" s="1"/>
      <c r="BU1092" s="1"/>
      <c r="BV1092" s="1"/>
      <c r="BW1092" s="1"/>
      <c r="BX1092" s="1"/>
      <c r="BY1092" s="1"/>
      <c r="BZ1092" s="1"/>
      <c r="CA1092" s="1"/>
      <c r="CB1092" s="1"/>
      <c r="CC1092" s="1"/>
      <c r="CD1092" s="1"/>
      <c r="CE1092" s="1"/>
      <c r="CF1092" s="1"/>
      <c r="CG1092" s="1"/>
      <c r="CH1092" s="1"/>
      <c r="CI1092" s="1"/>
      <c r="CJ1092" s="1"/>
      <c r="CK1092" s="1"/>
      <c r="CL1092" s="1"/>
      <c r="CM1092" s="1"/>
      <c r="CN1092" s="1"/>
      <c r="CO1092" s="1"/>
      <c r="CP1092" s="1"/>
      <c r="CQ1092" s="1"/>
      <c r="CR1092" s="1"/>
      <c r="CS1092" s="1"/>
      <c r="CT1092" s="1"/>
      <c r="CU1092" s="1"/>
      <c r="CV1092" s="1"/>
      <c r="CW1092" s="1"/>
      <c r="CX1092" s="1"/>
      <c r="CY1092" s="1"/>
      <c r="CZ1092" s="1"/>
      <c r="DA1092" s="1"/>
      <c r="DB1092" s="1"/>
      <c r="DC1092" s="1"/>
      <c r="DD1092" s="1"/>
      <c r="DE1092" s="1"/>
      <c r="DF1092" s="1"/>
      <c r="DG1092" s="1"/>
      <c r="DH1092" s="1"/>
      <c r="DI1092" s="1"/>
      <c r="DJ1092" s="1"/>
      <c r="DK1092" s="1"/>
      <c r="DL1092" s="1"/>
      <c r="DM1092" s="1"/>
      <c r="DN1092" s="1"/>
      <c r="DO1092" s="1"/>
      <c r="DP1092" s="1"/>
      <c r="DQ1092" s="1"/>
      <c r="DR1092" s="1"/>
      <c r="DS1092" s="1"/>
      <c r="DT1092" s="1"/>
      <c r="DU1092" s="1"/>
      <c r="DV1092" s="1"/>
      <c r="DW1092" s="1"/>
      <c r="DX1092" s="1"/>
      <c r="DY1092" s="1"/>
      <c r="DZ1092" s="1"/>
      <c r="EA1092" s="1"/>
      <c r="EB1092" s="1"/>
      <c r="EC1092" s="1"/>
      <c r="ED1092" s="1"/>
      <c r="EE1092" s="1"/>
      <c r="EF1092" s="1"/>
      <c r="EG1092" s="1"/>
      <c r="EH1092" s="1"/>
      <c r="EI1092" s="1"/>
      <c r="EJ1092" s="1"/>
      <c r="EK1092" s="1"/>
      <c r="EL1092" s="1"/>
      <c r="EM1092" s="1"/>
      <c r="EN1092" s="1"/>
      <c r="EO1092" s="1"/>
      <c r="EP1092" s="1"/>
      <c r="EQ1092" s="1"/>
      <c r="ER1092" s="1"/>
      <c r="ES1092" s="1"/>
      <c r="ET1092" s="1"/>
      <c r="EU1092" s="1"/>
      <c r="EV1092" s="1"/>
      <c r="EW1092" s="1"/>
      <c r="EX1092" s="1"/>
      <c r="EY1092" s="1"/>
      <c r="EZ1092" s="1"/>
      <c r="FA1092" s="1"/>
      <c r="FB1092" s="1"/>
      <c r="FC1092" s="1"/>
      <c r="FD1092" s="1"/>
      <c r="FE1092" s="1"/>
      <c r="FF1092" s="1"/>
      <c r="FG1092" s="1"/>
      <c r="FH1092" s="1"/>
      <c r="FI1092" s="1"/>
      <c r="FJ1092" s="1"/>
      <c r="FK1092" s="1"/>
      <c r="FL1092" s="1"/>
      <c r="FM1092" s="1"/>
      <c r="FN1092" s="1"/>
      <c r="FO1092" s="1"/>
      <c r="FP1092" s="1"/>
      <c r="FQ1092" s="1"/>
      <c r="FR1092" s="2"/>
      <c r="FS1092" s="1"/>
    </row>
    <row r="1093" spans="1:175" x14ac:dyDescent="0.3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R1093" s="1"/>
      <c r="S1093" s="1"/>
      <c r="T1093" s="1"/>
      <c r="U1093" s="1"/>
      <c r="V1093" s="1"/>
      <c r="Y1093" s="1"/>
      <c r="Z1093" s="2"/>
      <c r="AA1093" s="1"/>
      <c r="AB1093" s="1"/>
      <c r="AC1093" s="1"/>
      <c r="AD1093" s="1"/>
      <c r="AE1093" s="1"/>
      <c r="AF1093" s="1"/>
      <c r="AG1093" s="1"/>
      <c r="AH1093" s="1"/>
      <c r="AI1093" s="1"/>
      <c r="AJ1093" s="1"/>
      <c r="AK1093" s="1"/>
      <c r="AL1093" s="1"/>
      <c r="AM1093" s="1"/>
      <c r="AN1093" s="1"/>
      <c r="AO1093" s="1"/>
      <c r="AP1093" s="1"/>
      <c r="AQ1093" s="1"/>
      <c r="AR1093" s="1"/>
      <c r="AS1093" s="1"/>
      <c r="AU1093" s="1"/>
      <c r="AW1093" s="1"/>
      <c r="AX1093" s="1"/>
      <c r="AY1093" s="1"/>
      <c r="AZ1093" s="1"/>
      <c r="BA1093" s="1"/>
      <c r="BC1093" s="1"/>
      <c r="BD1093" s="1"/>
      <c r="BE1093" s="1"/>
      <c r="BF1093" s="1"/>
      <c r="BG1093" s="1"/>
      <c r="BH1093" s="1"/>
      <c r="BI1093" s="1"/>
      <c r="BJ1093" s="1"/>
      <c r="BK1093" s="1"/>
      <c r="BL1093" s="1"/>
      <c r="BM1093" s="1"/>
      <c r="BN1093" s="1"/>
      <c r="BO1093" s="1"/>
      <c r="BP1093" s="1"/>
      <c r="BQ1093" s="1"/>
      <c r="BR1093" s="1"/>
      <c r="BS1093" s="1"/>
      <c r="BT1093" s="1"/>
      <c r="BU1093" s="1"/>
      <c r="BV1093" s="1"/>
      <c r="BW1093" s="1"/>
      <c r="BX1093" s="1"/>
      <c r="BY1093" s="1"/>
      <c r="BZ1093" s="1"/>
      <c r="CA1093" s="1"/>
      <c r="CB1093" s="1"/>
      <c r="CC1093" s="1"/>
      <c r="CD1093" s="1"/>
      <c r="CE1093" s="1"/>
      <c r="CF1093" s="1"/>
      <c r="CG1093" s="1"/>
      <c r="CH1093" s="1"/>
      <c r="CI1093" s="1"/>
      <c r="CJ1093" s="1"/>
      <c r="CK1093" s="1"/>
      <c r="CL1093" s="1"/>
      <c r="CM1093" s="1"/>
      <c r="CN1093" s="1"/>
      <c r="CO1093" s="1"/>
      <c r="CP1093" s="1"/>
      <c r="CQ1093" s="1"/>
      <c r="CR1093" s="1"/>
      <c r="CS1093" s="1"/>
      <c r="CT1093" s="1"/>
      <c r="CU1093" s="1"/>
      <c r="CV1093" s="1"/>
      <c r="CW1093" s="1"/>
      <c r="CX1093" s="1"/>
      <c r="CY1093" s="1"/>
      <c r="CZ1093" s="1"/>
      <c r="DA1093" s="1"/>
      <c r="DB1093" s="1"/>
      <c r="DC1093" s="1"/>
      <c r="DD1093" s="1"/>
      <c r="DE1093" s="1"/>
      <c r="DF1093" s="1"/>
      <c r="DG1093" s="1"/>
      <c r="DH1093" s="1"/>
      <c r="DI1093" s="1"/>
      <c r="DJ1093" s="1"/>
      <c r="DK1093" s="1"/>
      <c r="DL1093" s="1"/>
      <c r="DM1093" s="1"/>
      <c r="DN1093" s="1"/>
      <c r="DO1093" s="1"/>
      <c r="DP1093" s="1"/>
      <c r="DQ1093" s="1"/>
      <c r="DR1093" s="1"/>
      <c r="DS1093" s="1"/>
      <c r="DT1093" s="1"/>
      <c r="DU1093" s="1"/>
      <c r="DV1093" s="1"/>
      <c r="DW1093" s="1"/>
      <c r="DX1093" s="1"/>
      <c r="DY1093" s="1"/>
      <c r="DZ1093" s="1"/>
      <c r="EA1093" s="1"/>
      <c r="EB1093" s="1"/>
      <c r="EC1093" s="1"/>
      <c r="ED1093" s="1"/>
      <c r="EE1093" s="1"/>
      <c r="EF1093" s="1"/>
      <c r="EG1093" s="1"/>
      <c r="EH1093" s="1"/>
      <c r="EI1093" s="1"/>
      <c r="EJ1093" s="1"/>
      <c r="EK1093" s="1"/>
      <c r="EL1093" s="1"/>
      <c r="EM1093" s="1"/>
      <c r="EN1093" s="1"/>
      <c r="EO1093" s="1"/>
      <c r="EP1093" s="1"/>
      <c r="EQ1093" s="1"/>
      <c r="ER1093" s="1"/>
      <c r="ES1093" s="1"/>
      <c r="ET1093" s="1"/>
      <c r="EU1093" s="1"/>
      <c r="EV1093" s="1"/>
      <c r="EW1093" s="1"/>
      <c r="EX1093" s="1"/>
      <c r="EY1093" s="1"/>
      <c r="EZ1093" s="1"/>
      <c r="FA1093" s="1"/>
      <c r="FB1093" s="1"/>
      <c r="FC1093" s="1"/>
      <c r="FD1093" s="1"/>
      <c r="FE1093" s="1"/>
      <c r="FF1093" s="1"/>
      <c r="FG1093" s="1"/>
      <c r="FH1093" s="1"/>
      <c r="FI1093" s="1"/>
      <c r="FJ1093" s="1"/>
      <c r="FK1093" s="1"/>
      <c r="FL1093" s="1"/>
      <c r="FM1093" s="1"/>
      <c r="FN1093" s="1"/>
      <c r="FO1093" s="1"/>
      <c r="FP1093" s="1"/>
      <c r="FQ1093" s="1"/>
      <c r="FR1093" s="2"/>
      <c r="FS1093" s="1"/>
    </row>
    <row r="1094" spans="1:175" x14ac:dyDescent="0.3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R1094" s="1"/>
      <c r="S1094" s="1"/>
      <c r="T1094" s="1"/>
      <c r="U1094" s="1"/>
      <c r="V1094" s="1"/>
      <c r="Y1094" s="1"/>
      <c r="Z1094" s="2"/>
      <c r="AA1094" s="1"/>
      <c r="AB1094" s="1"/>
      <c r="AC1094" s="1"/>
      <c r="AD1094" s="1"/>
      <c r="AE1094" s="1"/>
      <c r="AF1094" s="1"/>
      <c r="AG1094" s="1"/>
      <c r="AH1094" s="1"/>
      <c r="AI1094" s="1"/>
      <c r="AJ1094" s="1"/>
      <c r="AK1094" s="1"/>
      <c r="AL1094" s="1"/>
      <c r="AM1094" s="1"/>
      <c r="AN1094" s="1"/>
      <c r="AO1094" s="1"/>
      <c r="AP1094" s="1"/>
      <c r="AQ1094" s="1"/>
      <c r="AR1094" s="1"/>
      <c r="AS1094" s="1"/>
      <c r="AU1094" s="1"/>
      <c r="AW1094" s="1"/>
      <c r="AX1094" s="1"/>
      <c r="AY1094" s="1"/>
      <c r="AZ1094" s="1"/>
      <c r="BA1094" s="1"/>
      <c r="BC1094" s="1"/>
      <c r="BD1094" s="1"/>
      <c r="BE1094" s="1"/>
      <c r="BF1094" s="1"/>
      <c r="BG1094" s="1"/>
      <c r="BH1094" s="1"/>
      <c r="BI1094" s="1"/>
      <c r="BJ1094" s="1"/>
      <c r="BK1094" s="1"/>
      <c r="BL1094" s="1"/>
      <c r="BM1094" s="1"/>
      <c r="BN1094" s="1"/>
      <c r="BO1094" s="1"/>
      <c r="BP1094" s="1"/>
      <c r="BQ1094" s="1"/>
      <c r="BR1094" s="1"/>
      <c r="BS1094" s="1"/>
      <c r="BT1094" s="1"/>
      <c r="BU1094" s="1"/>
      <c r="BV1094" s="1"/>
      <c r="BW1094" s="1"/>
      <c r="BX1094" s="1"/>
      <c r="BY1094" s="1"/>
      <c r="BZ1094" s="1"/>
      <c r="CA1094" s="1"/>
      <c r="CB1094" s="1"/>
      <c r="CC1094" s="1"/>
      <c r="CD1094" s="1"/>
      <c r="CE1094" s="1"/>
      <c r="CF1094" s="1"/>
      <c r="CG1094" s="1"/>
      <c r="CH1094" s="1"/>
      <c r="CI1094" s="1"/>
      <c r="CJ1094" s="1"/>
      <c r="CK1094" s="1"/>
      <c r="CL1094" s="1"/>
      <c r="CM1094" s="1"/>
      <c r="CN1094" s="1"/>
      <c r="CO1094" s="1"/>
      <c r="CP1094" s="1"/>
      <c r="CQ1094" s="1"/>
      <c r="CR1094" s="1"/>
      <c r="CS1094" s="1"/>
      <c r="CT1094" s="1"/>
      <c r="CU1094" s="1"/>
      <c r="CV1094" s="1"/>
      <c r="CW1094" s="1"/>
      <c r="CX1094" s="1"/>
      <c r="CY1094" s="1"/>
      <c r="CZ1094" s="1"/>
      <c r="DA1094" s="1"/>
      <c r="DB1094" s="1"/>
      <c r="DC1094" s="1"/>
      <c r="DD1094" s="1"/>
      <c r="DE1094" s="1"/>
      <c r="DF1094" s="1"/>
      <c r="DG1094" s="1"/>
      <c r="DH1094" s="1"/>
      <c r="DI1094" s="1"/>
      <c r="DJ1094" s="1"/>
      <c r="DK1094" s="1"/>
      <c r="DL1094" s="1"/>
      <c r="DM1094" s="1"/>
      <c r="DN1094" s="1"/>
      <c r="DO1094" s="1"/>
      <c r="DP1094" s="1"/>
      <c r="DQ1094" s="1"/>
      <c r="DR1094" s="1"/>
      <c r="DS1094" s="1"/>
      <c r="DT1094" s="1"/>
      <c r="DU1094" s="1"/>
      <c r="DV1094" s="1"/>
      <c r="DW1094" s="1"/>
      <c r="DX1094" s="1"/>
      <c r="DY1094" s="1"/>
      <c r="DZ1094" s="1"/>
      <c r="EA1094" s="1"/>
      <c r="EB1094" s="1"/>
      <c r="EC1094" s="1"/>
      <c r="ED1094" s="1"/>
      <c r="EE1094" s="1"/>
      <c r="EF1094" s="1"/>
      <c r="EG1094" s="1"/>
      <c r="EH1094" s="1"/>
      <c r="EI1094" s="1"/>
      <c r="EJ1094" s="1"/>
      <c r="EK1094" s="1"/>
      <c r="EL1094" s="1"/>
      <c r="EM1094" s="1"/>
      <c r="EN1094" s="1"/>
      <c r="EO1094" s="1"/>
      <c r="EP1094" s="1"/>
      <c r="EQ1094" s="1"/>
      <c r="ER1094" s="1"/>
      <c r="ES1094" s="1"/>
      <c r="ET1094" s="1"/>
      <c r="EU1094" s="1"/>
      <c r="EV1094" s="1"/>
      <c r="EW1094" s="1"/>
      <c r="EX1094" s="1"/>
      <c r="EY1094" s="1"/>
      <c r="EZ1094" s="1"/>
      <c r="FA1094" s="1"/>
      <c r="FB1094" s="1"/>
      <c r="FC1094" s="1"/>
      <c r="FD1094" s="1"/>
      <c r="FE1094" s="1"/>
      <c r="FF1094" s="1"/>
      <c r="FG1094" s="1"/>
      <c r="FH1094" s="1"/>
      <c r="FI1094" s="1"/>
      <c r="FJ1094" s="1"/>
      <c r="FK1094" s="1"/>
      <c r="FL1094" s="1"/>
      <c r="FM1094" s="1"/>
      <c r="FN1094" s="1"/>
      <c r="FO1094" s="1"/>
      <c r="FP1094" s="1"/>
      <c r="FQ1094" s="1"/>
      <c r="FR1094" s="2"/>
      <c r="FS1094" s="1"/>
    </row>
    <row r="1095" spans="1:175" x14ac:dyDescent="0.3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R1095" s="1"/>
      <c r="S1095" s="1"/>
      <c r="T1095" s="1"/>
      <c r="U1095" s="1"/>
      <c r="V1095" s="1"/>
      <c r="Y1095" s="1"/>
      <c r="Z1095" s="2"/>
      <c r="AA1095" s="1"/>
      <c r="AB1095" s="1"/>
      <c r="AC1095" s="1"/>
      <c r="AD1095" s="1"/>
      <c r="AE1095" s="1"/>
      <c r="AF1095" s="1"/>
      <c r="AG1095" s="1"/>
      <c r="AH1095" s="1"/>
      <c r="AI1095" s="1"/>
      <c r="AJ1095" s="1"/>
      <c r="AK1095" s="1"/>
      <c r="AL1095" s="1"/>
      <c r="AM1095" s="1"/>
      <c r="AN1095" s="1"/>
      <c r="AO1095" s="1"/>
      <c r="AP1095" s="1"/>
      <c r="AQ1095" s="1"/>
      <c r="AR1095" s="1"/>
      <c r="AS1095" s="1"/>
      <c r="AU1095" s="1"/>
      <c r="AW1095" s="1"/>
      <c r="AX1095" s="1"/>
      <c r="AY1095" s="1"/>
      <c r="AZ1095" s="1"/>
      <c r="BA1095" s="1"/>
      <c r="BC1095" s="1"/>
      <c r="BD1095" s="1"/>
      <c r="BE1095" s="1"/>
      <c r="BF1095" s="1"/>
      <c r="BG1095" s="1"/>
      <c r="BH1095" s="1"/>
      <c r="BI1095" s="1"/>
      <c r="BJ1095" s="1"/>
      <c r="BK1095" s="1"/>
      <c r="BL1095" s="1"/>
      <c r="BM1095" s="1"/>
      <c r="BN1095" s="1"/>
      <c r="BO1095" s="1"/>
      <c r="BP1095" s="1"/>
      <c r="BQ1095" s="1"/>
      <c r="BR1095" s="1"/>
      <c r="BS1095" s="1"/>
      <c r="BT1095" s="1"/>
      <c r="BU1095" s="1"/>
      <c r="BV1095" s="1"/>
      <c r="BW1095" s="1"/>
      <c r="BX1095" s="1"/>
      <c r="BY1095" s="1"/>
      <c r="BZ1095" s="1"/>
      <c r="CA1095" s="1"/>
      <c r="CB1095" s="1"/>
      <c r="CC1095" s="1"/>
      <c r="CD1095" s="1"/>
      <c r="CE1095" s="1"/>
      <c r="CF1095" s="1"/>
      <c r="CG1095" s="1"/>
      <c r="CH1095" s="1"/>
      <c r="CI1095" s="1"/>
      <c r="CJ1095" s="1"/>
      <c r="CK1095" s="1"/>
      <c r="CL1095" s="1"/>
      <c r="CM1095" s="1"/>
      <c r="CN1095" s="1"/>
      <c r="CO1095" s="1"/>
      <c r="CP1095" s="1"/>
      <c r="CQ1095" s="1"/>
      <c r="CR1095" s="1"/>
      <c r="CS1095" s="1"/>
      <c r="CT1095" s="1"/>
      <c r="CU1095" s="1"/>
      <c r="CV1095" s="1"/>
      <c r="CW1095" s="1"/>
      <c r="CX1095" s="1"/>
      <c r="CY1095" s="1"/>
      <c r="CZ1095" s="1"/>
      <c r="DA1095" s="1"/>
      <c r="DB1095" s="1"/>
      <c r="DC1095" s="1"/>
      <c r="DD1095" s="1"/>
      <c r="DE1095" s="1"/>
      <c r="DF1095" s="1"/>
      <c r="DG1095" s="1"/>
      <c r="DH1095" s="1"/>
      <c r="DI1095" s="1"/>
      <c r="DJ1095" s="1"/>
      <c r="DK1095" s="1"/>
      <c r="DL1095" s="1"/>
      <c r="DM1095" s="1"/>
      <c r="DN1095" s="1"/>
      <c r="DO1095" s="1"/>
      <c r="DP1095" s="1"/>
      <c r="DQ1095" s="1"/>
      <c r="DR1095" s="1"/>
      <c r="DS1095" s="1"/>
      <c r="DT1095" s="1"/>
      <c r="DU1095" s="1"/>
      <c r="DV1095" s="1"/>
      <c r="DW1095" s="1"/>
      <c r="DX1095" s="1"/>
      <c r="DY1095" s="1"/>
      <c r="DZ1095" s="1"/>
      <c r="EA1095" s="1"/>
      <c r="EB1095" s="1"/>
      <c r="EC1095" s="1"/>
      <c r="ED1095" s="1"/>
      <c r="EE1095" s="1"/>
      <c r="EF1095" s="1"/>
      <c r="EG1095" s="1"/>
      <c r="EH1095" s="1"/>
      <c r="EI1095" s="1"/>
      <c r="EJ1095" s="1"/>
      <c r="EK1095" s="1"/>
      <c r="EL1095" s="1"/>
      <c r="EM1095" s="1"/>
      <c r="EN1095" s="1"/>
      <c r="EO1095" s="1"/>
      <c r="EP1095" s="1"/>
      <c r="EQ1095" s="1"/>
      <c r="ER1095" s="1"/>
      <c r="ES1095" s="1"/>
      <c r="ET1095" s="1"/>
      <c r="EU1095" s="1"/>
      <c r="EV1095" s="1"/>
      <c r="EW1095" s="1"/>
      <c r="EX1095" s="1"/>
      <c r="EY1095" s="1"/>
      <c r="EZ1095" s="1"/>
      <c r="FA1095" s="1"/>
      <c r="FB1095" s="1"/>
      <c r="FC1095" s="1"/>
      <c r="FD1095" s="1"/>
      <c r="FE1095" s="1"/>
      <c r="FF1095" s="1"/>
      <c r="FG1095" s="1"/>
      <c r="FH1095" s="1"/>
      <c r="FI1095" s="1"/>
      <c r="FJ1095" s="1"/>
      <c r="FK1095" s="1"/>
      <c r="FL1095" s="1"/>
      <c r="FM1095" s="1"/>
      <c r="FN1095" s="1"/>
      <c r="FO1095" s="1"/>
      <c r="FP1095" s="1"/>
      <c r="FQ1095" s="1"/>
      <c r="FR1095" s="2"/>
      <c r="FS1095" s="1"/>
    </row>
    <row r="1096" spans="1:175" x14ac:dyDescent="0.3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R1096" s="1"/>
      <c r="S1096" s="1"/>
      <c r="T1096" s="1"/>
      <c r="U1096" s="1"/>
      <c r="V1096" s="1"/>
      <c r="Y1096" s="1"/>
      <c r="Z1096" s="2"/>
      <c r="AA1096" s="1"/>
      <c r="AB1096" s="1"/>
      <c r="AC1096" s="1"/>
      <c r="AD1096" s="1"/>
      <c r="AE1096" s="1"/>
      <c r="AF1096" s="1"/>
      <c r="AG1096" s="1"/>
      <c r="AH1096" s="1"/>
      <c r="AI1096" s="1"/>
      <c r="AJ1096" s="1"/>
      <c r="AK1096" s="1"/>
      <c r="AL1096" s="1"/>
      <c r="AM1096" s="1"/>
      <c r="AN1096" s="1"/>
      <c r="AO1096" s="1"/>
      <c r="AP1096" s="1"/>
      <c r="AQ1096" s="1"/>
      <c r="AR1096" s="1"/>
      <c r="AS1096" s="1"/>
      <c r="AU1096" s="1"/>
      <c r="AW1096" s="1"/>
      <c r="AX1096" s="1"/>
      <c r="AY1096" s="1"/>
      <c r="AZ1096" s="1"/>
      <c r="BA1096" s="1"/>
      <c r="BC1096" s="1"/>
      <c r="BD1096" s="1"/>
      <c r="BE1096" s="1"/>
      <c r="BF1096" s="1"/>
      <c r="BG1096" s="1"/>
      <c r="BH1096" s="1"/>
      <c r="BI1096" s="1"/>
      <c r="BJ1096" s="1"/>
      <c r="BK1096" s="1"/>
      <c r="BL1096" s="1"/>
      <c r="BM1096" s="1"/>
      <c r="BN1096" s="1"/>
      <c r="BO1096" s="1"/>
      <c r="BP1096" s="1"/>
      <c r="BQ1096" s="1"/>
      <c r="BR1096" s="1"/>
      <c r="BS1096" s="1"/>
      <c r="BT1096" s="1"/>
      <c r="BU1096" s="1"/>
      <c r="BV1096" s="1"/>
      <c r="BW1096" s="1"/>
      <c r="BX1096" s="1"/>
      <c r="BY1096" s="1"/>
      <c r="BZ1096" s="1"/>
      <c r="CA1096" s="1"/>
      <c r="CB1096" s="1"/>
      <c r="CC1096" s="1"/>
      <c r="CD1096" s="1"/>
      <c r="CE1096" s="1"/>
      <c r="CF1096" s="1"/>
      <c r="CG1096" s="1"/>
      <c r="CH1096" s="1"/>
      <c r="CI1096" s="1"/>
      <c r="CJ1096" s="1"/>
      <c r="CK1096" s="1"/>
      <c r="CL1096" s="1"/>
      <c r="CM1096" s="1"/>
      <c r="CN1096" s="1"/>
      <c r="CO1096" s="1"/>
      <c r="CP1096" s="1"/>
      <c r="CQ1096" s="1"/>
      <c r="CR1096" s="1"/>
      <c r="CS1096" s="1"/>
      <c r="CT1096" s="1"/>
      <c r="CU1096" s="1"/>
      <c r="CV1096" s="1"/>
      <c r="CW1096" s="1"/>
      <c r="CX1096" s="1"/>
      <c r="CY1096" s="1"/>
      <c r="CZ1096" s="1"/>
      <c r="DA1096" s="1"/>
      <c r="DB1096" s="1"/>
      <c r="DC1096" s="1"/>
      <c r="DD1096" s="1"/>
      <c r="DE1096" s="1"/>
      <c r="DF1096" s="1"/>
      <c r="DG1096" s="1"/>
      <c r="DH1096" s="1"/>
      <c r="DI1096" s="1"/>
      <c r="DJ1096" s="1"/>
      <c r="DK1096" s="1"/>
      <c r="DL1096" s="1"/>
      <c r="DM1096" s="1"/>
      <c r="DN1096" s="1"/>
      <c r="DO1096" s="1"/>
      <c r="DP1096" s="1"/>
      <c r="DQ1096" s="1"/>
      <c r="DR1096" s="1"/>
      <c r="DS1096" s="1"/>
      <c r="DT1096" s="1"/>
      <c r="DU1096" s="1"/>
      <c r="DV1096" s="1"/>
      <c r="DW1096" s="1"/>
      <c r="DX1096" s="1"/>
      <c r="DY1096" s="1"/>
      <c r="DZ1096" s="1"/>
      <c r="EA1096" s="1"/>
      <c r="EB1096" s="1"/>
      <c r="EC1096" s="1"/>
      <c r="ED1096" s="1"/>
      <c r="EE1096" s="1"/>
      <c r="EF1096" s="1"/>
      <c r="EG1096" s="1"/>
      <c r="EH1096" s="1"/>
      <c r="EI1096" s="1"/>
      <c r="EJ1096" s="1"/>
      <c r="EK1096" s="1"/>
      <c r="EL1096" s="1"/>
      <c r="EM1096" s="1"/>
      <c r="EN1096" s="1"/>
      <c r="EO1096" s="1"/>
      <c r="EP1096" s="1"/>
      <c r="EQ1096" s="1"/>
      <c r="ER1096" s="1"/>
      <c r="ES1096" s="1"/>
      <c r="ET1096" s="1"/>
      <c r="EU1096" s="1"/>
      <c r="EV1096" s="1"/>
      <c r="EW1096" s="1"/>
      <c r="EX1096" s="1"/>
      <c r="EY1096" s="1"/>
      <c r="EZ1096" s="1"/>
      <c r="FA1096" s="1"/>
      <c r="FB1096" s="1"/>
      <c r="FC1096" s="1"/>
      <c r="FD1096" s="1"/>
      <c r="FE1096" s="1"/>
      <c r="FF1096" s="1"/>
      <c r="FG1096" s="1"/>
      <c r="FH1096" s="1"/>
      <c r="FI1096" s="1"/>
      <c r="FJ1096" s="1"/>
      <c r="FK1096" s="1"/>
      <c r="FL1096" s="1"/>
      <c r="FM1096" s="1"/>
      <c r="FN1096" s="1"/>
      <c r="FO1096" s="1"/>
      <c r="FP1096" s="1"/>
      <c r="FQ1096" s="1"/>
      <c r="FR1096" s="2"/>
      <c r="FS1096" s="1"/>
    </row>
    <row r="1097" spans="1:175" x14ac:dyDescent="0.3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R1097" s="1"/>
      <c r="S1097" s="1"/>
      <c r="T1097" s="1"/>
      <c r="U1097" s="1"/>
      <c r="V1097" s="1"/>
      <c r="Y1097" s="1"/>
      <c r="Z1097" s="2"/>
      <c r="AA1097" s="1"/>
      <c r="AB1097" s="1"/>
      <c r="AC1097" s="1"/>
      <c r="AD1097" s="1"/>
      <c r="AE1097" s="1"/>
      <c r="AF1097" s="1"/>
      <c r="AG1097" s="1"/>
      <c r="AH1097" s="1"/>
      <c r="AI1097" s="1"/>
      <c r="AJ1097" s="1"/>
      <c r="AK1097" s="1"/>
      <c r="AL1097" s="1"/>
      <c r="AM1097" s="1"/>
      <c r="AN1097" s="1"/>
      <c r="AO1097" s="1"/>
      <c r="AP1097" s="1"/>
      <c r="AQ1097" s="1"/>
      <c r="AR1097" s="1"/>
      <c r="AS1097" s="1"/>
      <c r="AU1097" s="1"/>
      <c r="AW1097" s="1"/>
      <c r="AX1097" s="1"/>
      <c r="AY1097" s="1"/>
      <c r="AZ1097" s="1"/>
      <c r="BA1097" s="1"/>
      <c r="BC1097" s="1"/>
      <c r="BD1097" s="1"/>
      <c r="BE1097" s="1"/>
      <c r="BF1097" s="1"/>
      <c r="BG1097" s="1"/>
      <c r="BH1097" s="1"/>
      <c r="BI1097" s="1"/>
      <c r="BJ1097" s="1"/>
      <c r="BK1097" s="1"/>
      <c r="BL1097" s="1"/>
      <c r="BM1097" s="1"/>
      <c r="BN1097" s="1"/>
      <c r="BO1097" s="1"/>
      <c r="BP1097" s="1"/>
      <c r="BQ1097" s="1"/>
      <c r="BR1097" s="1"/>
      <c r="BS1097" s="1"/>
      <c r="BT1097" s="1"/>
      <c r="BU1097" s="1"/>
      <c r="BV1097" s="1"/>
      <c r="BW1097" s="1"/>
      <c r="BX1097" s="1"/>
      <c r="BY1097" s="1"/>
      <c r="BZ1097" s="1"/>
      <c r="CA1097" s="1"/>
      <c r="CB1097" s="1"/>
      <c r="CC1097" s="1"/>
      <c r="CD1097" s="1"/>
      <c r="CE1097" s="1"/>
      <c r="CF1097" s="1"/>
      <c r="CG1097" s="1"/>
      <c r="CH1097" s="1"/>
      <c r="CI1097" s="1"/>
      <c r="CJ1097" s="1"/>
      <c r="CK1097" s="1"/>
      <c r="CL1097" s="1"/>
      <c r="CM1097" s="1"/>
      <c r="CN1097" s="1"/>
      <c r="CO1097" s="1"/>
      <c r="CP1097" s="1"/>
      <c r="CQ1097" s="1"/>
      <c r="CR1097" s="1"/>
      <c r="CS1097" s="1"/>
      <c r="CT1097" s="1"/>
      <c r="CU1097" s="1"/>
      <c r="CV1097" s="1"/>
      <c r="CW1097" s="1"/>
      <c r="CX1097" s="1"/>
      <c r="CY1097" s="1"/>
      <c r="CZ1097" s="1"/>
      <c r="DA1097" s="1"/>
      <c r="DB1097" s="1"/>
      <c r="DC1097" s="1"/>
      <c r="DD1097" s="1"/>
      <c r="DE1097" s="1"/>
      <c r="DF1097" s="1"/>
      <c r="DG1097" s="1"/>
      <c r="DH1097" s="1"/>
      <c r="DI1097" s="1"/>
      <c r="DJ1097" s="1"/>
      <c r="DK1097" s="1"/>
      <c r="DL1097" s="1"/>
      <c r="DM1097" s="1"/>
      <c r="DN1097" s="1"/>
      <c r="DO1097" s="1"/>
      <c r="DP1097" s="1"/>
      <c r="DQ1097" s="1"/>
      <c r="DR1097" s="1"/>
      <c r="DS1097" s="1"/>
      <c r="DT1097" s="1"/>
      <c r="DU1097" s="1"/>
      <c r="DV1097" s="1"/>
      <c r="DW1097" s="1"/>
      <c r="DX1097" s="1"/>
      <c r="DY1097" s="1"/>
      <c r="DZ1097" s="1"/>
      <c r="EA1097" s="1"/>
      <c r="EB1097" s="1"/>
      <c r="EC1097" s="1"/>
      <c r="ED1097" s="1"/>
      <c r="EE1097" s="1"/>
      <c r="EF1097" s="1"/>
      <c r="EG1097" s="1"/>
      <c r="EH1097" s="1"/>
      <c r="EI1097" s="1"/>
      <c r="EJ1097" s="1"/>
      <c r="EK1097" s="1"/>
      <c r="EL1097" s="1"/>
      <c r="EM1097" s="1"/>
      <c r="EN1097" s="1"/>
      <c r="EO1097" s="1"/>
      <c r="EP1097" s="1"/>
      <c r="EQ1097" s="1"/>
      <c r="ER1097" s="1"/>
      <c r="ES1097" s="1"/>
      <c r="ET1097" s="1"/>
      <c r="EU1097" s="1"/>
      <c r="EV1097" s="1"/>
      <c r="EW1097" s="1"/>
      <c r="EX1097" s="1"/>
      <c r="EY1097" s="1"/>
      <c r="EZ1097" s="1"/>
      <c r="FA1097" s="1"/>
      <c r="FB1097" s="1"/>
      <c r="FC1097" s="1"/>
      <c r="FD1097" s="1"/>
      <c r="FE1097" s="1"/>
      <c r="FF1097" s="1"/>
      <c r="FG1097" s="1"/>
      <c r="FH1097" s="1"/>
      <c r="FI1097" s="1"/>
      <c r="FJ1097" s="1"/>
      <c r="FK1097" s="1"/>
      <c r="FL1097" s="1"/>
      <c r="FM1097" s="1"/>
      <c r="FN1097" s="1"/>
      <c r="FO1097" s="1"/>
      <c r="FP1097" s="1"/>
      <c r="FQ1097" s="1"/>
      <c r="FR1097" s="2"/>
      <c r="FS1097" s="1"/>
    </row>
    <row r="1098" spans="1:175" x14ac:dyDescent="0.3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R1098" s="1"/>
      <c r="S1098" s="1"/>
      <c r="T1098" s="1"/>
      <c r="U1098" s="1"/>
      <c r="V1098" s="1"/>
      <c r="Y1098" s="1"/>
      <c r="Z1098" s="2"/>
      <c r="AA1098" s="1"/>
      <c r="AB1098" s="1"/>
      <c r="AC1098" s="1"/>
      <c r="AD1098" s="1"/>
      <c r="AE1098" s="1"/>
      <c r="AF1098" s="1"/>
      <c r="AG1098" s="1"/>
      <c r="AH1098" s="1"/>
      <c r="AI1098" s="1"/>
      <c r="AJ1098" s="1"/>
      <c r="AK1098" s="1"/>
      <c r="AL1098" s="1"/>
      <c r="AM1098" s="1"/>
      <c r="AN1098" s="1"/>
      <c r="AO1098" s="1"/>
      <c r="AP1098" s="1"/>
      <c r="AQ1098" s="1"/>
      <c r="AR1098" s="1"/>
      <c r="AS1098" s="1"/>
      <c r="AU1098" s="1"/>
      <c r="AW1098" s="1"/>
      <c r="AX1098" s="1"/>
      <c r="AY1098" s="1"/>
      <c r="AZ1098" s="1"/>
      <c r="BA1098" s="1"/>
      <c r="BC1098" s="1"/>
      <c r="BD1098" s="1"/>
      <c r="BE1098" s="1"/>
      <c r="BF1098" s="1"/>
      <c r="BG1098" s="1"/>
      <c r="BH1098" s="1"/>
      <c r="BI1098" s="1"/>
      <c r="BJ1098" s="1"/>
      <c r="BK1098" s="1"/>
      <c r="BL1098" s="1"/>
      <c r="BM1098" s="1"/>
      <c r="BN1098" s="1"/>
      <c r="BO1098" s="1"/>
      <c r="BP1098" s="1"/>
      <c r="BQ1098" s="1"/>
      <c r="BR1098" s="1"/>
      <c r="BS1098" s="1"/>
      <c r="BT1098" s="1"/>
      <c r="BU1098" s="1"/>
      <c r="BV1098" s="1"/>
      <c r="BW1098" s="1"/>
      <c r="BX1098" s="1"/>
      <c r="BY1098" s="1"/>
      <c r="BZ1098" s="1"/>
      <c r="CA1098" s="1"/>
      <c r="CB1098" s="1"/>
      <c r="CC1098" s="1"/>
      <c r="CD1098" s="1"/>
      <c r="CE1098" s="1"/>
      <c r="CF1098" s="1"/>
      <c r="CG1098" s="1"/>
      <c r="CH1098" s="1"/>
      <c r="CI1098" s="1"/>
      <c r="CJ1098" s="1"/>
      <c r="CK1098" s="1"/>
      <c r="CL1098" s="1"/>
      <c r="CM1098" s="1"/>
      <c r="CN1098" s="1"/>
      <c r="CO1098" s="1"/>
      <c r="CP1098" s="1"/>
      <c r="CQ1098" s="1"/>
      <c r="CR1098" s="1"/>
      <c r="CS1098" s="1"/>
      <c r="CT1098" s="1"/>
      <c r="CU1098" s="1"/>
      <c r="CV1098" s="1"/>
      <c r="CW1098" s="1"/>
      <c r="CX1098" s="1"/>
      <c r="CY1098" s="1"/>
      <c r="CZ1098" s="1"/>
      <c r="DA1098" s="1"/>
      <c r="DB1098" s="1"/>
      <c r="DC1098" s="1"/>
      <c r="DD1098" s="1"/>
      <c r="DE1098" s="1"/>
      <c r="DF1098" s="1"/>
      <c r="DG1098" s="1"/>
      <c r="DH1098" s="1"/>
      <c r="DI1098" s="1"/>
      <c r="DJ1098" s="1"/>
      <c r="DK1098" s="1"/>
      <c r="DL1098" s="1"/>
      <c r="DM1098" s="1"/>
      <c r="DN1098" s="1"/>
      <c r="DO1098" s="1"/>
      <c r="DP1098" s="1"/>
      <c r="DQ1098" s="1"/>
      <c r="DR1098" s="1"/>
      <c r="DS1098" s="1"/>
      <c r="DT1098" s="1"/>
      <c r="DU1098" s="1"/>
      <c r="DV1098" s="1"/>
      <c r="DW1098" s="1"/>
      <c r="DX1098" s="1"/>
      <c r="DY1098" s="1"/>
      <c r="DZ1098" s="1"/>
      <c r="EA1098" s="1"/>
      <c r="EB1098" s="1"/>
      <c r="EC1098" s="1"/>
      <c r="ED1098" s="1"/>
      <c r="EE1098" s="1"/>
      <c r="EF1098" s="1"/>
      <c r="EG1098" s="1"/>
      <c r="EH1098" s="1"/>
      <c r="EI1098" s="1"/>
      <c r="EJ1098" s="1"/>
      <c r="EK1098" s="1"/>
      <c r="EL1098" s="1"/>
      <c r="EM1098" s="1"/>
      <c r="EN1098" s="1"/>
      <c r="EO1098" s="1"/>
      <c r="EP1098" s="1"/>
      <c r="EQ1098" s="1"/>
      <c r="ER1098" s="1"/>
      <c r="ES1098" s="1"/>
      <c r="ET1098" s="1"/>
      <c r="EU1098" s="1"/>
      <c r="EV1098" s="1"/>
      <c r="EW1098" s="1"/>
      <c r="EX1098" s="1"/>
      <c r="EY1098" s="1"/>
      <c r="EZ1098" s="1"/>
      <c r="FA1098" s="1"/>
      <c r="FB1098" s="1"/>
      <c r="FC1098" s="1"/>
      <c r="FD1098" s="1"/>
      <c r="FE1098" s="1"/>
      <c r="FF1098" s="1"/>
      <c r="FG1098" s="1"/>
      <c r="FH1098" s="1"/>
      <c r="FI1098" s="1"/>
      <c r="FJ1098" s="1"/>
      <c r="FK1098" s="1"/>
      <c r="FL1098" s="1"/>
      <c r="FM1098" s="1"/>
      <c r="FN1098" s="1"/>
      <c r="FO1098" s="1"/>
      <c r="FP1098" s="1"/>
      <c r="FQ1098" s="1"/>
      <c r="FR1098" s="2"/>
      <c r="FS1098" s="1"/>
    </row>
    <row r="1099" spans="1:175" x14ac:dyDescent="0.3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R1099" s="1"/>
      <c r="S1099" s="1"/>
      <c r="T1099" s="1"/>
      <c r="U1099" s="1"/>
      <c r="V1099" s="1"/>
      <c r="Y1099" s="1"/>
      <c r="Z1099" s="2"/>
      <c r="AA1099" s="1"/>
      <c r="AB1099" s="1"/>
      <c r="AC1099" s="1"/>
      <c r="AD1099" s="1"/>
      <c r="AE1099" s="1"/>
      <c r="AF1099" s="1"/>
      <c r="AG1099" s="1"/>
      <c r="AH1099" s="1"/>
      <c r="AI1099" s="1"/>
      <c r="AJ1099" s="1"/>
      <c r="AK1099" s="1"/>
      <c r="AL1099" s="1"/>
      <c r="AM1099" s="1"/>
      <c r="AN1099" s="1"/>
      <c r="AO1099" s="1"/>
      <c r="AP1099" s="1"/>
      <c r="AQ1099" s="1"/>
      <c r="AR1099" s="1"/>
      <c r="AS1099" s="1"/>
      <c r="AU1099" s="1"/>
      <c r="AW1099" s="1"/>
      <c r="AX1099" s="1"/>
      <c r="AY1099" s="1"/>
      <c r="AZ1099" s="1"/>
      <c r="BA1099" s="1"/>
      <c r="BC1099" s="1"/>
      <c r="BD1099" s="1"/>
      <c r="BE1099" s="1"/>
      <c r="BF1099" s="1"/>
      <c r="BG1099" s="1"/>
      <c r="BH1099" s="1"/>
      <c r="BI1099" s="1"/>
      <c r="BJ1099" s="1"/>
      <c r="BK1099" s="1"/>
      <c r="BL1099" s="1"/>
      <c r="BM1099" s="1"/>
      <c r="BN1099" s="1"/>
      <c r="BO1099" s="1"/>
      <c r="BP1099" s="1"/>
      <c r="BQ1099" s="1"/>
      <c r="BR1099" s="1"/>
      <c r="BS1099" s="1"/>
      <c r="BT1099" s="1"/>
      <c r="BU1099" s="1"/>
      <c r="BV1099" s="1"/>
      <c r="BW1099" s="1"/>
      <c r="BX1099" s="1"/>
      <c r="BY1099" s="1"/>
      <c r="BZ1099" s="1"/>
      <c r="CA1099" s="1"/>
      <c r="CB1099" s="1"/>
      <c r="CC1099" s="1"/>
      <c r="CD1099" s="1"/>
      <c r="CE1099" s="1"/>
      <c r="CF1099" s="1"/>
      <c r="CG1099" s="1"/>
      <c r="CH1099" s="1"/>
      <c r="CI1099" s="1"/>
      <c r="CJ1099" s="1"/>
      <c r="CK1099" s="1"/>
      <c r="CL1099" s="1"/>
      <c r="CM1099" s="1"/>
      <c r="CN1099" s="1"/>
      <c r="CO1099" s="1"/>
      <c r="CP1099" s="1"/>
      <c r="CQ1099" s="1"/>
      <c r="CR1099" s="1"/>
      <c r="CS1099" s="1"/>
      <c r="CT1099" s="1"/>
      <c r="CU1099" s="1"/>
      <c r="CV1099" s="1"/>
      <c r="CW1099" s="1"/>
      <c r="CX1099" s="1"/>
      <c r="CY1099" s="1"/>
      <c r="CZ1099" s="1"/>
      <c r="DA1099" s="1"/>
      <c r="DB1099" s="1"/>
      <c r="DC1099" s="1"/>
      <c r="DD1099" s="1"/>
      <c r="DE1099" s="1"/>
      <c r="DF1099" s="1"/>
      <c r="DG1099" s="1"/>
      <c r="DH1099" s="1"/>
      <c r="DI1099" s="1"/>
      <c r="DJ1099" s="1"/>
      <c r="DK1099" s="1"/>
      <c r="DL1099" s="1"/>
      <c r="DM1099" s="1"/>
      <c r="DN1099" s="1"/>
      <c r="DO1099" s="1"/>
      <c r="DP1099" s="1"/>
      <c r="DQ1099" s="1"/>
      <c r="DR1099" s="1"/>
      <c r="DS1099" s="1"/>
      <c r="DT1099" s="1"/>
      <c r="DU1099" s="1"/>
      <c r="DV1099" s="1"/>
      <c r="DW1099" s="1"/>
      <c r="DX1099" s="1"/>
      <c r="DY1099" s="1"/>
      <c r="DZ1099" s="1"/>
      <c r="EA1099" s="1"/>
      <c r="EB1099" s="1"/>
      <c r="EC1099" s="1"/>
      <c r="ED1099" s="1"/>
      <c r="EE1099" s="1"/>
      <c r="EF1099" s="1"/>
      <c r="EG1099" s="1"/>
      <c r="EH1099" s="1"/>
      <c r="EI1099" s="1"/>
      <c r="EJ1099" s="1"/>
      <c r="EK1099" s="1"/>
      <c r="EL1099" s="1"/>
      <c r="EM1099" s="1"/>
      <c r="EN1099" s="1"/>
      <c r="EO1099" s="1"/>
      <c r="EP1099" s="1"/>
      <c r="EQ1099" s="1"/>
      <c r="ER1099" s="1"/>
      <c r="ES1099" s="1"/>
      <c r="ET1099" s="1"/>
      <c r="EU1099" s="1"/>
      <c r="EV1099" s="1"/>
      <c r="EW1099" s="1"/>
      <c r="EX1099" s="1"/>
      <c r="EY1099" s="1"/>
      <c r="EZ1099" s="1"/>
      <c r="FA1099" s="1"/>
      <c r="FB1099" s="1"/>
      <c r="FC1099" s="1"/>
      <c r="FD1099" s="1"/>
      <c r="FE1099" s="1"/>
      <c r="FF1099" s="1"/>
      <c r="FG1099" s="1"/>
      <c r="FH1099" s="1"/>
      <c r="FI1099" s="1"/>
      <c r="FJ1099" s="1"/>
      <c r="FK1099" s="1"/>
      <c r="FL1099" s="1"/>
      <c r="FM1099" s="1"/>
      <c r="FN1099" s="1"/>
      <c r="FO1099" s="1"/>
      <c r="FP1099" s="1"/>
      <c r="FQ1099" s="1"/>
      <c r="FR1099" s="2"/>
      <c r="FS1099" s="1"/>
    </row>
    <row r="1100" spans="1:175" x14ac:dyDescent="0.3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R1100" s="1"/>
      <c r="S1100" s="1"/>
      <c r="T1100" s="1"/>
      <c r="U1100" s="1"/>
      <c r="V1100" s="1"/>
      <c r="Y1100" s="1"/>
      <c r="Z1100" s="2"/>
      <c r="AA1100" s="1"/>
      <c r="AB1100" s="1"/>
      <c r="AC1100" s="1"/>
      <c r="AD1100" s="1"/>
      <c r="AE1100" s="1"/>
      <c r="AF1100" s="1"/>
      <c r="AG1100" s="1"/>
      <c r="AH1100" s="1"/>
      <c r="AI1100" s="1"/>
      <c r="AJ1100" s="1"/>
      <c r="AK1100" s="1"/>
      <c r="AL1100" s="1"/>
      <c r="AM1100" s="1"/>
      <c r="AN1100" s="1"/>
      <c r="AO1100" s="1"/>
      <c r="AP1100" s="1"/>
      <c r="AQ1100" s="1"/>
      <c r="AR1100" s="1"/>
      <c r="AS1100" s="1"/>
      <c r="AU1100" s="1"/>
      <c r="AW1100" s="1"/>
      <c r="AX1100" s="1"/>
      <c r="AY1100" s="1"/>
      <c r="AZ1100" s="1"/>
      <c r="BA1100" s="1"/>
      <c r="BC1100" s="1"/>
      <c r="BD1100" s="1"/>
      <c r="BE1100" s="1"/>
      <c r="BF1100" s="1"/>
      <c r="BG1100" s="1"/>
      <c r="BH1100" s="1"/>
      <c r="BI1100" s="1"/>
      <c r="BJ1100" s="1"/>
      <c r="BK1100" s="1"/>
      <c r="BL1100" s="1"/>
      <c r="BM1100" s="1"/>
      <c r="BN1100" s="1"/>
      <c r="BO1100" s="1"/>
      <c r="BP1100" s="1"/>
      <c r="BQ1100" s="1"/>
      <c r="BR1100" s="1"/>
      <c r="BS1100" s="1"/>
      <c r="BT1100" s="1"/>
      <c r="BU1100" s="1"/>
      <c r="BV1100" s="1"/>
      <c r="BW1100" s="1"/>
      <c r="BX1100" s="1"/>
      <c r="BY1100" s="1"/>
      <c r="BZ1100" s="1"/>
      <c r="CA1100" s="1"/>
      <c r="CB1100" s="1"/>
      <c r="CC1100" s="1"/>
      <c r="CD1100" s="1"/>
      <c r="CE1100" s="1"/>
      <c r="CF1100" s="1"/>
      <c r="CG1100" s="1"/>
      <c r="CH1100" s="1"/>
      <c r="CI1100" s="1"/>
      <c r="CJ1100" s="1"/>
      <c r="CK1100" s="1"/>
      <c r="CL1100" s="1"/>
      <c r="CM1100" s="1"/>
      <c r="CN1100" s="1"/>
      <c r="CO1100" s="1"/>
      <c r="CP1100" s="1"/>
      <c r="CQ1100" s="1"/>
      <c r="CR1100" s="1"/>
      <c r="CS1100" s="1"/>
      <c r="CT1100" s="1"/>
      <c r="CU1100" s="1"/>
      <c r="CV1100" s="1"/>
      <c r="CW1100" s="1"/>
      <c r="CX1100" s="1"/>
      <c r="CY1100" s="1"/>
      <c r="CZ1100" s="1"/>
      <c r="DA1100" s="1"/>
      <c r="DB1100" s="1"/>
      <c r="DC1100" s="1"/>
      <c r="DD1100" s="1"/>
      <c r="DE1100" s="1"/>
      <c r="DF1100" s="1"/>
      <c r="DG1100" s="1"/>
      <c r="DH1100" s="1"/>
      <c r="DI1100" s="1"/>
      <c r="DJ1100" s="1"/>
      <c r="DK1100" s="1"/>
      <c r="DL1100" s="1"/>
      <c r="DM1100" s="1"/>
      <c r="DN1100" s="1"/>
      <c r="DO1100" s="1"/>
      <c r="DP1100" s="1"/>
      <c r="DQ1100" s="1"/>
      <c r="DR1100" s="1"/>
      <c r="DS1100" s="1"/>
      <c r="DT1100" s="1"/>
      <c r="DU1100" s="1"/>
      <c r="DV1100" s="1"/>
      <c r="DW1100" s="1"/>
      <c r="DX1100" s="1"/>
      <c r="DY1100" s="1"/>
      <c r="DZ1100" s="1"/>
      <c r="EA1100" s="1"/>
      <c r="EB1100" s="1"/>
      <c r="EC1100" s="1"/>
      <c r="ED1100" s="1"/>
      <c r="EE1100" s="1"/>
      <c r="EF1100" s="1"/>
      <c r="EG1100" s="1"/>
      <c r="EH1100" s="1"/>
      <c r="EI1100" s="1"/>
      <c r="EJ1100" s="1"/>
      <c r="EK1100" s="1"/>
      <c r="EL1100" s="1"/>
      <c r="EM1100" s="1"/>
      <c r="EN1100" s="1"/>
      <c r="EO1100" s="1"/>
      <c r="EP1100" s="1"/>
      <c r="EQ1100" s="1"/>
      <c r="ER1100" s="1"/>
      <c r="ES1100" s="1"/>
      <c r="ET1100" s="1"/>
      <c r="EU1100" s="1"/>
      <c r="EV1100" s="1"/>
      <c r="EW1100" s="1"/>
      <c r="EX1100" s="1"/>
      <c r="EY1100" s="1"/>
      <c r="EZ1100" s="1"/>
      <c r="FA1100" s="1"/>
      <c r="FB1100" s="1"/>
      <c r="FC1100" s="1"/>
      <c r="FD1100" s="1"/>
      <c r="FE1100" s="1"/>
      <c r="FF1100" s="1"/>
      <c r="FG1100" s="1"/>
      <c r="FH1100" s="1"/>
      <c r="FI1100" s="1"/>
      <c r="FJ1100" s="1"/>
      <c r="FK1100" s="1"/>
      <c r="FL1100" s="1"/>
      <c r="FM1100" s="1"/>
      <c r="FN1100" s="1"/>
      <c r="FO1100" s="1"/>
      <c r="FP1100" s="1"/>
      <c r="FQ1100" s="1"/>
      <c r="FR1100" s="2"/>
      <c r="FS1100" s="1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F337A-6ADD-4774-BDE1-FD28EB37F001}">
  <dimension ref="A1:Q97"/>
  <sheetViews>
    <sheetView zoomScale="68" zoomScaleNormal="65" workbookViewId="0">
      <selection sqref="A1:K1048576"/>
    </sheetView>
  </sheetViews>
  <sheetFormatPr defaultRowHeight="14.4" x14ac:dyDescent="0.3"/>
  <cols>
    <col min="1" max="1" width="15.77734375" bestFit="1" customWidth="1"/>
    <col min="2" max="2" width="15" bestFit="1" customWidth="1"/>
    <col min="3" max="3" width="15.109375" bestFit="1" customWidth="1"/>
    <col min="4" max="4" width="14.33203125" bestFit="1" customWidth="1"/>
    <col min="5" max="5" width="16" bestFit="1" customWidth="1"/>
    <col min="6" max="6" width="17.44140625" bestFit="1" customWidth="1"/>
    <col min="7" max="7" width="11.5546875" bestFit="1" customWidth="1"/>
    <col min="8" max="8" width="15.44140625" customWidth="1"/>
    <col min="9" max="9" width="11.109375" bestFit="1" customWidth="1"/>
    <col min="10" max="10" width="17.44140625" bestFit="1" customWidth="1"/>
    <col min="11" max="11" width="12.21875" bestFit="1" customWidth="1"/>
    <col min="12" max="12" width="13.6640625" bestFit="1" customWidth="1"/>
    <col min="14" max="14" width="10.88671875" bestFit="1" customWidth="1"/>
    <col min="15" max="15" width="12.21875" bestFit="1" customWidth="1"/>
    <col min="16" max="16" width="12.6640625" bestFit="1" customWidth="1"/>
    <col min="17" max="17" width="14.109375" bestFit="1" customWidth="1"/>
  </cols>
  <sheetData>
    <row r="1" spans="1:17" x14ac:dyDescent="0.3">
      <c r="A1" s="29" t="s">
        <v>3762</v>
      </c>
      <c r="B1" s="29" t="s">
        <v>3763</v>
      </c>
      <c r="C1" s="29" t="s">
        <v>3764</v>
      </c>
      <c r="D1" s="29" t="s">
        <v>3765</v>
      </c>
      <c r="E1" s="29" t="s">
        <v>3766</v>
      </c>
      <c r="F1" s="29" t="s">
        <v>3767</v>
      </c>
      <c r="G1" s="29" t="s">
        <v>3768</v>
      </c>
      <c r="H1" s="29" t="s">
        <v>3758</v>
      </c>
      <c r="I1" s="29" t="s">
        <v>3759</v>
      </c>
      <c r="J1" s="29" t="s">
        <v>3760</v>
      </c>
      <c r="K1" s="32" t="s">
        <v>3761</v>
      </c>
      <c r="L1" s="15" t="s">
        <v>3819</v>
      </c>
      <c r="N1" s="36" t="s">
        <v>3830</v>
      </c>
      <c r="O1" s="29" t="s">
        <v>3758</v>
      </c>
      <c r="P1" s="29" t="s">
        <v>3759</v>
      </c>
      <c r="Q1" s="29" t="s">
        <v>3760</v>
      </c>
    </row>
    <row r="2" spans="1:17" x14ac:dyDescent="0.3">
      <c r="A2" s="16">
        <v>548</v>
      </c>
      <c r="B2" s="16">
        <v>392</v>
      </c>
      <c r="C2" s="16">
        <v>13.59</v>
      </c>
      <c r="D2" s="16">
        <v>12.96</v>
      </c>
      <c r="E2" s="16">
        <v>1.4</v>
      </c>
      <c r="F2" s="16">
        <v>10.050000000000001</v>
      </c>
      <c r="G2" s="16">
        <v>131.12</v>
      </c>
      <c r="H2" s="16">
        <v>1</v>
      </c>
      <c r="I2" s="16">
        <v>1</v>
      </c>
      <c r="J2" s="16">
        <v>2</v>
      </c>
      <c r="K2" s="17">
        <f>ABS(F2-10)</f>
        <v>5.0000000000000711E-2</v>
      </c>
      <c r="L2" s="31">
        <f>K2/10</f>
        <v>5.0000000000000712E-3</v>
      </c>
      <c r="O2" t="s">
        <v>3831</v>
      </c>
      <c r="P2" t="s">
        <v>3835</v>
      </c>
      <c r="Q2" t="s">
        <v>3838</v>
      </c>
    </row>
    <row r="3" spans="1:17" x14ac:dyDescent="0.3">
      <c r="A3" s="16">
        <v>557</v>
      </c>
      <c r="B3" s="16">
        <v>391</v>
      </c>
      <c r="C3" s="16">
        <v>13.81</v>
      </c>
      <c r="D3" s="16">
        <v>12.93</v>
      </c>
      <c r="E3" s="16">
        <v>1.42</v>
      </c>
      <c r="F3" s="16">
        <v>9.89</v>
      </c>
      <c r="G3" s="16">
        <v>133.06</v>
      </c>
      <c r="H3" s="16">
        <v>1</v>
      </c>
      <c r="I3" s="16">
        <v>1</v>
      </c>
      <c r="J3" s="16">
        <v>2</v>
      </c>
      <c r="K3" s="17">
        <f t="shared" ref="K3:K19" si="0">ABS(F3-10)</f>
        <v>0.10999999999999943</v>
      </c>
      <c r="L3" s="31">
        <f t="shared" ref="L3:L19" si="1">K3/10</f>
        <v>1.0999999999999944E-2</v>
      </c>
      <c r="O3" t="s">
        <v>3832</v>
      </c>
      <c r="P3" t="s">
        <v>3836</v>
      </c>
      <c r="Q3" t="s">
        <v>3839</v>
      </c>
    </row>
    <row r="4" spans="1:17" x14ac:dyDescent="0.3">
      <c r="A4" s="16">
        <v>558</v>
      </c>
      <c r="B4" s="16">
        <v>386</v>
      </c>
      <c r="C4" s="16">
        <v>13.84</v>
      </c>
      <c r="D4" s="16">
        <v>12.76</v>
      </c>
      <c r="E4" s="16">
        <v>1.45</v>
      </c>
      <c r="F4" s="16">
        <v>9.8699999999999992</v>
      </c>
      <c r="G4" s="16">
        <v>133.43</v>
      </c>
      <c r="H4" s="16">
        <v>1</v>
      </c>
      <c r="I4" s="16">
        <v>2</v>
      </c>
      <c r="J4" s="16">
        <v>2</v>
      </c>
      <c r="K4" s="17">
        <f t="shared" si="0"/>
        <v>0.13000000000000078</v>
      </c>
      <c r="L4" s="31">
        <f t="shared" si="1"/>
        <v>1.3000000000000077E-2</v>
      </c>
      <c r="O4" t="s">
        <v>3833</v>
      </c>
      <c r="P4" t="s">
        <v>3837</v>
      </c>
      <c r="Q4" t="s">
        <v>3840</v>
      </c>
    </row>
    <row r="5" spans="1:17" x14ac:dyDescent="0.3">
      <c r="A5" s="16">
        <v>567</v>
      </c>
      <c r="B5" s="16">
        <v>392</v>
      </c>
      <c r="C5" s="16">
        <v>14.06</v>
      </c>
      <c r="D5" s="16">
        <v>12.96</v>
      </c>
      <c r="E5" s="16">
        <v>1.45</v>
      </c>
      <c r="F5" s="16">
        <v>9.7100000000000009</v>
      </c>
      <c r="G5" s="16">
        <v>131.83000000000001</v>
      </c>
      <c r="H5" s="16">
        <v>1</v>
      </c>
      <c r="I5" s="16">
        <v>2</v>
      </c>
      <c r="J5" s="16">
        <v>2</v>
      </c>
      <c r="K5" s="17">
        <f t="shared" si="0"/>
        <v>0.28999999999999915</v>
      </c>
      <c r="L5" s="31">
        <f t="shared" si="1"/>
        <v>2.8999999999999915E-2</v>
      </c>
      <c r="O5" t="s">
        <v>3834</v>
      </c>
    </row>
    <row r="6" spans="1:17" x14ac:dyDescent="0.3">
      <c r="A6" s="16">
        <v>542</v>
      </c>
      <c r="B6" s="16">
        <v>385</v>
      </c>
      <c r="C6" s="16">
        <v>13.44</v>
      </c>
      <c r="D6" s="16">
        <v>12.73</v>
      </c>
      <c r="E6" s="16">
        <v>1.41</v>
      </c>
      <c r="F6" s="16">
        <v>10.16</v>
      </c>
      <c r="G6" s="16">
        <v>119.8</v>
      </c>
      <c r="H6" s="16">
        <v>1</v>
      </c>
      <c r="I6" s="16">
        <v>1</v>
      </c>
      <c r="J6" s="16">
        <v>1</v>
      </c>
      <c r="K6" s="17">
        <f t="shared" si="0"/>
        <v>0.16000000000000014</v>
      </c>
      <c r="L6" s="31">
        <f t="shared" si="1"/>
        <v>1.6000000000000014E-2</v>
      </c>
    </row>
    <row r="7" spans="1:17" x14ac:dyDescent="0.3">
      <c r="A7" s="16">
        <v>555</v>
      </c>
      <c r="B7" s="16">
        <v>407</v>
      </c>
      <c r="C7" s="16">
        <v>13.76</v>
      </c>
      <c r="D7" s="16">
        <v>13.46</v>
      </c>
      <c r="E7" s="16">
        <v>1.36</v>
      </c>
      <c r="F7" s="16">
        <v>9.92</v>
      </c>
      <c r="G7" s="16">
        <v>120.33</v>
      </c>
      <c r="H7" s="16">
        <v>2</v>
      </c>
      <c r="I7" s="16">
        <v>1</v>
      </c>
      <c r="J7" s="16">
        <v>1</v>
      </c>
      <c r="K7" s="17">
        <f t="shared" si="0"/>
        <v>8.0000000000000071E-2</v>
      </c>
      <c r="L7" s="31">
        <f t="shared" si="1"/>
        <v>8.0000000000000071E-3</v>
      </c>
    </row>
    <row r="8" spans="1:17" x14ac:dyDescent="0.3">
      <c r="A8" s="16">
        <v>559</v>
      </c>
      <c r="B8" s="16">
        <v>400</v>
      </c>
      <c r="C8" s="16">
        <v>13.86</v>
      </c>
      <c r="D8" s="16">
        <v>13.23</v>
      </c>
      <c r="E8" s="16">
        <v>1.4</v>
      </c>
      <c r="F8" s="16">
        <v>9.85</v>
      </c>
      <c r="G8" s="16">
        <v>119.67</v>
      </c>
      <c r="H8" s="16">
        <v>2</v>
      </c>
      <c r="I8" s="16">
        <v>1</v>
      </c>
      <c r="J8" s="16">
        <v>1</v>
      </c>
      <c r="K8" s="17">
        <f t="shared" si="0"/>
        <v>0.15000000000000036</v>
      </c>
      <c r="L8" s="31">
        <f t="shared" si="1"/>
        <v>1.5000000000000036E-2</v>
      </c>
    </row>
    <row r="9" spans="1:17" x14ac:dyDescent="0.3">
      <c r="A9" s="16">
        <v>558</v>
      </c>
      <c r="B9" s="16">
        <v>392</v>
      </c>
      <c r="C9" s="16">
        <v>13.84</v>
      </c>
      <c r="D9" s="16">
        <v>12.96</v>
      </c>
      <c r="E9" s="16">
        <v>1.42</v>
      </c>
      <c r="F9" s="16">
        <v>9.8699999999999992</v>
      </c>
      <c r="G9" s="16">
        <v>116.82</v>
      </c>
      <c r="H9" s="16">
        <v>2</v>
      </c>
      <c r="I9" s="16">
        <v>1</v>
      </c>
      <c r="J9" s="16">
        <v>3</v>
      </c>
      <c r="K9" s="17">
        <f t="shared" si="0"/>
        <v>0.13000000000000078</v>
      </c>
      <c r="L9" s="31">
        <f t="shared" si="1"/>
        <v>1.3000000000000077E-2</v>
      </c>
    </row>
    <row r="10" spans="1:17" x14ac:dyDescent="0.3">
      <c r="A10" s="16">
        <v>551</v>
      </c>
      <c r="B10" s="16">
        <v>399</v>
      </c>
      <c r="C10" s="16">
        <v>13.67</v>
      </c>
      <c r="D10" s="16">
        <v>13.19</v>
      </c>
      <c r="E10" s="16">
        <v>1.38</v>
      </c>
      <c r="F10" s="16">
        <v>10</v>
      </c>
      <c r="G10" s="16">
        <v>118.99</v>
      </c>
      <c r="H10" s="16">
        <v>2</v>
      </c>
      <c r="I10" s="16">
        <v>1</v>
      </c>
      <c r="J10" s="16">
        <v>1</v>
      </c>
      <c r="K10" s="17">
        <f t="shared" si="0"/>
        <v>0</v>
      </c>
      <c r="L10" s="31">
        <f t="shared" si="1"/>
        <v>0</v>
      </c>
    </row>
    <row r="11" spans="1:17" x14ac:dyDescent="0.3">
      <c r="A11" s="16">
        <v>558</v>
      </c>
      <c r="B11" s="16">
        <v>400</v>
      </c>
      <c r="C11" s="16">
        <v>13.84</v>
      </c>
      <c r="D11" s="16">
        <v>13.23</v>
      </c>
      <c r="E11" s="16">
        <v>1.4</v>
      </c>
      <c r="F11" s="16">
        <v>9.8699999999999992</v>
      </c>
      <c r="G11" s="16">
        <v>120.62</v>
      </c>
      <c r="H11" s="16">
        <v>2</v>
      </c>
      <c r="I11" s="16">
        <v>1</v>
      </c>
      <c r="J11" s="16">
        <v>1</v>
      </c>
      <c r="K11" s="17">
        <f t="shared" si="0"/>
        <v>0.13000000000000078</v>
      </c>
      <c r="L11" s="31">
        <f t="shared" si="1"/>
        <v>1.3000000000000077E-2</v>
      </c>
    </row>
    <row r="12" spans="1:17" x14ac:dyDescent="0.3">
      <c r="A12" s="16">
        <v>551</v>
      </c>
      <c r="B12" s="16">
        <v>417</v>
      </c>
      <c r="C12" s="16">
        <v>13.67</v>
      </c>
      <c r="D12" s="16">
        <v>13.79</v>
      </c>
      <c r="E12" s="16">
        <v>1.32</v>
      </c>
      <c r="F12" s="16">
        <v>10</v>
      </c>
      <c r="G12" s="16">
        <v>116.12</v>
      </c>
      <c r="H12" s="16">
        <v>3</v>
      </c>
      <c r="I12" s="16">
        <v>1</v>
      </c>
      <c r="J12" s="16">
        <v>1</v>
      </c>
      <c r="K12" s="17">
        <f t="shared" si="0"/>
        <v>0</v>
      </c>
      <c r="L12" s="31">
        <f t="shared" si="1"/>
        <v>0</v>
      </c>
    </row>
    <row r="13" spans="1:17" x14ac:dyDescent="0.3">
      <c r="A13" s="16">
        <v>555</v>
      </c>
      <c r="B13" s="16">
        <v>403</v>
      </c>
      <c r="C13" s="16">
        <v>13.76</v>
      </c>
      <c r="D13" s="16">
        <v>13.33</v>
      </c>
      <c r="E13" s="16">
        <v>1.38</v>
      </c>
      <c r="F13" s="16">
        <v>9.92</v>
      </c>
      <c r="G13" s="16">
        <v>118.92</v>
      </c>
      <c r="H13" s="16">
        <v>3</v>
      </c>
      <c r="I13" s="16">
        <v>1</v>
      </c>
      <c r="J13" s="16">
        <v>1</v>
      </c>
      <c r="K13" s="17">
        <f t="shared" si="0"/>
        <v>8.0000000000000071E-2</v>
      </c>
      <c r="L13" s="31">
        <f t="shared" si="1"/>
        <v>8.0000000000000071E-3</v>
      </c>
    </row>
    <row r="14" spans="1:17" x14ac:dyDescent="0.3">
      <c r="A14" s="16">
        <v>563</v>
      </c>
      <c r="B14" s="16">
        <v>400</v>
      </c>
      <c r="C14" s="16">
        <v>13.96</v>
      </c>
      <c r="D14" s="16">
        <v>13.23</v>
      </c>
      <c r="E14" s="16">
        <v>1.41</v>
      </c>
      <c r="F14" s="16">
        <v>9.7799999999999994</v>
      </c>
      <c r="G14" s="16">
        <v>120.85</v>
      </c>
      <c r="H14" s="16">
        <v>3</v>
      </c>
      <c r="I14" s="16">
        <v>1</v>
      </c>
      <c r="J14" s="16">
        <v>1</v>
      </c>
      <c r="K14" s="17">
        <f t="shared" si="0"/>
        <v>0.22000000000000064</v>
      </c>
      <c r="L14" s="31">
        <f t="shared" si="1"/>
        <v>2.2000000000000065E-2</v>
      </c>
    </row>
    <row r="15" spans="1:17" x14ac:dyDescent="0.3">
      <c r="A15" s="16">
        <v>555</v>
      </c>
      <c r="B15" s="16">
        <v>404</v>
      </c>
      <c r="C15" s="16">
        <v>13.76</v>
      </c>
      <c r="D15" s="16">
        <v>13.36</v>
      </c>
      <c r="E15" s="16">
        <v>1.37</v>
      </c>
      <c r="F15" s="16">
        <v>9.92</v>
      </c>
      <c r="G15" s="16">
        <v>124.2</v>
      </c>
      <c r="H15" s="16">
        <v>3</v>
      </c>
      <c r="I15" s="16">
        <v>2</v>
      </c>
      <c r="J15" s="16">
        <v>1</v>
      </c>
      <c r="K15" s="17">
        <f t="shared" si="0"/>
        <v>8.0000000000000071E-2</v>
      </c>
      <c r="L15" s="31">
        <f t="shared" si="1"/>
        <v>8.0000000000000071E-3</v>
      </c>
    </row>
    <row r="16" spans="1:17" x14ac:dyDescent="0.3">
      <c r="A16" s="16">
        <v>559</v>
      </c>
      <c r="B16" s="16">
        <v>394</v>
      </c>
      <c r="C16" s="16">
        <v>13.86</v>
      </c>
      <c r="D16" s="16">
        <v>13.03</v>
      </c>
      <c r="E16" s="16">
        <v>1.42</v>
      </c>
      <c r="F16" s="16">
        <v>9.85</v>
      </c>
      <c r="G16" s="16">
        <v>123.57</v>
      </c>
      <c r="H16" s="16">
        <v>3</v>
      </c>
      <c r="I16" s="16">
        <v>2</v>
      </c>
      <c r="J16" s="16">
        <v>1</v>
      </c>
      <c r="K16" s="17">
        <f t="shared" si="0"/>
        <v>0.15000000000000036</v>
      </c>
      <c r="L16" s="31">
        <f t="shared" si="1"/>
        <v>1.5000000000000036E-2</v>
      </c>
    </row>
    <row r="17" spans="1:12" x14ac:dyDescent="0.3">
      <c r="A17" s="16">
        <v>558</v>
      </c>
      <c r="B17" s="16">
        <v>400</v>
      </c>
      <c r="C17" s="16">
        <v>13.84</v>
      </c>
      <c r="D17" s="16">
        <v>13.23</v>
      </c>
      <c r="E17" s="16">
        <v>1.4</v>
      </c>
      <c r="F17" s="16">
        <v>9.8699999999999992</v>
      </c>
      <c r="G17" s="16">
        <v>54.05</v>
      </c>
      <c r="H17" s="16">
        <v>4</v>
      </c>
      <c r="I17" s="16">
        <v>1</v>
      </c>
      <c r="J17" s="16">
        <v>2</v>
      </c>
      <c r="K17" s="17">
        <f t="shared" si="0"/>
        <v>0.13000000000000078</v>
      </c>
      <c r="L17" s="31">
        <f t="shared" si="1"/>
        <v>1.3000000000000077E-2</v>
      </c>
    </row>
    <row r="18" spans="1:12" x14ac:dyDescent="0.3">
      <c r="A18" s="16">
        <v>553</v>
      </c>
      <c r="B18" s="16">
        <v>418</v>
      </c>
      <c r="C18" s="16">
        <v>13.72</v>
      </c>
      <c r="D18" s="16">
        <v>13.82</v>
      </c>
      <c r="E18" s="16">
        <v>1.32</v>
      </c>
      <c r="F18" s="16">
        <v>9.9600000000000009</v>
      </c>
      <c r="G18" s="16">
        <v>49.93</v>
      </c>
      <c r="H18" s="16">
        <v>4</v>
      </c>
      <c r="I18" s="16">
        <v>1</v>
      </c>
      <c r="J18" s="16">
        <v>2</v>
      </c>
      <c r="K18" s="17">
        <f t="shared" si="0"/>
        <v>3.9999999999999147E-2</v>
      </c>
      <c r="L18" s="31">
        <f t="shared" si="1"/>
        <v>3.9999999999999151E-3</v>
      </c>
    </row>
    <row r="19" spans="1:12" x14ac:dyDescent="0.3">
      <c r="A19" s="16">
        <v>556</v>
      </c>
      <c r="B19" s="16">
        <v>415</v>
      </c>
      <c r="C19" s="16">
        <v>13.79</v>
      </c>
      <c r="D19" s="16">
        <v>13.72</v>
      </c>
      <c r="E19" s="16">
        <v>1.34</v>
      </c>
      <c r="F19" s="16">
        <v>9.91</v>
      </c>
      <c r="G19" s="16">
        <v>47.09</v>
      </c>
      <c r="H19" s="16">
        <v>4</v>
      </c>
      <c r="I19" s="16">
        <v>1</v>
      </c>
      <c r="J19" s="16">
        <v>2</v>
      </c>
      <c r="K19" s="17">
        <f t="shared" si="0"/>
        <v>8.9999999999999858E-2</v>
      </c>
      <c r="L19" s="31">
        <f t="shared" si="1"/>
        <v>8.9999999999999854E-3</v>
      </c>
    </row>
    <row r="20" spans="1:12" x14ac:dyDescent="0.3">
      <c r="A20" s="16">
        <v>367</v>
      </c>
      <c r="B20" s="16">
        <v>250</v>
      </c>
      <c r="C20" s="16">
        <v>9.1</v>
      </c>
      <c r="D20" s="16">
        <v>8.27</v>
      </c>
      <c r="E20" s="16">
        <v>1.47</v>
      </c>
      <c r="F20" s="16">
        <v>15.01</v>
      </c>
      <c r="G20" s="16">
        <v>130.1</v>
      </c>
      <c r="H20" s="16">
        <v>1</v>
      </c>
      <c r="I20" s="16">
        <v>1</v>
      </c>
      <c r="J20" s="16">
        <v>2</v>
      </c>
      <c r="K20" s="17">
        <f>ABS(F20-15)</f>
        <v>9.9999999999997868E-3</v>
      </c>
      <c r="L20" s="31">
        <f>K20/15</f>
        <v>6.6666666666665244E-4</v>
      </c>
    </row>
    <row r="21" spans="1:12" x14ac:dyDescent="0.3">
      <c r="A21" s="16">
        <v>369</v>
      </c>
      <c r="B21" s="16">
        <v>264</v>
      </c>
      <c r="C21" s="16">
        <v>9.15</v>
      </c>
      <c r="D21" s="16">
        <v>8.73</v>
      </c>
      <c r="E21" s="16">
        <v>1.4</v>
      </c>
      <c r="F21" s="16">
        <v>14.93</v>
      </c>
      <c r="G21" s="16">
        <v>120.67</v>
      </c>
      <c r="H21" s="16">
        <v>1</v>
      </c>
      <c r="I21" s="16">
        <v>1</v>
      </c>
      <c r="J21" s="16">
        <v>2</v>
      </c>
      <c r="K21" s="17">
        <f t="shared" ref="K21:K36" si="2">ABS(F21-15)</f>
        <v>7.0000000000000284E-2</v>
      </c>
      <c r="L21" s="31">
        <f t="shared" ref="L21:L36" si="3">K21/15</f>
        <v>4.6666666666666853E-3</v>
      </c>
    </row>
    <row r="22" spans="1:12" x14ac:dyDescent="0.3">
      <c r="A22" s="16">
        <v>362</v>
      </c>
      <c r="B22" s="16">
        <v>255</v>
      </c>
      <c r="C22" s="16">
        <v>8.98</v>
      </c>
      <c r="D22" s="16">
        <v>8.43</v>
      </c>
      <c r="E22" s="16">
        <v>1.42</v>
      </c>
      <c r="F22" s="16">
        <v>15.22</v>
      </c>
      <c r="G22" s="16">
        <v>121.72</v>
      </c>
      <c r="H22" s="16">
        <v>1</v>
      </c>
      <c r="I22" s="16">
        <v>1</v>
      </c>
      <c r="J22" s="16">
        <v>2</v>
      </c>
      <c r="K22" s="17">
        <f t="shared" si="2"/>
        <v>0.22000000000000064</v>
      </c>
      <c r="L22" s="31">
        <f t="shared" si="3"/>
        <v>1.466666666666671E-2</v>
      </c>
    </row>
    <row r="23" spans="1:12" x14ac:dyDescent="0.3">
      <c r="A23" s="16">
        <v>371</v>
      </c>
      <c r="B23" s="16">
        <v>262</v>
      </c>
      <c r="C23" s="16">
        <v>9.1999999999999993</v>
      </c>
      <c r="D23" s="16">
        <v>8.66</v>
      </c>
      <c r="E23" s="16">
        <v>1.42</v>
      </c>
      <c r="F23" s="16">
        <v>14.85</v>
      </c>
      <c r="G23" s="16">
        <v>127.1</v>
      </c>
      <c r="H23" s="16">
        <v>1</v>
      </c>
      <c r="I23" s="16">
        <v>1</v>
      </c>
      <c r="J23" s="16">
        <v>2</v>
      </c>
      <c r="K23" s="17">
        <f t="shared" si="2"/>
        <v>0.15000000000000036</v>
      </c>
      <c r="L23" s="31">
        <f t="shared" si="3"/>
        <v>1.0000000000000024E-2</v>
      </c>
    </row>
    <row r="24" spans="1:12" x14ac:dyDescent="0.3">
      <c r="A24" s="16">
        <v>353</v>
      </c>
      <c r="B24" s="16">
        <v>260</v>
      </c>
      <c r="C24" s="16">
        <v>8.75</v>
      </c>
      <c r="D24" s="16">
        <v>8.6</v>
      </c>
      <c r="E24" s="16">
        <v>1.36</v>
      </c>
      <c r="F24" s="16">
        <v>15.6</v>
      </c>
      <c r="G24" s="16">
        <v>120.52</v>
      </c>
      <c r="H24" s="16">
        <v>2</v>
      </c>
      <c r="I24" s="16">
        <v>1</v>
      </c>
      <c r="J24" s="16">
        <v>2</v>
      </c>
      <c r="K24" s="17">
        <f t="shared" si="2"/>
        <v>0.59999999999999964</v>
      </c>
      <c r="L24" s="31">
        <f t="shared" si="3"/>
        <v>3.9999999999999973E-2</v>
      </c>
    </row>
    <row r="25" spans="1:12" x14ac:dyDescent="0.3">
      <c r="A25" s="16">
        <v>379</v>
      </c>
      <c r="B25" s="16">
        <v>269</v>
      </c>
      <c r="C25" s="16">
        <v>9.4</v>
      </c>
      <c r="D25" s="16">
        <v>8.9</v>
      </c>
      <c r="E25" s="16">
        <v>1.41</v>
      </c>
      <c r="F25" s="16">
        <v>14.53</v>
      </c>
      <c r="G25" s="16">
        <v>125.81</v>
      </c>
      <c r="H25" s="16">
        <v>2</v>
      </c>
      <c r="I25" s="16">
        <v>1</v>
      </c>
      <c r="J25" s="16">
        <v>1</v>
      </c>
      <c r="K25" s="17">
        <f t="shared" si="2"/>
        <v>0.47000000000000064</v>
      </c>
      <c r="L25" s="31">
        <f t="shared" si="3"/>
        <v>3.1333333333333373E-2</v>
      </c>
    </row>
    <row r="26" spans="1:12" x14ac:dyDescent="0.3">
      <c r="A26" s="16">
        <v>366</v>
      </c>
      <c r="B26" s="16">
        <v>264</v>
      </c>
      <c r="C26" s="16">
        <v>9.08</v>
      </c>
      <c r="D26" s="16">
        <v>8.73</v>
      </c>
      <c r="E26" s="16">
        <v>1.39</v>
      </c>
      <c r="F26" s="16">
        <v>15.05</v>
      </c>
      <c r="G26" s="16">
        <v>119.39</v>
      </c>
      <c r="H26" s="16">
        <v>2</v>
      </c>
      <c r="I26" s="16">
        <v>2</v>
      </c>
      <c r="J26" s="16">
        <v>1</v>
      </c>
      <c r="K26" s="17">
        <f t="shared" si="2"/>
        <v>5.0000000000000711E-2</v>
      </c>
      <c r="L26" s="31">
        <f t="shared" si="3"/>
        <v>3.3333333333333808E-3</v>
      </c>
    </row>
    <row r="27" spans="1:12" x14ac:dyDescent="0.3">
      <c r="A27" s="16">
        <v>376</v>
      </c>
      <c r="B27" s="16">
        <v>265</v>
      </c>
      <c r="C27" s="16">
        <v>9.33</v>
      </c>
      <c r="D27" s="16">
        <v>8.76</v>
      </c>
      <c r="E27" s="16">
        <v>1.42</v>
      </c>
      <c r="F27" s="16">
        <v>14.65</v>
      </c>
      <c r="G27" s="16">
        <v>123.78</v>
      </c>
      <c r="H27" s="16">
        <v>2</v>
      </c>
      <c r="I27" s="16">
        <v>1</v>
      </c>
      <c r="J27" s="16">
        <v>1</v>
      </c>
      <c r="K27" s="17">
        <f t="shared" si="2"/>
        <v>0.34999999999999964</v>
      </c>
      <c r="L27" s="31">
        <f t="shared" si="3"/>
        <v>2.333333333333331E-2</v>
      </c>
    </row>
    <row r="28" spans="1:12" x14ac:dyDescent="0.3">
      <c r="A28" s="16">
        <v>368</v>
      </c>
      <c r="B28" s="16">
        <v>272</v>
      </c>
      <c r="C28" s="16">
        <v>9.1300000000000008</v>
      </c>
      <c r="D28" s="16">
        <v>8.99</v>
      </c>
      <c r="E28" s="16">
        <v>1.35</v>
      </c>
      <c r="F28" s="16">
        <v>14.97</v>
      </c>
      <c r="G28" s="16">
        <v>120.32</v>
      </c>
      <c r="H28" s="16">
        <v>2</v>
      </c>
      <c r="I28" s="16">
        <v>1</v>
      </c>
      <c r="J28" s="16">
        <v>1</v>
      </c>
      <c r="K28" s="17">
        <f t="shared" si="2"/>
        <v>2.9999999999999361E-2</v>
      </c>
      <c r="L28" s="31">
        <f t="shared" si="3"/>
        <v>1.9999999999999575E-3</v>
      </c>
    </row>
    <row r="29" spans="1:12" x14ac:dyDescent="0.3">
      <c r="A29" s="16">
        <v>366</v>
      </c>
      <c r="B29" s="16">
        <v>260</v>
      </c>
      <c r="C29" s="16">
        <v>9.08</v>
      </c>
      <c r="D29" s="16">
        <v>8.6</v>
      </c>
      <c r="E29" s="16">
        <v>1.41</v>
      </c>
      <c r="F29" s="16">
        <v>15.05</v>
      </c>
      <c r="G29" s="16">
        <v>120.71</v>
      </c>
      <c r="H29" s="16">
        <v>3</v>
      </c>
      <c r="I29" s="16">
        <v>1</v>
      </c>
      <c r="J29" s="16">
        <v>1</v>
      </c>
      <c r="K29" s="17">
        <f t="shared" si="2"/>
        <v>5.0000000000000711E-2</v>
      </c>
      <c r="L29" s="31">
        <f t="shared" si="3"/>
        <v>3.3333333333333808E-3</v>
      </c>
    </row>
    <row r="30" spans="1:12" x14ac:dyDescent="0.3">
      <c r="A30" s="16">
        <v>373</v>
      </c>
      <c r="B30" s="16">
        <v>264</v>
      </c>
      <c r="C30" s="16">
        <v>9.25</v>
      </c>
      <c r="D30" s="16">
        <v>8.73</v>
      </c>
      <c r="E30" s="16">
        <v>1.41</v>
      </c>
      <c r="F30" s="16">
        <v>14.77</v>
      </c>
      <c r="G30" s="16">
        <v>119.96</v>
      </c>
      <c r="H30" s="16">
        <v>3</v>
      </c>
      <c r="I30" s="16">
        <v>1</v>
      </c>
      <c r="J30" s="16">
        <v>1</v>
      </c>
      <c r="K30" s="17">
        <f t="shared" si="2"/>
        <v>0.23000000000000043</v>
      </c>
      <c r="L30" s="31">
        <f t="shared" si="3"/>
        <v>1.5333333333333362E-2</v>
      </c>
    </row>
    <row r="31" spans="1:12" x14ac:dyDescent="0.3">
      <c r="A31" s="16">
        <v>370</v>
      </c>
      <c r="B31" s="16">
        <v>274</v>
      </c>
      <c r="C31" s="16">
        <v>9.18</v>
      </c>
      <c r="D31" s="16">
        <v>9.06</v>
      </c>
      <c r="E31" s="16">
        <v>1.35</v>
      </c>
      <c r="F31" s="16">
        <v>14.89</v>
      </c>
      <c r="G31" s="16">
        <v>128.56</v>
      </c>
      <c r="H31" s="16">
        <v>3</v>
      </c>
      <c r="I31" s="16">
        <v>1</v>
      </c>
      <c r="J31" s="16">
        <v>2</v>
      </c>
      <c r="K31" s="17">
        <f t="shared" si="2"/>
        <v>0.10999999999999943</v>
      </c>
      <c r="L31" s="31">
        <f t="shared" si="3"/>
        <v>7.333333333333295E-3</v>
      </c>
    </row>
    <row r="32" spans="1:12" x14ac:dyDescent="0.3">
      <c r="A32" s="16">
        <v>379</v>
      </c>
      <c r="B32" s="16">
        <v>272</v>
      </c>
      <c r="C32" s="16">
        <v>9.4</v>
      </c>
      <c r="D32" s="16">
        <v>8.99</v>
      </c>
      <c r="E32" s="16">
        <v>1.39</v>
      </c>
      <c r="F32" s="16">
        <v>14.53</v>
      </c>
      <c r="G32" s="16">
        <v>133.1</v>
      </c>
      <c r="H32" s="16">
        <v>3</v>
      </c>
      <c r="I32" s="16">
        <v>1</v>
      </c>
      <c r="J32" s="16">
        <v>1</v>
      </c>
      <c r="K32" s="17">
        <f t="shared" si="2"/>
        <v>0.47000000000000064</v>
      </c>
      <c r="L32" s="31">
        <f t="shared" si="3"/>
        <v>3.1333333333333373E-2</v>
      </c>
    </row>
    <row r="33" spans="1:12" x14ac:dyDescent="0.3">
      <c r="A33" s="16">
        <v>372</v>
      </c>
      <c r="B33" s="16">
        <v>265</v>
      </c>
      <c r="C33" s="16">
        <v>9.23</v>
      </c>
      <c r="D33" s="16">
        <v>8.76</v>
      </c>
      <c r="E33" s="16">
        <v>1.4</v>
      </c>
      <c r="F33" s="16">
        <v>14.81</v>
      </c>
      <c r="G33" s="16">
        <v>130.32</v>
      </c>
      <c r="H33" s="16">
        <v>3</v>
      </c>
      <c r="I33" s="16">
        <v>2</v>
      </c>
      <c r="J33" s="16">
        <v>1</v>
      </c>
      <c r="K33" s="17">
        <f t="shared" si="2"/>
        <v>0.1899999999999995</v>
      </c>
      <c r="L33" s="31">
        <f t="shared" si="3"/>
        <v>1.2666666666666633E-2</v>
      </c>
    </row>
    <row r="34" spans="1:12" x14ac:dyDescent="0.3">
      <c r="A34" s="16">
        <v>375</v>
      </c>
      <c r="B34" s="16">
        <v>271</v>
      </c>
      <c r="C34" s="16">
        <v>9.3000000000000007</v>
      </c>
      <c r="D34" s="16">
        <v>8.9600000000000009</v>
      </c>
      <c r="E34" s="16">
        <v>1.38</v>
      </c>
      <c r="F34" s="16">
        <v>14.69</v>
      </c>
      <c r="G34" s="16">
        <v>91.1</v>
      </c>
      <c r="H34" s="16">
        <v>4</v>
      </c>
      <c r="I34" s="16">
        <v>1</v>
      </c>
      <c r="J34" s="16">
        <v>2</v>
      </c>
      <c r="K34" s="17">
        <f t="shared" si="2"/>
        <v>0.3100000000000005</v>
      </c>
      <c r="L34" s="31">
        <f t="shared" si="3"/>
        <v>2.0666666666666701E-2</v>
      </c>
    </row>
    <row r="35" spans="1:12" x14ac:dyDescent="0.3">
      <c r="A35" s="16">
        <v>374</v>
      </c>
      <c r="B35" s="16">
        <v>263</v>
      </c>
      <c r="C35" s="16">
        <v>9.2799999999999994</v>
      </c>
      <c r="D35" s="16">
        <v>8.6999999999999993</v>
      </c>
      <c r="E35" s="16">
        <v>1.42</v>
      </c>
      <c r="F35" s="16">
        <v>14.73</v>
      </c>
      <c r="G35" s="16">
        <v>50.1</v>
      </c>
      <c r="H35" s="16">
        <v>4</v>
      </c>
      <c r="I35" s="16">
        <v>1</v>
      </c>
      <c r="J35" s="16">
        <v>2</v>
      </c>
      <c r="K35" s="17">
        <f t="shared" si="2"/>
        <v>0.26999999999999957</v>
      </c>
      <c r="L35" s="31">
        <f t="shared" si="3"/>
        <v>1.7999999999999971E-2</v>
      </c>
    </row>
    <row r="36" spans="1:12" x14ac:dyDescent="0.3">
      <c r="A36" s="16">
        <v>371</v>
      </c>
      <c r="B36" s="16">
        <v>277</v>
      </c>
      <c r="C36" s="16">
        <v>9.1999999999999993</v>
      </c>
      <c r="D36" s="16">
        <v>9.16</v>
      </c>
      <c r="E36" s="16">
        <v>1.34</v>
      </c>
      <c r="F36" s="16">
        <v>14.85</v>
      </c>
      <c r="G36" s="16">
        <v>43.27</v>
      </c>
      <c r="H36" s="16">
        <v>4</v>
      </c>
      <c r="I36" s="16">
        <v>1</v>
      </c>
      <c r="J36" s="16">
        <v>3</v>
      </c>
      <c r="K36" s="17">
        <f t="shared" si="2"/>
        <v>0.15000000000000036</v>
      </c>
      <c r="L36" s="31">
        <f t="shared" si="3"/>
        <v>1.0000000000000024E-2</v>
      </c>
    </row>
    <row r="37" spans="1:12" x14ac:dyDescent="0.3">
      <c r="A37" s="16">
        <v>262</v>
      </c>
      <c r="B37" s="16">
        <v>194</v>
      </c>
      <c r="C37" s="16">
        <v>6.5</v>
      </c>
      <c r="D37" s="16">
        <v>6.42</v>
      </c>
      <c r="E37" s="16">
        <v>1.35</v>
      </c>
      <c r="F37" s="16">
        <v>21.02</v>
      </c>
      <c r="G37" s="16">
        <v>131.36000000000001</v>
      </c>
      <c r="H37" s="16">
        <v>1</v>
      </c>
      <c r="I37" s="16">
        <v>1</v>
      </c>
      <c r="J37" s="16">
        <v>1</v>
      </c>
      <c r="K37" s="17">
        <f t="shared" ref="K37:K54" si="4">ABS(F37-20)</f>
        <v>1.0199999999999996</v>
      </c>
      <c r="L37" s="31">
        <f>K37/20</f>
        <v>5.0999999999999976E-2</v>
      </c>
    </row>
    <row r="38" spans="1:12" x14ac:dyDescent="0.3">
      <c r="A38" s="16">
        <v>268</v>
      </c>
      <c r="B38" s="16">
        <v>198</v>
      </c>
      <c r="C38" s="16">
        <v>6.65</v>
      </c>
      <c r="D38" s="16">
        <v>6.55</v>
      </c>
      <c r="E38" s="16">
        <v>1.35</v>
      </c>
      <c r="F38" s="16">
        <v>20.55</v>
      </c>
      <c r="G38" s="16">
        <v>124.19</v>
      </c>
      <c r="H38" s="16">
        <v>1</v>
      </c>
      <c r="I38" s="16">
        <v>1</v>
      </c>
      <c r="J38" s="16">
        <v>2</v>
      </c>
      <c r="K38" s="17">
        <f t="shared" si="4"/>
        <v>0.55000000000000071</v>
      </c>
      <c r="L38" s="31">
        <f t="shared" ref="L38:L54" si="5">K38/20</f>
        <v>2.7500000000000035E-2</v>
      </c>
    </row>
    <row r="39" spans="1:12" x14ac:dyDescent="0.3">
      <c r="A39" s="16">
        <v>269</v>
      </c>
      <c r="B39" s="16">
        <v>199</v>
      </c>
      <c r="C39" s="16">
        <v>6.67</v>
      </c>
      <c r="D39" s="16">
        <v>6.58</v>
      </c>
      <c r="E39" s="16">
        <v>1.35</v>
      </c>
      <c r="F39" s="16">
        <v>20.48</v>
      </c>
      <c r="G39" s="16">
        <v>119.96</v>
      </c>
      <c r="H39" s="16">
        <v>1</v>
      </c>
      <c r="I39" s="16">
        <v>1</v>
      </c>
      <c r="J39" s="16">
        <v>1</v>
      </c>
      <c r="K39" s="17">
        <f t="shared" si="4"/>
        <v>0.48000000000000043</v>
      </c>
      <c r="L39" s="31">
        <f t="shared" si="5"/>
        <v>2.4000000000000021E-2</v>
      </c>
    </row>
    <row r="40" spans="1:12" x14ac:dyDescent="0.3">
      <c r="A40" s="16">
        <v>270</v>
      </c>
      <c r="B40" s="16">
        <v>202</v>
      </c>
      <c r="C40" s="16">
        <v>6.7</v>
      </c>
      <c r="D40" s="16">
        <v>6.68</v>
      </c>
      <c r="E40" s="16">
        <v>1.34</v>
      </c>
      <c r="F40" s="16">
        <v>20.399999999999999</v>
      </c>
      <c r="G40" s="16">
        <v>125.44</v>
      </c>
      <c r="H40" s="16">
        <v>1</v>
      </c>
      <c r="I40" s="16">
        <v>1</v>
      </c>
      <c r="J40" s="16">
        <v>2</v>
      </c>
      <c r="K40" s="17">
        <f t="shared" si="4"/>
        <v>0.39999999999999858</v>
      </c>
      <c r="L40" s="31">
        <f t="shared" si="5"/>
        <v>1.9999999999999928E-2</v>
      </c>
    </row>
    <row r="41" spans="1:12" x14ac:dyDescent="0.3">
      <c r="A41" s="16">
        <v>255</v>
      </c>
      <c r="B41" s="16">
        <v>190</v>
      </c>
      <c r="C41" s="16">
        <v>6.32</v>
      </c>
      <c r="D41" s="16">
        <v>6.28</v>
      </c>
      <c r="E41" s="16">
        <v>1.34</v>
      </c>
      <c r="F41" s="16">
        <v>21.6</v>
      </c>
      <c r="G41" s="16">
        <v>123.85</v>
      </c>
      <c r="H41" s="16">
        <v>1</v>
      </c>
      <c r="I41" s="16">
        <v>1</v>
      </c>
      <c r="J41" s="16">
        <v>1</v>
      </c>
      <c r="K41" s="17">
        <f t="shared" si="4"/>
        <v>1.6000000000000014</v>
      </c>
      <c r="L41" s="31">
        <f t="shared" si="5"/>
        <v>8.0000000000000071E-2</v>
      </c>
    </row>
    <row r="42" spans="1:12" x14ac:dyDescent="0.3">
      <c r="A42" s="16">
        <v>278</v>
      </c>
      <c r="B42" s="16">
        <v>200</v>
      </c>
      <c r="C42" s="16">
        <v>6.89</v>
      </c>
      <c r="D42" s="16">
        <v>6.61</v>
      </c>
      <c r="E42" s="16">
        <v>1.39</v>
      </c>
      <c r="F42" s="16">
        <v>19.809999999999999</v>
      </c>
      <c r="G42" s="16">
        <v>125.68</v>
      </c>
      <c r="H42" s="16">
        <v>2</v>
      </c>
      <c r="I42" s="16">
        <v>1</v>
      </c>
      <c r="J42" s="16">
        <v>3</v>
      </c>
      <c r="K42" s="17">
        <f t="shared" si="4"/>
        <v>0.19000000000000128</v>
      </c>
      <c r="L42" s="31">
        <f t="shared" si="5"/>
        <v>9.5000000000000639E-3</v>
      </c>
    </row>
    <row r="43" spans="1:12" x14ac:dyDescent="0.3">
      <c r="A43" s="16">
        <v>273</v>
      </c>
      <c r="B43" s="16">
        <v>206</v>
      </c>
      <c r="C43" s="16">
        <v>6.77</v>
      </c>
      <c r="D43" s="16">
        <v>6.81</v>
      </c>
      <c r="E43" s="16">
        <v>1.33</v>
      </c>
      <c r="F43" s="16">
        <v>20.18</v>
      </c>
      <c r="G43" s="16">
        <v>123.25</v>
      </c>
      <c r="H43" s="16">
        <v>2</v>
      </c>
      <c r="I43" s="16">
        <v>1</v>
      </c>
      <c r="J43" s="16">
        <v>1</v>
      </c>
      <c r="K43" s="17">
        <f t="shared" si="4"/>
        <v>0.17999999999999972</v>
      </c>
      <c r="L43" s="31">
        <f t="shared" si="5"/>
        <v>8.9999999999999854E-3</v>
      </c>
    </row>
    <row r="44" spans="1:12" x14ac:dyDescent="0.3">
      <c r="A44" s="16">
        <v>274</v>
      </c>
      <c r="B44" s="16">
        <v>199</v>
      </c>
      <c r="C44" s="16">
        <v>6.8</v>
      </c>
      <c r="D44" s="16">
        <v>6.58</v>
      </c>
      <c r="E44" s="16">
        <v>1.38</v>
      </c>
      <c r="F44" s="16">
        <v>20.100000000000001</v>
      </c>
      <c r="G44" s="16">
        <v>118.42</v>
      </c>
      <c r="H44" s="16">
        <v>2</v>
      </c>
      <c r="I44" s="16">
        <v>2</v>
      </c>
      <c r="J44" s="16">
        <v>1</v>
      </c>
      <c r="K44" s="17">
        <f t="shared" si="4"/>
        <v>0.10000000000000142</v>
      </c>
      <c r="L44" s="31">
        <f t="shared" si="5"/>
        <v>5.0000000000000712E-3</v>
      </c>
    </row>
    <row r="45" spans="1:12" x14ac:dyDescent="0.3">
      <c r="A45" s="16">
        <v>260</v>
      </c>
      <c r="B45" s="16">
        <v>194</v>
      </c>
      <c r="C45" s="16">
        <v>6.45</v>
      </c>
      <c r="D45" s="16">
        <v>6.42</v>
      </c>
      <c r="E45" s="16">
        <v>1.34</v>
      </c>
      <c r="F45" s="16">
        <v>21.18</v>
      </c>
      <c r="G45" s="16">
        <v>123.36</v>
      </c>
      <c r="H45" s="16">
        <v>2</v>
      </c>
      <c r="I45" s="16">
        <v>1</v>
      </c>
      <c r="J45" s="16">
        <v>1</v>
      </c>
      <c r="K45" s="17">
        <f t="shared" si="4"/>
        <v>1.1799999999999997</v>
      </c>
      <c r="L45" s="31">
        <f t="shared" si="5"/>
        <v>5.8999999999999983E-2</v>
      </c>
    </row>
    <row r="46" spans="1:12" x14ac:dyDescent="0.3">
      <c r="A46" s="16">
        <v>267</v>
      </c>
      <c r="B46" s="16">
        <v>190</v>
      </c>
      <c r="C46" s="16">
        <v>6.62</v>
      </c>
      <c r="D46" s="16">
        <v>6.28</v>
      </c>
      <c r="E46" s="16">
        <v>1.41</v>
      </c>
      <c r="F46" s="16">
        <v>20.63</v>
      </c>
      <c r="G46" s="16">
        <v>122.81</v>
      </c>
      <c r="H46" s="16">
        <v>2</v>
      </c>
      <c r="I46" s="16">
        <v>1</v>
      </c>
      <c r="J46" s="16">
        <v>1</v>
      </c>
      <c r="K46" s="17">
        <f t="shared" si="4"/>
        <v>0.62999999999999901</v>
      </c>
      <c r="L46" s="31">
        <f t="shared" si="5"/>
        <v>3.1499999999999952E-2</v>
      </c>
    </row>
    <row r="47" spans="1:12" x14ac:dyDescent="0.3">
      <c r="A47" s="16">
        <v>261</v>
      </c>
      <c r="B47" s="16">
        <v>199</v>
      </c>
      <c r="C47" s="16">
        <v>6.47</v>
      </c>
      <c r="D47" s="16">
        <v>6.58</v>
      </c>
      <c r="E47" s="16">
        <v>1.31</v>
      </c>
      <c r="F47" s="16">
        <v>21.1</v>
      </c>
      <c r="G47" s="16">
        <v>121.53</v>
      </c>
      <c r="H47" s="16">
        <v>3</v>
      </c>
      <c r="I47" s="16">
        <v>1</v>
      </c>
      <c r="J47" s="16">
        <v>1</v>
      </c>
      <c r="K47" s="17">
        <f t="shared" si="4"/>
        <v>1.1000000000000014</v>
      </c>
      <c r="L47" s="31">
        <f t="shared" si="5"/>
        <v>5.500000000000007E-2</v>
      </c>
    </row>
    <row r="48" spans="1:12" x14ac:dyDescent="0.3">
      <c r="A48" s="16">
        <v>263</v>
      </c>
      <c r="B48" s="16">
        <v>202</v>
      </c>
      <c r="C48" s="16">
        <v>6.52</v>
      </c>
      <c r="D48" s="16">
        <v>6.68</v>
      </c>
      <c r="E48" s="16">
        <v>1.3</v>
      </c>
      <c r="F48" s="16">
        <v>20.94</v>
      </c>
      <c r="G48" s="16">
        <v>122.18</v>
      </c>
      <c r="H48" s="16">
        <v>3</v>
      </c>
      <c r="I48" s="16">
        <v>1</v>
      </c>
      <c r="J48" s="16">
        <v>1</v>
      </c>
      <c r="K48" s="17">
        <f t="shared" si="4"/>
        <v>0.94000000000000128</v>
      </c>
      <c r="L48" s="31">
        <f t="shared" si="5"/>
        <v>4.7000000000000063E-2</v>
      </c>
    </row>
    <row r="49" spans="1:12" x14ac:dyDescent="0.3">
      <c r="A49" s="16">
        <v>280</v>
      </c>
      <c r="B49" s="16">
        <v>197</v>
      </c>
      <c r="C49" s="16">
        <v>6.94</v>
      </c>
      <c r="D49" s="16">
        <v>6.51</v>
      </c>
      <c r="E49" s="16">
        <v>1.42</v>
      </c>
      <c r="F49" s="16">
        <v>19.670000000000002</v>
      </c>
      <c r="G49" s="16">
        <v>128.21</v>
      </c>
      <c r="H49" s="16">
        <v>3</v>
      </c>
      <c r="I49" s="16">
        <v>1</v>
      </c>
      <c r="J49" s="16">
        <v>1</v>
      </c>
      <c r="K49" s="17">
        <f t="shared" si="4"/>
        <v>0.32999999999999829</v>
      </c>
      <c r="L49" s="31">
        <f t="shared" si="5"/>
        <v>1.6499999999999914E-2</v>
      </c>
    </row>
    <row r="50" spans="1:12" x14ac:dyDescent="0.3">
      <c r="A50" s="16">
        <v>272</v>
      </c>
      <c r="B50" s="16">
        <v>199</v>
      </c>
      <c r="C50" s="16">
        <v>6.75</v>
      </c>
      <c r="D50" s="16">
        <v>6.58</v>
      </c>
      <c r="E50" s="16">
        <v>1.37</v>
      </c>
      <c r="F50" s="16">
        <v>20.25</v>
      </c>
      <c r="G50" s="16">
        <v>127.5</v>
      </c>
      <c r="H50" s="16">
        <v>3</v>
      </c>
      <c r="I50" s="16">
        <v>1</v>
      </c>
      <c r="J50" s="16">
        <v>1</v>
      </c>
      <c r="K50" s="17">
        <f t="shared" si="4"/>
        <v>0.25</v>
      </c>
      <c r="L50" s="31">
        <f t="shared" si="5"/>
        <v>1.2500000000000001E-2</v>
      </c>
    </row>
    <row r="51" spans="1:12" x14ac:dyDescent="0.3">
      <c r="A51" s="16">
        <v>284</v>
      </c>
      <c r="B51" s="16">
        <v>197</v>
      </c>
      <c r="C51" s="16">
        <v>7.04</v>
      </c>
      <c r="D51" s="16">
        <v>6.51</v>
      </c>
      <c r="E51" s="16">
        <v>1.44</v>
      </c>
      <c r="F51" s="16">
        <v>19.39</v>
      </c>
      <c r="G51" s="16">
        <v>133.30000000000001</v>
      </c>
      <c r="H51" s="16">
        <v>3</v>
      </c>
      <c r="I51" s="16">
        <v>1</v>
      </c>
      <c r="J51" s="16">
        <v>1</v>
      </c>
      <c r="K51" s="17">
        <f t="shared" si="4"/>
        <v>0.60999999999999943</v>
      </c>
      <c r="L51" s="31">
        <f t="shared" si="5"/>
        <v>3.0499999999999972E-2</v>
      </c>
    </row>
    <row r="52" spans="1:12" x14ac:dyDescent="0.3">
      <c r="A52" s="16">
        <v>263</v>
      </c>
      <c r="B52" s="16">
        <v>198</v>
      </c>
      <c r="C52" s="16">
        <v>6.52</v>
      </c>
      <c r="D52" s="16">
        <v>6.55</v>
      </c>
      <c r="E52" s="16">
        <v>1.33</v>
      </c>
      <c r="F52" s="16">
        <v>20.94</v>
      </c>
      <c r="G52" s="16">
        <v>128.47</v>
      </c>
      <c r="H52" s="16">
        <v>4</v>
      </c>
      <c r="I52" s="16">
        <v>1</v>
      </c>
      <c r="J52" s="16">
        <v>1</v>
      </c>
      <c r="K52" s="17">
        <f t="shared" si="4"/>
        <v>0.94000000000000128</v>
      </c>
      <c r="L52" s="31">
        <f t="shared" si="5"/>
        <v>4.7000000000000063E-2</v>
      </c>
    </row>
    <row r="53" spans="1:12" x14ac:dyDescent="0.3">
      <c r="A53" s="16">
        <v>273</v>
      </c>
      <c r="B53" s="16">
        <v>197</v>
      </c>
      <c r="C53" s="16">
        <v>6.77</v>
      </c>
      <c r="D53" s="16">
        <v>6.51</v>
      </c>
      <c r="E53" s="16">
        <v>1.39</v>
      </c>
      <c r="F53" s="16">
        <v>20.18</v>
      </c>
      <c r="G53" s="16">
        <v>52.63</v>
      </c>
      <c r="H53" s="16">
        <v>4</v>
      </c>
      <c r="I53" s="16">
        <v>1</v>
      </c>
      <c r="J53" s="16">
        <v>2</v>
      </c>
      <c r="K53" s="17">
        <f t="shared" si="4"/>
        <v>0.17999999999999972</v>
      </c>
      <c r="L53" s="31">
        <f t="shared" si="5"/>
        <v>8.9999999999999854E-3</v>
      </c>
    </row>
    <row r="54" spans="1:12" x14ac:dyDescent="0.3">
      <c r="A54" s="16">
        <v>281</v>
      </c>
      <c r="B54" s="16">
        <v>205</v>
      </c>
      <c r="C54" s="16">
        <v>6.97</v>
      </c>
      <c r="D54" s="16">
        <v>6.78</v>
      </c>
      <c r="E54" s="16">
        <v>1.37</v>
      </c>
      <c r="F54" s="16">
        <v>19.600000000000001</v>
      </c>
      <c r="G54" s="16">
        <v>52.47</v>
      </c>
      <c r="H54" s="16">
        <v>4</v>
      </c>
      <c r="I54" s="16">
        <v>1</v>
      </c>
      <c r="J54" s="16">
        <v>3</v>
      </c>
      <c r="K54" s="17">
        <f t="shared" si="4"/>
        <v>0.39999999999999858</v>
      </c>
      <c r="L54" s="31">
        <f t="shared" si="5"/>
        <v>1.9999999999999928E-2</v>
      </c>
    </row>
    <row r="55" spans="1:12" x14ac:dyDescent="0.3">
      <c r="A55" s="16">
        <v>550</v>
      </c>
      <c r="B55" s="16">
        <v>380</v>
      </c>
      <c r="C55" s="16">
        <v>13.64</v>
      </c>
      <c r="D55" s="16">
        <v>12.57</v>
      </c>
      <c r="E55" s="16">
        <v>1.45</v>
      </c>
      <c r="F55" s="16">
        <v>10.01</v>
      </c>
      <c r="G55" s="16">
        <v>132.18</v>
      </c>
      <c r="H55" s="16">
        <v>1</v>
      </c>
      <c r="I55" s="16">
        <v>2</v>
      </c>
      <c r="J55" s="16">
        <v>1</v>
      </c>
      <c r="K55" s="17">
        <f t="shared" ref="K55:K67" si="6">ABS(F55-10)</f>
        <v>9.9999999999997868E-3</v>
      </c>
      <c r="L55" s="31">
        <f>K55/10</f>
        <v>9.9999999999997877E-4</v>
      </c>
    </row>
    <row r="56" spans="1:12" x14ac:dyDescent="0.3">
      <c r="A56" s="16">
        <v>559</v>
      </c>
      <c r="B56" s="16">
        <v>391</v>
      </c>
      <c r="C56" s="16">
        <v>13.86</v>
      </c>
      <c r="D56" s="16">
        <v>12.93</v>
      </c>
      <c r="E56" s="16">
        <v>1.43</v>
      </c>
      <c r="F56" s="16">
        <v>9.85</v>
      </c>
      <c r="G56" s="16">
        <v>128.13</v>
      </c>
      <c r="H56" s="16">
        <v>1</v>
      </c>
      <c r="I56" s="16">
        <v>2</v>
      </c>
      <c r="J56" s="16">
        <v>1</v>
      </c>
      <c r="K56" s="17">
        <f t="shared" si="6"/>
        <v>0.15000000000000036</v>
      </c>
      <c r="L56" s="31">
        <f t="shared" ref="L56:L67" si="7">K56/10</f>
        <v>1.5000000000000036E-2</v>
      </c>
    </row>
    <row r="57" spans="1:12" x14ac:dyDescent="0.3">
      <c r="A57" s="16">
        <v>558</v>
      </c>
      <c r="B57" s="16">
        <v>387</v>
      </c>
      <c r="C57" s="16">
        <v>13.84</v>
      </c>
      <c r="D57" s="16">
        <v>12.8</v>
      </c>
      <c r="E57" s="16">
        <v>1.44</v>
      </c>
      <c r="F57" s="16">
        <v>9.8699999999999992</v>
      </c>
      <c r="G57" s="16">
        <v>130.6</v>
      </c>
      <c r="H57" s="16">
        <v>1</v>
      </c>
      <c r="I57" s="16">
        <v>2</v>
      </c>
      <c r="J57" s="16">
        <v>1</v>
      </c>
      <c r="K57" s="17">
        <f t="shared" si="6"/>
        <v>0.13000000000000078</v>
      </c>
      <c r="L57" s="31">
        <f t="shared" si="7"/>
        <v>1.3000000000000077E-2</v>
      </c>
    </row>
    <row r="58" spans="1:12" x14ac:dyDescent="0.3">
      <c r="A58" s="16">
        <v>547</v>
      </c>
      <c r="B58" s="16">
        <v>390</v>
      </c>
      <c r="C58" s="16">
        <v>13.57</v>
      </c>
      <c r="D58" s="16">
        <v>12.9</v>
      </c>
      <c r="E58" s="16">
        <v>1.4</v>
      </c>
      <c r="F58" s="16">
        <v>10.07</v>
      </c>
      <c r="G58" s="16">
        <v>124.13</v>
      </c>
      <c r="H58" s="16">
        <v>1</v>
      </c>
      <c r="I58" s="16">
        <v>1</v>
      </c>
      <c r="J58" s="16">
        <v>1</v>
      </c>
      <c r="K58" s="17">
        <f t="shared" si="6"/>
        <v>7.0000000000000284E-2</v>
      </c>
      <c r="L58" s="31">
        <f t="shared" si="7"/>
        <v>7.0000000000000288E-3</v>
      </c>
    </row>
    <row r="59" spans="1:12" x14ac:dyDescent="0.3">
      <c r="A59" s="16">
        <v>555</v>
      </c>
      <c r="B59" s="16">
        <v>388</v>
      </c>
      <c r="C59" s="16">
        <v>13.76</v>
      </c>
      <c r="D59" s="16">
        <v>12.83</v>
      </c>
      <c r="E59" s="16">
        <v>1.43</v>
      </c>
      <c r="F59" s="16">
        <v>9.92</v>
      </c>
      <c r="G59" s="16">
        <v>130.44</v>
      </c>
      <c r="H59" s="16">
        <v>2</v>
      </c>
      <c r="I59" s="16">
        <v>2</v>
      </c>
      <c r="J59" s="16">
        <v>1</v>
      </c>
      <c r="K59" s="17">
        <f t="shared" si="6"/>
        <v>8.0000000000000071E-2</v>
      </c>
      <c r="L59" s="31">
        <f t="shared" si="7"/>
        <v>8.0000000000000071E-3</v>
      </c>
    </row>
    <row r="60" spans="1:12" x14ac:dyDescent="0.3">
      <c r="A60" s="16">
        <v>582</v>
      </c>
      <c r="B60" s="16">
        <v>402</v>
      </c>
      <c r="C60" s="16">
        <v>14.43</v>
      </c>
      <c r="D60" s="16">
        <v>13.29</v>
      </c>
      <c r="E60" s="16">
        <v>1.45</v>
      </c>
      <c r="F60" s="16">
        <v>9.4600000000000009</v>
      </c>
      <c r="G60" s="16">
        <v>123.35</v>
      </c>
      <c r="H60" s="16">
        <v>2</v>
      </c>
      <c r="I60" s="16">
        <v>3</v>
      </c>
      <c r="J60" s="16">
        <v>1</v>
      </c>
      <c r="K60" s="17">
        <f t="shared" si="6"/>
        <v>0.53999999999999915</v>
      </c>
      <c r="L60" s="31">
        <f t="shared" si="7"/>
        <v>5.3999999999999916E-2</v>
      </c>
    </row>
    <row r="61" spans="1:12" x14ac:dyDescent="0.3">
      <c r="A61" s="16">
        <v>554</v>
      </c>
      <c r="B61" s="16">
        <v>391</v>
      </c>
      <c r="C61" s="16">
        <v>13.74</v>
      </c>
      <c r="D61" s="16">
        <v>12.93</v>
      </c>
      <c r="E61" s="16">
        <v>1.42</v>
      </c>
      <c r="F61" s="16">
        <v>9.94</v>
      </c>
      <c r="G61" s="16">
        <v>128.16999999999999</v>
      </c>
      <c r="H61" s="16">
        <v>2</v>
      </c>
      <c r="I61" s="16">
        <v>3</v>
      </c>
      <c r="J61" s="16">
        <v>1</v>
      </c>
      <c r="K61" s="17">
        <f t="shared" si="6"/>
        <v>6.0000000000000497E-2</v>
      </c>
      <c r="L61" s="31">
        <f t="shared" si="7"/>
        <v>6.0000000000000496E-3</v>
      </c>
    </row>
    <row r="62" spans="1:12" x14ac:dyDescent="0.3">
      <c r="A62" s="16">
        <v>558</v>
      </c>
      <c r="B62" s="16">
        <v>400</v>
      </c>
      <c r="C62" s="16">
        <v>13.84</v>
      </c>
      <c r="D62" s="16">
        <v>13.23</v>
      </c>
      <c r="E62" s="16">
        <v>1.4</v>
      </c>
      <c r="F62" s="16">
        <v>9.8699999999999992</v>
      </c>
      <c r="G62" s="16">
        <v>129.83000000000001</v>
      </c>
      <c r="H62" s="16">
        <v>3</v>
      </c>
      <c r="I62" s="16">
        <v>2</v>
      </c>
      <c r="J62" s="16">
        <v>2</v>
      </c>
      <c r="K62" s="17">
        <f t="shared" si="6"/>
        <v>0.13000000000000078</v>
      </c>
      <c r="L62" s="31">
        <f t="shared" si="7"/>
        <v>1.3000000000000077E-2</v>
      </c>
    </row>
    <row r="63" spans="1:12" x14ac:dyDescent="0.3">
      <c r="A63" s="16">
        <v>562</v>
      </c>
      <c r="B63" s="16">
        <v>406</v>
      </c>
      <c r="C63" s="16">
        <v>13.94</v>
      </c>
      <c r="D63" s="16">
        <v>13.43</v>
      </c>
      <c r="E63" s="16">
        <v>1.38</v>
      </c>
      <c r="F63" s="16">
        <v>9.8000000000000007</v>
      </c>
      <c r="G63" s="16">
        <v>127.94</v>
      </c>
      <c r="H63" s="16">
        <v>3</v>
      </c>
      <c r="I63" s="16">
        <v>2</v>
      </c>
      <c r="J63" s="16">
        <v>2</v>
      </c>
      <c r="K63" s="17">
        <f t="shared" si="6"/>
        <v>0.19999999999999929</v>
      </c>
      <c r="L63" s="31">
        <f t="shared" si="7"/>
        <v>1.9999999999999928E-2</v>
      </c>
    </row>
    <row r="64" spans="1:12" x14ac:dyDescent="0.3">
      <c r="A64" s="16">
        <v>565</v>
      </c>
      <c r="B64" s="16">
        <v>388</v>
      </c>
      <c r="C64" s="16">
        <v>14.01</v>
      </c>
      <c r="D64" s="16">
        <v>12.83</v>
      </c>
      <c r="E64" s="16">
        <v>1.46</v>
      </c>
      <c r="F64" s="16">
        <v>9.75</v>
      </c>
      <c r="G64" s="16">
        <v>116.55</v>
      </c>
      <c r="H64" s="16">
        <v>3</v>
      </c>
      <c r="I64" s="16">
        <v>2</v>
      </c>
      <c r="J64" s="16">
        <v>1</v>
      </c>
      <c r="K64" s="17">
        <f t="shared" si="6"/>
        <v>0.25</v>
      </c>
      <c r="L64" s="31">
        <f t="shared" si="7"/>
        <v>2.5000000000000001E-2</v>
      </c>
    </row>
    <row r="65" spans="1:12" x14ac:dyDescent="0.3">
      <c r="A65" s="16">
        <v>561</v>
      </c>
      <c r="B65" s="16">
        <v>396</v>
      </c>
      <c r="C65" s="16">
        <v>13.91</v>
      </c>
      <c r="D65" s="16">
        <v>13.1</v>
      </c>
      <c r="E65" s="16">
        <v>1.42</v>
      </c>
      <c r="F65" s="16">
        <v>9.82</v>
      </c>
      <c r="G65" s="16">
        <v>45.88</v>
      </c>
      <c r="H65" s="16">
        <v>4</v>
      </c>
      <c r="I65" s="16">
        <v>2</v>
      </c>
      <c r="J65" s="16">
        <v>2</v>
      </c>
      <c r="K65" s="17">
        <f t="shared" si="6"/>
        <v>0.17999999999999972</v>
      </c>
      <c r="L65" s="31">
        <f t="shared" si="7"/>
        <v>1.7999999999999971E-2</v>
      </c>
    </row>
    <row r="66" spans="1:12" x14ac:dyDescent="0.3">
      <c r="A66" s="16">
        <v>560</v>
      </c>
      <c r="B66" s="16">
        <v>400</v>
      </c>
      <c r="C66" s="16">
        <v>13.89</v>
      </c>
      <c r="D66" s="16">
        <v>13.23</v>
      </c>
      <c r="E66" s="16">
        <v>1.4</v>
      </c>
      <c r="F66" s="16">
        <v>9.84</v>
      </c>
      <c r="G66" s="16">
        <v>77</v>
      </c>
      <c r="H66" s="16">
        <v>4</v>
      </c>
      <c r="I66" s="16">
        <v>1</v>
      </c>
      <c r="J66" s="16">
        <v>2</v>
      </c>
      <c r="K66" s="17">
        <f t="shared" si="6"/>
        <v>0.16000000000000014</v>
      </c>
      <c r="L66" s="31">
        <f t="shared" si="7"/>
        <v>1.6000000000000014E-2</v>
      </c>
    </row>
    <row r="67" spans="1:12" x14ac:dyDescent="0.3">
      <c r="A67" s="16">
        <v>554</v>
      </c>
      <c r="B67" s="16">
        <v>406</v>
      </c>
      <c r="C67" s="16">
        <v>13.74</v>
      </c>
      <c r="D67" s="16">
        <v>13.43</v>
      </c>
      <c r="E67" s="16">
        <v>1.36</v>
      </c>
      <c r="F67" s="16">
        <v>9.94</v>
      </c>
      <c r="G67" s="16">
        <v>48.6</v>
      </c>
      <c r="H67" s="16">
        <v>4</v>
      </c>
      <c r="I67" s="16">
        <v>2</v>
      </c>
      <c r="J67" s="16">
        <v>3</v>
      </c>
      <c r="K67" s="17">
        <f t="shared" si="6"/>
        <v>6.0000000000000497E-2</v>
      </c>
      <c r="L67" s="31">
        <f t="shared" si="7"/>
        <v>6.0000000000000496E-3</v>
      </c>
    </row>
    <row r="68" spans="1:12" x14ac:dyDescent="0.3">
      <c r="A68" s="16">
        <v>383</v>
      </c>
      <c r="B68" s="16">
        <v>288</v>
      </c>
      <c r="C68" s="16">
        <v>9.5</v>
      </c>
      <c r="D68" s="16">
        <v>9.52</v>
      </c>
      <c r="E68" s="16">
        <v>1.33</v>
      </c>
      <c r="F68" s="16">
        <v>14.38</v>
      </c>
      <c r="G68" s="16">
        <v>135.32</v>
      </c>
      <c r="H68" s="16">
        <v>1</v>
      </c>
      <c r="I68" s="16">
        <v>2</v>
      </c>
      <c r="J68" s="16">
        <v>2</v>
      </c>
      <c r="K68" s="17">
        <f t="shared" ref="K68:K80" si="8">ABS(F68-15)</f>
        <v>0.61999999999999922</v>
      </c>
      <c r="L68" s="31">
        <f>K68/15</f>
        <v>4.1333333333333284E-2</v>
      </c>
    </row>
    <row r="69" spans="1:12" x14ac:dyDescent="0.3">
      <c r="A69" s="16">
        <v>388</v>
      </c>
      <c r="B69" s="16">
        <v>306</v>
      </c>
      <c r="C69" s="16">
        <v>9.6199999999999992</v>
      </c>
      <c r="D69" s="16">
        <v>10.119999999999999</v>
      </c>
      <c r="E69" s="16">
        <v>1.27</v>
      </c>
      <c r="F69" s="16">
        <v>14.2</v>
      </c>
      <c r="G69" s="16">
        <v>132.22999999999999</v>
      </c>
      <c r="H69" s="16">
        <v>1</v>
      </c>
      <c r="I69" s="16">
        <v>2</v>
      </c>
      <c r="J69" s="16">
        <v>1</v>
      </c>
      <c r="K69" s="17">
        <f t="shared" si="8"/>
        <v>0.80000000000000071</v>
      </c>
      <c r="L69" s="31">
        <f t="shared" ref="L69:L80" si="9">K69/15</f>
        <v>5.3333333333333378E-2</v>
      </c>
    </row>
    <row r="70" spans="1:12" x14ac:dyDescent="0.3">
      <c r="A70" s="16">
        <v>395</v>
      </c>
      <c r="B70" s="16">
        <v>300</v>
      </c>
      <c r="C70" s="16">
        <v>9.8000000000000007</v>
      </c>
      <c r="D70" s="16">
        <v>9.92</v>
      </c>
      <c r="E70" s="16">
        <v>1.32</v>
      </c>
      <c r="F70" s="16">
        <v>13.94</v>
      </c>
      <c r="G70" s="16">
        <v>126.55</v>
      </c>
      <c r="H70" s="16">
        <v>1</v>
      </c>
      <c r="I70" s="16">
        <v>2</v>
      </c>
      <c r="J70" s="16">
        <v>1</v>
      </c>
      <c r="K70" s="17">
        <f t="shared" si="8"/>
        <v>1.0600000000000005</v>
      </c>
      <c r="L70" s="31">
        <f t="shared" si="9"/>
        <v>7.0666666666666697E-2</v>
      </c>
    </row>
    <row r="71" spans="1:12" x14ac:dyDescent="0.3">
      <c r="A71" s="16">
        <v>388</v>
      </c>
      <c r="B71" s="16">
        <v>297</v>
      </c>
      <c r="C71" s="16">
        <v>9.6199999999999992</v>
      </c>
      <c r="D71" s="16">
        <v>9.82</v>
      </c>
      <c r="E71" s="16">
        <v>1.31</v>
      </c>
      <c r="F71" s="16">
        <v>14.2</v>
      </c>
      <c r="G71" s="16">
        <v>129.41</v>
      </c>
      <c r="H71" s="16">
        <v>1</v>
      </c>
      <c r="I71" s="16">
        <v>1</v>
      </c>
      <c r="J71" s="16">
        <v>1</v>
      </c>
      <c r="K71" s="17">
        <f t="shared" si="8"/>
        <v>0.80000000000000071</v>
      </c>
      <c r="L71" s="31">
        <f t="shared" si="9"/>
        <v>5.3333333333333378E-2</v>
      </c>
    </row>
    <row r="72" spans="1:12" x14ac:dyDescent="0.3">
      <c r="A72" s="16">
        <v>389</v>
      </c>
      <c r="B72" s="16">
        <v>289</v>
      </c>
      <c r="C72" s="16">
        <v>9.65</v>
      </c>
      <c r="D72" s="16">
        <v>9.56</v>
      </c>
      <c r="E72" s="16">
        <v>1.35</v>
      </c>
      <c r="F72" s="16">
        <v>14.16</v>
      </c>
      <c r="G72" s="16">
        <v>134.18</v>
      </c>
      <c r="H72" s="16">
        <v>2</v>
      </c>
      <c r="I72" s="16">
        <v>2</v>
      </c>
      <c r="J72" s="16">
        <v>1</v>
      </c>
      <c r="K72" s="17">
        <f t="shared" si="8"/>
        <v>0.83999999999999986</v>
      </c>
      <c r="L72" s="31">
        <f t="shared" si="9"/>
        <v>5.5999999999999987E-2</v>
      </c>
    </row>
    <row r="73" spans="1:12" x14ac:dyDescent="0.3">
      <c r="A73" s="16">
        <v>383</v>
      </c>
      <c r="B73" s="16">
        <v>286</v>
      </c>
      <c r="C73" s="16">
        <v>9.5</v>
      </c>
      <c r="D73" s="16">
        <v>9.4600000000000009</v>
      </c>
      <c r="E73" s="16">
        <v>1.34</v>
      </c>
      <c r="F73" s="16">
        <v>14.38</v>
      </c>
      <c r="G73" s="16">
        <v>132.36000000000001</v>
      </c>
      <c r="H73" s="16">
        <v>2</v>
      </c>
      <c r="I73" s="16">
        <v>2</v>
      </c>
      <c r="J73" s="16">
        <v>1</v>
      </c>
      <c r="K73" s="17">
        <f t="shared" si="8"/>
        <v>0.61999999999999922</v>
      </c>
      <c r="L73" s="31">
        <f t="shared" si="9"/>
        <v>4.1333333333333284E-2</v>
      </c>
    </row>
    <row r="74" spans="1:12" x14ac:dyDescent="0.3">
      <c r="A74" s="16">
        <v>399</v>
      </c>
      <c r="B74" s="16">
        <v>298</v>
      </c>
      <c r="C74" s="16">
        <v>9.9</v>
      </c>
      <c r="D74" s="16">
        <v>9.85</v>
      </c>
      <c r="E74" s="16">
        <v>1.34</v>
      </c>
      <c r="F74" s="16">
        <v>13.8</v>
      </c>
      <c r="G74" s="16">
        <v>129.96</v>
      </c>
      <c r="H74" s="16">
        <v>2</v>
      </c>
      <c r="I74" s="16">
        <v>2</v>
      </c>
      <c r="J74" s="16">
        <v>1</v>
      </c>
      <c r="K74" s="17">
        <f t="shared" si="8"/>
        <v>1.1999999999999993</v>
      </c>
      <c r="L74" s="31">
        <f t="shared" si="9"/>
        <v>7.9999999999999946E-2</v>
      </c>
    </row>
    <row r="75" spans="1:12" x14ac:dyDescent="0.3">
      <c r="A75" s="16">
        <v>376</v>
      </c>
      <c r="B75" s="16">
        <v>286</v>
      </c>
      <c r="C75" s="16">
        <v>9.33</v>
      </c>
      <c r="D75" s="16">
        <v>9.4600000000000009</v>
      </c>
      <c r="E75" s="16">
        <v>1.31</v>
      </c>
      <c r="F75" s="16">
        <v>14.65</v>
      </c>
      <c r="G75" s="16">
        <v>126.56</v>
      </c>
      <c r="H75" s="16">
        <v>3</v>
      </c>
      <c r="I75" s="16">
        <v>2</v>
      </c>
      <c r="J75" s="16">
        <v>1</v>
      </c>
      <c r="K75" s="17">
        <f t="shared" si="8"/>
        <v>0.34999999999999964</v>
      </c>
      <c r="L75" s="31">
        <f t="shared" si="9"/>
        <v>2.333333333333331E-2</v>
      </c>
    </row>
    <row r="76" spans="1:12" x14ac:dyDescent="0.3">
      <c r="A76" s="16">
        <v>392</v>
      </c>
      <c r="B76" s="16">
        <v>299</v>
      </c>
      <c r="C76" s="16">
        <v>9.7200000000000006</v>
      </c>
      <c r="D76" s="16">
        <v>9.89</v>
      </c>
      <c r="E76" s="16">
        <v>1.31</v>
      </c>
      <c r="F76" s="16">
        <v>14.05</v>
      </c>
      <c r="G76" s="16">
        <v>131.54</v>
      </c>
      <c r="H76" s="16">
        <v>3</v>
      </c>
      <c r="I76" s="16">
        <v>3</v>
      </c>
      <c r="J76" s="16">
        <v>1</v>
      </c>
      <c r="K76" s="17">
        <f t="shared" si="8"/>
        <v>0.94999999999999929</v>
      </c>
      <c r="L76" s="31">
        <f t="shared" si="9"/>
        <v>6.3333333333333283E-2</v>
      </c>
    </row>
    <row r="77" spans="1:12" x14ac:dyDescent="0.3">
      <c r="A77" s="16">
        <v>385</v>
      </c>
      <c r="B77" s="16">
        <v>288</v>
      </c>
      <c r="C77" s="16">
        <v>9.5500000000000007</v>
      </c>
      <c r="D77" s="16">
        <v>9.52</v>
      </c>
      <c r="E77" s="16">
        <v>1.34</v>
      </c>
      <c r="F77" s="16">
        <v>14.31</v>
      </c>
      <c r="G77" s="16">
        <v>125.26</v>
      </c>
      <c r="H77" s="16">
        <v>3</v>
      </c>
      <c r="I77" s="16">
        <v>3</v>
      </c>
      <c r="J77" s="16">
        <v>1</v>
      </c>
      <c r="K77" s="17">
        <f t="shared" si="8"/>
        <v>0.6899999999999995</v>
      </c>
      <c r="L77" s="31">
        <f t="shared" si="9"/>
        <v>4.5999999999999965E-2</v>
      </c>
    </row>
    <row r="78" spans="1:12" x14ac:dyDescent="0.3">
      <c r="A78" s="16">
        <v>385</v>
      </c>
      <c r="B78" s="16">
        <v>291</v>
      </c>
      <c r="C78" s="16">
        <v>9.5500000000000007</v>
      </c>
      <c r="D78" s="16">
        <v>9.6199999999999992</v>
      </c>
      <c r="E78" s="16">
        <v>1.32</v>
      </c>
      <c r="F78" s="16">
        <v>14.31</v>
      </c>
      <c r="G78" s="16">
        <v>101.13</v>
      </c>
      <c r="H78" s="16">
        <v>4</v>
      </c>
      <c r="I78" s="16">
        <v>2</v>
      </c>
      <c r="J78" s="16">
        <v>1</v>
      </c>
      <c r="K78" s="17">
        <f t="shared" si="8"/>
        <v>0.6899999999999995</v>
      </c>
      <c r="L78" s="31">
        <f t="shared" si="9"/>
        <v>4.5999999999999965E-2</v>
      </c>
    </row>
    <row r="79" spans="1:12" x14ac:dyDescent="0.3">
      <c r="A79" s="16">
        <v>384</v>
      </c>
      <c r="B79" s="16">
        <v>291</v>
      </c>
      <c r="C79" s="16">
        <v>9.52</v>
      </c>
      <c r="D79" s="16">
        <v>9.6199999999999992</v>
      </c>
      <c r="E79" s="16">
        <v>1.32</v>
      </c>
      <c r="F79" s="16">
        <v>14.34</v>
      </c>
      <c r="G79" s="16">
        <v>44.28</v>
      </c>
      <c r="H79" s="16">
        <v>4</v>
      </c>
      <c r="I79" s="16">
        <v>2</v>
      </c>
      <c r="J79" s="16">
        <v>2</v>
      </c>
      <c r="K79" s="17">
        <f t="shared" si="8"/>
        <v>0.66000000000000014</v>
      </c>
      <c r="L79" s="31">
        <f t="shared" si="9"/>
        <v>4.4000000000000011E-2</v>
      </c>
    </row>
    <row r="80" spans="1:12" x14ac:dyDescent="0.3">
      <c r="A80" s="16">
        <v>383</v>
      </c>
      <c r="B80" s="16">
        <v>293</v>
      </c>
      <c r="C80" s="16">
        <v>9.5</v>
      </c>
      <c r="D80" s="16">
        <v>9.69</v>
      </c>
      <c r="E80" s="16">
        <v>1.31</v>
      </c>
      <c r="F80" s="16">
        <v>14.38</v>
      </c>
      <c r="G80" s="16">
        <v>49.43</v>
      </c>
      <c r="H80" s="16">
        <v>4</v>
      </c>
      <c r="I80" s="16">
        <v>2</v>
      </c>
      <c r="J80" s="16">
        <v>3</v>
      </c>
      <c r="K80" s="17">
        <f t="shared" si="8"/>
        <v>0.61999999999999922</v>
      </c>
      <c r="L80" s="31">
        <f t="shared" si="9"/>
        <v>4.1333333333333284E-2</v>
      </c>
    </row>
    <row r="81" spans="1:12" x14ac:dyDescent="0.3">
      <c r="A81" s="16">
        <v>297</v>
      </c>
      <c r="B81" s="16">
        <v>219</v>
      </c>
      <c r="C81" s="16">
        <v>7.37</v>
      </c>
      <c r="D81" s="16">
        <v>7.24</v>
      </c>
      <c r="E81" s="16">
        <v>1.36</v>
      </c>
      <c r="F81" s="16">
        <v>18.55</v>
      </c>
      <c r="G81" s="16">
        <v>133.15</v>
      </c>
      <c r="H81" s="16">
        <v>1</v>
      </c>
      <c r="I81" s="16">
        <v>1</v>
      </c>
      <c r="J81" s="16">
        <v>1</v>
      </c>
      <c r="K81" s="17">
        <f>ABS(F81-20)</f>
        <v>1.4499999999999993</v>
      </c>
      <c r="L81" s="31">
        <f>K81/20</f>
        <v>7.2499999999999967E-2</v>
      </c>
    </row>
    <row r="82" spans="1:12" x14ac:dyDescent="0.3">
      <c r="A82" s="16">
        <v>289</v>
      </c>
      <c r="B82" s="16">
        <v>221</v>
      </c>
      <c r="C82" s="16">
        <v>7.17</v>
      </c>
      <c r="D82" s="16">
        <v>7.31</v>
      </c>
      <c r="E82" s="16">
        <v>1.31</v>
      </c>
      <c r="F82" s="16">
        <v>19.059999999999999</v>
      </c>
      <c r="G82" s="16">
        <v>132.28</v>
      </c>
      <c r="H82" s="16">
        <v>1</v>
      </c>
      <c r="I82" s="16">
        <v>2</v>
      </c>
      <c r="J82" s="16">
        <v>2</v>
      </c>
      <c r="K82" s="17">
        <f t="shared" ref="K82:K97" si="10">ABS(F82-20)</f>
        <v>0.94000000000000128</v>
      </c>
      <c r="L82" s="31">
        <f t="shared" ref="L82:L97" si="11">K82/20</f>
        <v>4.7000000000000063E-2</v>
      </c>
    </row>
    <row r="83" spans="1:12" x14ac:dyDescent="0.3">
      <c r="A83" s="16">
        <v>291</v>
      </c>
      <c r="B83" s="16">
        <v>218</v>
      </c>
      <c r="C83" s="16">
        <v>7.22</v>
      </c>
      <c r="D83" s="16">
        <v>7.21</v>
      </c>
      <c r="E83" s="16">
        <v>1.33</v>
      </c>
      <c r="F83" s="16">
        <v>18.93</v>
      </c>
      <c r="G83" s="16">
        <v>130.16</v>
      </c>
      <c r="H83" s="16">
        <v>1</v>
      </c>
      <c r="I83" s="16">
        <v>2</v>
      </c>
      <c r="J83" s="16">
        <v>1</v>
      </c>
      <c r="K83" s="17">
        <f t="shared" si="10"/>
        <v>1.0700000000000003</v>
      </c>
      <c r="L83" s="31">
        <f t="shared" si="11"/>
        <v>5.3500000000000013E-2</v>
      </c>
    </row>
    <row r="84" spans="1:12" x14ac:dyDescent="0.3">
      <c r="A84" s="16">
        <v>282</v>
      </c>
      <c r="B84" s="16">
        <v>215</v>
      </c>
      <c r="C84" s="16">
        <v>6.99</v>
      </c>
      <c r="D84" s="16">
        <v>7.11</v>
      </c>
      <c r="E84" s="16">
        <v>1.31</v>
      </c>
      <c r="F84" s="16">
        <v>19.53</v>
      </c>
      <c r="G84" s="16">
        <v>134.91999999999999</v>
      </c>
      <c r="H84" s="16">
        <v>1</v>
      </c>
      <c r="I84" s="16">
        <v>3</v>
      </c>
      <c r="J84" s="16">
        <v>2</v>
      </c>
      <c r="K84" s="17">
        <f t="shared" si="10"/>
        <v>0.46999999999999886</v>
      </c>
      <c r="L84" s="31">
        <f t="shared" si="11"/>
        <v>2.3499999999999945E-2</v>
      </c>
    </row>
    <row r="85" spans="1:12" x14ac:dyDescent="0.3">
      <c r="A85" s="16">
        <v>296</v>
      </c>
      <c r="B85" s="16">
        <v>218</v>
      </c>
      <c r="C85" s="16">
        <v>7.34</v>
      </c>
      <c r="D85" s="16">
        <v>7.21</v>
      </c>
      <c r="E85" s="16">
        <v>1.36</v>
      </c>
      <c r="F85" s="16">
        <v>18.61</v>
      </c>
      <c r="G85" s="16">
        <v>128.19</v>
      </c>
      <c r="H85" s="16">
        <v>2</v>
      </c>
      <c r="I85" s="16">
        <v>2</v>
      </c>
      <c r="J85" s="16">
        <v>1</v>
      </c>
      <c r="K85" s="17">
        <f t="shared" si="10"/>
        <v>1.3900000000000006</v>
      </c>
      <c r="L85" s="31">
        <f t="shared" si="11"/>
        <v>6.9500000000000034E-2</v>
      </c>
    </row>
    <row r="86" spans="1:12" x14ac:dyDescent="0.3">
      <c r="A86" s="16">
        <v>297</v>
      </c>
      <c r="B86" s="16">
        <v>221</v>
      </c>
      <c r="C86" s="16">
        <v>7.37</v>
      </c>
      <c r="D86" s="16">
        <v>7.31</v>
      </c>
      <c r="E86" s="16">
        <v>1.34</v>
      </c>
      <c r="F86" s="16">
        <v>18.55</v>
      </c>
      <c r="G86" s="16">
        <v>126.85</v>
      </c>
      <c r="H86" s="16">
        <v>2</v>
      </c>
      <c r="I86" s="16">
        <v>2</v>
      </c>
      <c r="J86" s="16">
        <v>1</v>
      </c>
      <c r="K86" s="17">
        <f t="shared" si="10"/>
        <v>1.4499999999999993</v>
      </c>
      <c r="L86" s="31">
        <f t="shared" si="11"/>
        <v>7.2499999999999967E-2</v>
      </c>
    </row>
    <row r="87" spans="1:12" x14ac:dyDescent="0.3">
      <c r="A87" s="16">
        <v>283</v>
      </c>
      <c r="B87" s="16">
        <v>210</v>
      </c>
      <c r="C87" s="16">
        <v>7.02</v>
      </c>
      <c r="D87" s="16">
        <v>6.94</v>
      </c>
      <c r="E87" s="16">
        <v>1.35</v>
      </c>
      <c r="F87" s="16">
        <v>19.46</v>
      </c>
      <c r="G87" s="16">
        <v>130.86000000000001</v>
      </c>
      <c r="H87" s="16">
        <v>2</v>
      </c>
      <c r="I87" s="16">
        <v>3</v>
      </c>
      <c r="J87" s="16">
        <v>2</v>
      </c>
      <c r="K87" s="17">
        <f t="shared" si="10"/>
        <v>0.53999999999999915</v>
      </c>
      <c r="L87" s="31">
        <f t="shared" si="11"/>
        <v>2.6999999999999958E-2</v>
      </c>
    </row>
    <row r="88" spans="1:12" x14ac:dyDescent="0.3">
      <c r="A88" s="16">
        <v>292</v>
      </c>
      <c r="B88" s="16">
        <v>219</v>
      </c>
      <c r="C88" s="16">
        <v>7.24</v>
      </c>
      <c r="D88" s="16">
        <v>7.24</v>
      </c>
      <c r="E88" s="16">
        <v>1.33</v>
      </c>
      <c r="F88" s="16">
        <v>18.86</v>
      </c>
      <c r="G88" s="16">
        <v>129.41</v>
      </c>
      <c r="H88" s="16">
        <v>2</v>
      </c>
      <c r="I88" s="16">
        <v>2</v>
      </c>
      <c r="J88" s="16">
        <v>1</v>
      </c>
      <c r="K88" s="17">
        <f t="shared" si="10"/>
        <v>1.1400000000000006</v>
      </c>
      <c r="L88" s="31">
        <f t="shared" si="11"/>
        <v>5.700000000000003E-2</v>
      </c>
    </row>
    <row r="89" spans="1:12" x14ac:dyDescent="0.3">
      <c r="A89" s="16">
        <v>286</v>
      </c>
      <c r="B89" s="16">
        <v>221</v>
      </c>
      <c r="C89" s="16">
        <v>7.09</v>
      </c>
      <c r="D89" s="16">
        <v>7.31</v>
      </c>
      <c r="E89" s="16">
        <v>1.29</v>
      </c>
      <c r="F89" s="16">
        <v>19.260000000000002</v>
      </c>
      <c r="G89" s="16">
        <v>129.59</v>
      </c>
      <c r="H89" s="16">
        <v>2</v>
      </c>
      <c r="I89" s="16">
        <v>2</v>
      </c>
      <c r="J89" s="16">
        <v>1</v>
      </c>
      <c r="K89" s="17">
        <f t="shared" si="10"/>
        <v>0.73999999999999844</v>
      </c>
      <c r="L89" s="31">
        <f t="shared" si="11"/>
        <v>3.6999999999999922E-2</v>
      </c>
    </row>
    <row r="90" spans="1:12" x14ac:dyDescent="0.3">
      <c r="A90" s="16">
        <v>290</v>
      </c>
      <c r="B90" s="16">
        <v>224</v>
      </c>
      <c r="C90" s="16">
        <v>7.19</v>
      </c>
      <c r="D90" s="16">
        <v>7.41</v>
      </c>
      <c r="E90" s="16">
        <v>1.29</v>
      </c>
      <c r="F90" s="16">
        <v>18.989999999999998</v>
      </c>
      <c r="G90" s="16">
        <v>131.66999999999999</v>
      </c>
      <c r="H90" s="16">
        <v>3</v>
      </c>
      <c r="I90" s="16">
        <v>2</v>
      </c>
      <c r="J90" s="16">
        <v>1</v>
      </c>
      <c r="K90" s="17">
        <f t="shared" si="10"/>
        <v>1.0100000000000016</v>
      </c>
      <c r="L90" s="31">
        <f t="shared" si="11"/>
        <v>5.050000000000008E-2</v>
      </c>
    </row>
    <row r="91" spans="1:12" x14ac:dyDescent="0.3">
      <c r="A91" s="16">
        <v>273</v>
      </c>
      <c r="B91" s="16">
        <v>215</v>
      </c>
      <c r="C91" s="16">
        <v>6.77</v>
      </c>
      <c r="D91" s="16">
        <v>7.11</v>
      </c>
      <c r="E91" s="16">
        <v>1.27</v>
      </c>
      <c r="F91" s="16">
        <v>20.18</v>
      </c>
      <c r="G91" s="16">
        <v>132.19999999999999</v>
      </c>
      <c r="H91" s="16">
        <v>3</v>
      </c>
      <c r="I91" s="16">
        <v>3</v>
      </c>
      <c r="J91" s="16">
        <v>2</v>
      </c>
      <c r="K91" s="17">
        <f t="shared" si="10"/>
        <v>0.17999999999999972</v>
      </c>
      <c r="L91" s="31">
        <f t="shared" si="11"/>
        <v>8.9999999999999854E-3</v>
      </c>
    </row>
    <row r="92" spans="1:12" x14ac:dyDescent="0.3">
      <c r="A92" s="16">
        <v>300</v>
      </c>
      <c r="B92" s="16">
        <v>226</v>
      </c>
      <c r="C92" s="16">
        <v>7.44</v>
      </c>
      <c r="D92" s="16">
        <v>7.47</v>
      </c>
      <c r="E92" s="16">
        <v>1.33</v>
      </c>
      <c r="F92" s="16">
        <v>18.36</v>
      </c>
      <c r="G92" s="16">
        <v>128.5</v>
      </c>
      <c r="H92" s="16">
        <v>3</v>
      </c>
      <c r="I92" s="16">
        <v>3</v>
      </c>
      <c r="J92" s="16">
        <v>1</v>
      </c>
      <c r="K92" s="17">
        <f t="shared" si="10"/>
        <v>1.6400000000000006</v>
      </c>
      <c r="L92" s="31">
        <f t="shared" si="11"/>
        <v>8.2000000000000031E-2</v>
      </c>
    </row>
    <row r="93" spans="1:12" x14ac:dyDescent="0.3">
      <c r="A93" s="16">
        <v>292</v>
      </c>
      <c r="B93" s="16">
        <v>219</v>
      </c>
      <c r="C93" s="16">
        <v>7.24</v>
      </c>
      <c r="D93" s="16">
        <v>7.24</v>
      </c>
      <c r="E93" s="16">
        <v>1.33</v>
      </c>
      <c r="F93" s="16">
        <v>18.86</v>
      </c>
      <c r="G93" s="16">
        <v>124.96</v>
      </c>
      <c r="H93" s="16">
        <v>3</v>
      </c>
      <c r="I93" s="16">
        <v>2</v>
      </c>
      <c r="J93" s="16">
        <v>1</v>
      </c>
      <c r="K93" s="17">
        <f t="shared" si="10"/>
        <v>1.1400000000000006</v>
      </c>
      <c r="L93" s="31">
        <f t="shared" si="11"/>
        <v>5.700000000000003E-2</v>
      </c>
    </row>
    <row r="94" spans="1:12" x14ac:dyDescent="0.3">
      <c r="A94" s="16">
        <v>286</v>
      </c>
      <c r="B94" s="16">
        <v>216</v>
      </c>
      <c r="C94" s="16">
        <v>7.09</v>
      </c>
      <c r="D94" s="16">
        <v>7.14</v>
      </c>
      <c r="E94" s="16">
        <v>1.32</v>
      </c>
      <c r="F94" s="16">
        <v>19.260000000000002</v>
      </c>
      <c r="G94" s="16">
        <v>125.37</v>
      </c>
      <c r="H94" s="16">
        <v>3</v>
      </c>
      <c r="I94" s="16">
        <v>3</v>
      </c>
      <c r="J94" s="16">
        <v>1</v>
      </c>
      <c r="K94" s="17">
        <f t="shared" si="10"/>
        <v>0.73999999999999844</v>
      </c>
      <c r="L94" s="31">
        <f t="shared" si="11"/>
        <v>3.6999999999999922E-2</v>
      </c>
    </row>
    <row r="95" spans="1:12" x14ac:dyDescent="0.3">
      <c r="A95" s="16">
        <v>281</v>
      </c>
      <c r="B95" s="16">
        <v>218</v>
      </c>
      <c r="C95" s="16">
        <v>6.97</v>
      </c>
      <c r="D95" s="16">
        <v>7.21</v>
      </c>
      <c r="E95" s="16">
        <v>1.29</v>
      </c>
      <c r="F95" s="16">
        <v>19.600000000000001</v>
      </c>
      <c r="G95" s="16">
        <v>48.94</v>
      </c>
      <c r="H95" s="16">
        <v>4</v>
      </c>
      <c r="I95" s="16">
        <v>3</v>
      </c>
      <c r="J95" s="16">
        <v>2</v>
      </c>
      <c r="K95" s="17">
        <f t="shared" si="10"/>
        <v>0.39999999999999858</v>
      </c>
      <c r="L95" s="31">
        <f t="shared" si="11"/>
        <v>1.9999999999999928E-2</v>
      </c>
    </row>
    <row r="96" spans="1:12" x14ac:dyDescent="0.3">
      <c r="A96" s="16">
        <v>284</v>
      </c>
      <c r="B96" s="16">
        <v>221</v>
      </c>
      <c r="C96" s="16">
        <v>7.04</v>
      </c>
      <c r="D96" s="16">
        <v>7.31</v>
      </c>
      <c r="E96" s="16">
        <v>1.29</v>
      </c>
      <c r="F96" s="16">
        <v>19.39</v>
      </c>
      <c r="G96" s="16">
        <v>50.51</v>
      </c>
      <c r="H96" s="16">
        <v>4</v>
      </c>
      <c r="I96" s="16">
        <v>3</v>
      </c>
      <c r="J96" s="16">
        <v>2</v>
      </c>
      <c r="K96" s="17">
        <f t="shared" si="10"/>
        <v>0.60999999999999943</v>
      </c>
      <c r="L96" s="31">
        <f t="shared" si="11"/>
        <v>3.0499999999999972E-2</v>
      </c>
    </row>
    <row r="97" spans="1:12" x14ac:dyDescent="0.3">
      <c r="A97" s="16">
        <v>281</v>
      </c>
      <c r="B97" s="16">
        <v>221</v>
      </c>
      <c r="C97" s="16">
        <v>6.97</v>
      </c>
      <c r="D97" s="16">
        <v>7.31</v>
      </c>
      <c r="E97" s="16">
        <v>1.27</v>
      </c>
      <c r="F97" s="16">
        <v>19.600000000000001</v>
      </c>
      <c r="G97" s="16">
        <v>46.2</v>
      </c>
      <c r="H97" s="16">
        <v>4</v>
      </c>
      <c r="I97" s="16">
        <v>3</v>
      </c>
      <c r="J97" s="16">
        <v>3</v>
      </c>
      <c r="K97" s="17">
        <f t="shared" si="10"/>
        <v>0.39999999999999858</v>
      </c>
      <c r="L97" s="31">
        <f t="shared" si="11"/>
        <v>1.9999999999999928E-2</v>
      </c>
    </row>
  </sheetData>
  <autoFilter ref="A1:L1" xr:uid="{3A4F337A-6ADD-4774-BDE1-FD28EB37F001}"/>
  <pageMargins left="0.7" right="0.7" top="0.75" bottom="0.75" header="0.3" footer="0.3"/>
  <pageSetup paperSize="9" orientation="portrait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FB1C3-2082-459D-8527-63FB782A69D4}">
  <dimension ref="A1:AK97"/>
  <sheetViews>
    <sheetView topLeftCell="T1" zoomScale="40" zoomScaleNormal="100" workbookViewId="0">
      <selection activeCell="AL16" sqref="AL16"/>
    </sheetView>
  </sheetViews>
  <sheetFormatPr defaultRowHeight="14.4" x14ac:dyDescent="0.3"/>
  <cols>
    <col min="1" max="1" width="15.77734375" bestFit="1" customWidth="1"/>
    <col min="2" max="2" width="15" bestFit="1" customWidth="1"/>
    <col min="3" max="3" width="15.109375" bestFit="1" customWidth="1"/>
    <col min="4" max="4" width="14.33203125" bestFit="1" customWidth="1"/>
    <col min="5" max="5" width="16" bestFit="1" customWidth="1"/>
    <col min="6" max="6" width="17.44140625" bestFit="1" customWidth="1"/>
    <col min="7" max="7" width="11.5546875" bestFit="1" customWidth="1"/>
    <col min="8" max="8" width="11.109375" bestFit="1" customWidth="1"/>
    <col min="9" max="9" width="15.44140625" customWidth="1"/>
    <col min="10" max="10" width="17.44140625" bestFit="1" customWidth="1"/>
    <col min="11" max="11" width="12.21875" bestFit="1" customWidth="1"/>
    <col min="15" max="19" width="14.33203125" bestFit="1" customWidth="1"/>
    <col min="20" max="20" width="15.6640625" bestFit="1" customWidth="1"/>
    <col min="21" max="23" width="14.33203125" bestFit="1" customWidth="1"/>
    <col min="24" max="24" width="16.6640625" bestFit="1" customWidth="1"/>
    <col min="25" max="25" width="10.21875" bestFit="1" customWidth="1"/>
    <col min="26" max="26" width="9.5546875" customWidth="1"/>
    <col min="27" max="27" width="7.77734375" customWidth="1"/>
    <col min="28" max="28" width="11" customWidth="1"/>
    <col min="30" max="30" width="9" bestFit="1" customWidth="1"/>
    <col min="31" max="31" width="11.21875" bestFit="1" customWidth="1"/>
    <col min="35" max="35" width="9" bestFit="1" customWidth="1"/>
  </cols>
  <sheetData>
    <row r="1" spans="1:37" ht="15" thickBot="1" x14ac:dyDescent="0.35">
      <c r="A1" s="29" t="s">
        <v>3762</v>
      </c>
      <c r="B1" s="29" t="s">
        <v>3763</v>
      </c>
      <c r="C1" s="29" t="s">
        <v>3764</v>
      </c>
      <c r="D1" s="29" t="s">
        <v>3765</v>
      </c>
      <c r="E1" s="29" t="s">
        <v>3766</v>
      </c>
      <c r="F1" s="29" t="s">
        <v>3767</v>
      </c>
      <c r="G1" s="29" t="s">
        <v>3768</v>
      </c>
      <c r="H1" s="29" t="s">
        <v>3759</v>
      </c>
      <c r="I1" s="29" t="s">
        <v>3758</v>
      </c>
      <c r="J1" s="29" t="s">
        <v>3760</v>
      </c>
      <c r="K1" s="32" t="s">
        <v>3761</v>
      </c>
      <c r="L1" s="15" t="s">
        <v>3819</v>
      </c>
      <c r="AB1" s="3"/>
      <c r="AC1" s="3"/>
      <c r="AD1" s="3"/>
      <c r="AE1" s="3"/>
      <c r="AF1" s="3"/>
      <c r="AG1" s="3"/>
      <c r="AH1" s="3"/>
      <c r="AI1" s="3"/>
      <c r="AJ1" s="3"/>
      <c r="AK1" s="3"/>
    </row>
    <row r="2" spans="1:37" x14ac:dyDescent="0.3">
      <c r="A2" s="16">
        <v>548</v>
      </c>
      <c r="B2" s="16">
        <v>392</v>
      </c>
      <c r="C2" s="16">
        <v>13.59</v>
      </c>
      <c r="D2" s="16">
        <v>12.96</v>
      </c>
      <c r="E2" s="16">
        <v>1.4</v>
      </c>
      <c r="F2" s="16">
        <v>10.050000000000001</v>
      </c>
      <c r="G2" s="16">
        <v>131.12</v>
      </c>
      <c r="H2" s="16">
        <v>1</v>
      </c>
      <c r="I2" s="16">
        <v>1</v>
      </c>
      <c r="J2" s="16">
        <v>2</v>
      </c>
      <c r="K2" s="17">
        <f>ABS(F2-10)</f>
        <v>5.0000000000000711E-2</v>
      </c>
      <c r="L2" s="18">
        <f>K2/10</f>
        <v>5.0000000000000712E-3</v>
      </c>
      <c r="N2" s="10"/>
      <c r="O2" s="10" t="s">
        <v>3762</v>
      </c>
      <c r="P2" s="10" t="s">
        <v>3763</v>
      </c>
      <c r="Q2" s="10" t="s">
        <v>3764</v>
      </c>
      <c r="R2" s="10" t="s">
        <v>3765</v>
      </c>
      <c r="S2" s="10" t="s">
        <v>3766</v>
      </c>
      <c r="T2" s="10" t="s">
        <v>3767</v>
      </c>
      <c r="U2" s="10" t="s">
        <v>3768</v>
      </c>
      <c r="V2" s="10" t="s">
        <v>3759</v>
      </c>
      <c r="W2" s="10" t="s">
        <v>3758</v>
      </c>
      <c r="X2" s="10" t="s">
        <v>3760</v>
      </c>
      <c r="Y2" s="10" t="s">
        <v>3761</v>
      </c>
      <c r="AB2" s="3"/>
      <c r="AC2" s="3"/>
      <c r="AD2" s="3"/>
      <c r="AE2" s="3"/>
      <c r="AF2" s="3"/>
      <c r="AG2" s="3"/>
      <c r="AH2" s="3"/>
      <c r="AI2" s="3"/>
      <c r="AJ2" s="3"/>
      <c r="AK2" s="3"/>
    </row>
    <row r="3" spans="1:37" x14ac:dyDescent="0.3">
      <c r="A3" s="16">
        <v>557</v>
      </c>
      <c r="B3" s="16">
        <v>391</v>
      </c>
      <c r="C3" s="16">
        <v>13.81</v>
      </c>
      <c r="D3" s="16">
        <v>12.93</v>
      </c>
      <c r="E3" s="16">
        <v>1.42</v>
      </c>
      <c r="F3" s="16">
        <v>9.89</v>
      </c>
      <c r="G3" s="16">
        <v>133.06</v>
      </c>
      <c r="H3" s="16">
        <v>1</v>
      </c>
      <c r="I3" s="16">
        <v>1</v>
      </c>
      <c r="J3" s="16">
        <v>2</v>
      </c>
      <c r="K3" s="17">
        <f t="shared" ref="K3:K19" si="0">ABS(F3-10)</f>
        <v>0.10999999999999943</v>
      </c>
      <c r="L3" s="18">
        <f t="shared" ref="L3:L19" si="1">K3/10</f>
        <v>1.0999999999999944E-2</v>
      </c>
      <c r="N3" s="47" t="s">
        <v>3762</v>
      </c>
      <c r="O3" s="47">
        <v>1</v>
      </c>
      <c r="P3" s="47"/>
      <c r="Q3" s="47"/>
      <c r="R3" s="47"/>
      <c r="S3" s="47"/>
      <c r="T3" s="47"/>
      <c r="U3" s="47"/>
      <c r="V3" s="47"/>
      <c r="W3" s="47"/>
      <c r="X3" s="47"/>
      <c r="Y3" s="47"/>
      <c r="AB3" s="3"/>
      <c r="AC3" s="3"/>
      <c r="AD3" s="3"/>
      <c r="AE3" s="3"/>
      <c r="AF3" s="3"/>
      <c r="AG3" s="3"/>
      <c r="AH3" s="3"/>
      <c r="AI3" s="3"/>
      <c r="AJ3" s="3"/>
      <c r="AK3" s="3"/>
    </row>
    <row r="4" spans="1:37" x14ac:dyDescent="0.3">
      <c r="A4" s="16">
        <v>558</v>
      </c>
      <c r="B4" s="16">
        <v>386</v>
      </c>
      <c r="C4" s="16">
        <v>13.84</v>
      </c>
      <c r="D4" s="16">
        <v>12.76</v>
      </c>
      <c r="E4" s="16">
        <v>1.45</v>
      </c>
      <c r="F4" s="16">
        <v>9.8699999999999992</v>
      </c>
      <c r="G4" s="16">
        <v>133.43</v>
      </c>
      <c r="H4" s="16">
        <v>2</v>
      </c>
      <c r="I4" s="16">
        <v>1</v>
      </c>
      <c r="J4" s="16">
        <v>2</v>
      </c>
      <c r="K4" s="17">
        <f t="shared" si="0"/>
        <v>0.13000000000000078</v>
      </c>
      <c r="L4" s="18">
        <f t="shared" si="1"/>
        <v>1.3000000000000077E-2</v>
      </c>
      <c r="N4" s="47" t="s">
        <v>3763</v>
      </c>
      <c r="O4" s="47">
        <v>0.99393472444749442</v>
      </c>
      <c r="P4" s="47">
        <v>1</v>
      </c>
      <c r="Q4" s="47"/>
      <c r="R4" s="47"/>
      <c r="S4" s="47"/>
      <c r="T4" s="47"/>
      <c r="U4" s="47"/>
      <c r="V4" s="47"/>
      <c r="W4" s="47"/>
      <c r="X4" s="47"/>
      <c r="Y4" s="47"/>
      <c r="AB4" s="3"/>
      <c r="AC4" s="3"/>
      <c r="AD4" s="3"/>
      <c r="AE4" s="3"/>
      <c r="AF4" s="3"/>
      <c r="AG4" s="3"/>
      <c r="AH4" s="3"/>
      <c r="AI4" s="3"/>
      <c r="AJ4" s="3"/>
      <c r="AK4" s="3"/>
    </row>
    <row r="5" spans="1:37" x14ac:dyDescent="0.3">
      <c r="A5" s="16">
        <v>567</v>
      </c>
      <c r="B5" s="16">
        <v>392</v>
      </c>
      <c r="C5" s="16">
        <v>14.06</v>
      </c>
      <c r="D5" s="16">
        <v>12.96</v>
      </c>
      <c r="E5" s="16">
        <v>1.45</v>
      </c>
      <c r="F5" s="16">
        <v>9.7100000000000009</v>
      </c>
      <c r="G5" s="16">
        <v>131.83000000000001</v>
      </c>
      <c r="H5" s="16">
        <v>2</v>
      </c>
      <c r="I5" s="16">
        <v>1</v>
      </c>
      <c r="J5" s="16">
        <v>2</v>
      </c>
      <c r="K5" s="17">
        <f t="shared" si="0"/>
        <v>0.28999999999999915</v>
      </c>
      <c r="L5" s="18">
        <f t="shared" si="1"/>
        <v>2.8999999999999915E-2</v>
      </c>
      <c r="N5" s="47" t="s">
        <v>3764</v>
      </c>
      <c r="O5" s="47">
        <v>0.9999994953064143</v>
      </c>
      <c r="P5" s="47">
        <v>0.99394929376311791</v>
      </c>
      <c r="Q5" s="47">
        <v>1</v>
      </c>
      <c r="R5" s="47"/>
      <c r="S5" s="47"/>
      <c r="T5" s="47"/>
      <c r="U5" s="47"/>
      <c r="V5" s="47"/>
      <c r="W5" s="47"/>
      <c r="X5" s="47"/>
      <c r="Y5" s="47"/>
      <c r="AB5" s="3"/>
      <c r="AC5" s="3"/>
      <c r="AD5" s="3"/>
      <c r="AE5" s="3"/>
      <c r="AF5" s="3"/>
      <c r="AG5" s="3"/>
      <c r="AH5" s="3"/>
      <c r="AI5" s="3"/>
      <c r="AJ5" s="3"/>
      <c r="AK5" s="3"/>
    </row>
    <row r="6" spans="1:37" x14ac:dyDescent="0.3">
      <c r="A6" s="16">
        <v>542</v>
      </c>
      <c r="B6" s="16">
        <v>385</v>
      </c>
      <c r="C6" s="16">
        <v>13.44</v>
      </c>
      <c r="D6" s="16">
        <v>12.73</v>
      </c>
      <c r="E6" s="16">
        <v>1.41</v>
      </c>
      <c r="F6" s="16">
        <v>10.16</v>
      </c>
      <c r="G6" s="16">
        <v>119.8</v>
      </c>
      <c r="H6" s="16">
        <v>1</v>
      </c>
      <c r="I6" s="16">
        <v>1</v>
      </c>
      <c r="J6" s="16">
        <v>1</v>
      </c>
      <c r="K6" s="17">
        <f t="shared" si="0"/>
        <v>0.16000000000000014</v>
      </c>
      <c r="L6" s="18">
        <f t="shared" si="1"/>
        <v>1.6000000000000014E-2</v>
      </c>
      <c r="N6" s="47" t="s">
        <v>3765</v>
      </c>
      <c r="O6" s="47">
        <v>0.99392333993638848</v>
      </c>
      <c r="P6" s="47">
        <v>0.99999948202593014</v>
      </c>
      <c r="Q6" s="47">
        <v>0.99393792580703411</v>
      </c>
      <c r="R6" s="47">
        <v>1</v>
      </c>
      <c r="S6" s="47"/>
      <c r="T6" s="47"/>
      <c r="U6" s="47"/>
      <c r="V6" s="47"/>
      <c r="W6" s="47"/>
      <c r="X6" s="47"/>
      <c r="Y6" s="47"/>
      <c r="AB6" s="3"/>
      <c r="AC6" s="3"/>
      <c r="AD6" s="3"/>
      <c r="AE6" s="3"/>
      <c r="AF6" s="3"/>
      <c r="AG6" s="3"/>
      <c r="AH6" s="3"/>
      <c r="AI6" s="3"/>
      <c r="AJ6" s="3"/>
      <c r="AK6" s="3"/>
    </row>
    <row r="7" spans="1:37" x14ac:dyDescent="0.3">
      <c r="A7" s="16">
        <v>555</v>
      </c>
      <c r="B7" s="16">
        <v>407</v>
      </c>
      <c r="C7" s="16">
        <v>13.76</v>
      </c>
      <c r="D7" s="16">
        <v>13.46</v>
      </c>
      <c r="E7" s="16">
        <v>1.36</v>
      </c>
      <c r="F7" s="16">
        <v>9.92</v>
      </c>
      <c r="G7" s="16">
        <v>120.33</v>
      </c>
      <c r="H7" s="16">
        <v>1</v>
      </c>
      <c r="I7" s="16">
        <v>2</v>
      </c>
      <c r="J7" s="16">
        <v>1</v>
      </c>
      <c r="K7" s="17">
        <f t="shared" si="0"/>
        <v>8.0000000000000071E-2</v>
      </c>
      <c r="L7" s="18">
        <f t="shared" si="1"/>
        <v>8.0000000000000071E-3</v>
      </c>
      <c r="N7" s="47" t="s">
        <v>3766</v>
      </c>
      <c r="O7" s="47">
        <v>0.52650032238304967</v>
      </c>
      <c r="P7" s="47">
        <v>0.43328526084316321</v>
      </c>
      <c r="Q7" s="47">
        <v>0.52644099718249449</v>
      </c>
      <c r="R7" s="47">
        <v>0.43314829228628804</v>
      </c>
      <c r="S7" s="47">
        <v>1</v>
      </c>
      <c r="T7" s="47"/>
      <c r="U7" s="47"/>
      <c r="V7" s="47"/>
      <c r="W7" s="47"/>
      <c r="X7" s="47"/>
      <c r="Y7" s="47"/>
      <c r="AB7" s="3"/>
      <c r="AC7" s="3"/>
      <c r="AD7" s="3"/>
      <c r="AE7" s="3"/>
      <c r="AF7" s="3"/>
      <c r="AG7" s="3"/>
      <c r="AH7" s="3"/>
      <c r="AI7" s="3"/>
      <c r="AJ7" s="3"/>
      <c r="AK7" s="3"/>
    </row>
    <row r="8" spans="1:37" ht="18" x14ac:dyDescent="0.35">
      <c r="A8" s="16">
        <v>559</v>
      </c>
      <c r="B8" s="16">
        <v>400</v>
      </c>
      <c r="C8" s="16">
        <v>13.86</v>
      </c>
      <c r="D8" s="16">
        <v>13.23</v>
      </c>
      <c r="E8" s="16">
        <v>1.4</v>
      </c>
      <c r="F8" s="16">
        <v>9.85</v>
      </c>
      <c r="G8" s="16">
        <v>119.67</v>
      </c>
      <c r="H8" s="16">
        <v>1</v>
      </c>
      <c r="I8" s="16">
        <v>2</v>
      </c>
      <c r="J8" s="16">
        <v>1</v>
      </c>
      <c r="K8" s="17">
        <f t="shared" si="0"/>
        <v>0.15000000000000036</v>
      </c>
      <c r="L8" s="18">
        <f t="shared" si="1"/>
        <v>1.5000000000000036E-2</v>
      </c>
      <c r="N8" s="47" t="s">
        <v>3767</v>
      </c>
      <c r="O8" s="47">
        <v>-0.98032628470558225</v>
      </c>
      <c r="P8" s="47">
        <v>-0.97776573652648735</v>
      </c>
      <c r="Q8" s="47">
        <v>-0.98037672824712607</v>
      </c>
      <c r="R8" s="47">
        <v>-0.97773215736896579</v>
      </c>
      <c r="S8" s="47">
        <v>-0.51058752868950286</v>
      </c>
      <c r="T8" s="47">
        <v>1</v>
      </c>
      <c r="U8" s="47"/>
      <c r="V8" s="47"/>
      <c r="W8" s="47"/>
      <c r="X8" s="47"/>
      <c r="Y8" s="47"/>
      <c r="AA8" s="9" t="s">
        <v>3769</v>
      </c>
      <c r="AB8" s="38">
        <f>O13</f>
        <v>-0.57752718304118433</v>
      </c>
      <c r="AC8" s="3"/>
      <c r="AD8" s="3"/>
      <c r="AE8" s="3"/>
      <c r="AF8" s="4" t="s">
        <v>3770</v>
      </c>
      <c r="AG8" s="11">
        <f>ABS(AB8*SQRT((96-2)/(1-AB8^2)))</f>
        <v>6.8588064282297969</v>
      </c>
      <c r="AH8" s="3"/>
      <c r="AI8" s="3"/>
      <c r="AJ8" s="4" t="s">
        <v>3771</v>
      </c>
      <c r="AK8" s="12">
        <f>_xlfn.T.INV.2T(0.01,94)</f>
        <v>2.6291476382617032</v>
      </c>
    </row>
    <row r="9" spans="1:37" ht="18" x14ac:dyDescent="0.35">
      <c r="A9" s="16">
        <v>558</v>
      </c>
      <c r="B9" s="16">
        <v>392</v>
      </c>
      <c r="C9" s="16">
        <v>13.84</v>
      </c>
      <c r="D9" s="16">
        <v>12.96</v>
      </c>
      <c r="E9" s="16">
        <v>1.42</v>
      </c>
      <c r="F9" s="16">
        <v>9.8699999999999992</v>
      </c>
      <c r="G9" s="16">
        <v>116.82</v>
      </c>
      <c r="H9" s="16">
        <v>1</v>
      </c>
      <c r="I9" s="16">
        <v>2</v>
      </c>
      <c r="J9" s="16">
        <v>3</v>
      </c>
      <c r="K9" s="17">
        <f t="shared" si="0"/>
        <v>0.13000000000000078</v>
      </c>
      <c r="L9" s="18">
        <f t="shared" si="1"/>
        <v>1.3000000000000077E-2</v>
      </c>
      <c r="N9" s="47" t="s">
        <v>3768</v>
      </c>
      <c r="O9" s="47">
        <v>-7.3005477643670394E-2</v>
      </c>
      <c r="P9" s="47">
        <v>-0.10143339062542137</v>
      </c>
      <c r="Q9" s="47">
        <v>-7.3065651444505317E-2</v>
      </c>
      <c r="R9" s="47">
        <v>-0.10152984429996834</v>
      </c>
      <c r="S9" s="47">
        <v>0.1551023885081311</v>
      </c>
      <c r="T9" s="47">
        <v>7.2408826560856204E-2</v>
      </c>
      <c r="U9" s="47">
        <v>1</v>
      </c>
      <c r="V9" s="47"/>
      <c r="W9" s="47"/>
      <c r="X9" s="47"/>
      <c r="Y9" s="47"/>
      <c r="AA9" s="5" t="s">
        <v>3820</v>
      </c>
      <c r="AB9" s="6"/>
      <c r="AC9" s="6"/>
      <c r="AD9" s="7"/>
      <c r="AE9" s="5"/>
      <c r="AF9" s="5" t="s">
        <v>3827</v>
      </c>
      <c r="AG9" s="8"/>
      <c r="AJ9" s="3"/>
      <c r="AK9" s="3"/>
    </row>
    <row r="10" spans="1:37" ht="18" x14ac:dyDescent="0.35">
      <c r="A10" s="16">
        <v>551</v>
      </c>
      <c r="B10" s="16">
        <v>399</v>
      </c>
      <c r="C10" s="16">
        <v>13.67</v>
      </c>
      <c r="D10" s="16">
        <v>13.19</v>
      </c>
      <c r="E10" s="16">
        <v>1.38</v>
      </c>
      <c r="F10" s="16">
        <v>10</v>
      </c>
      <c r="G10" s="16">
        <v>118.99</v>
      </c>
      <c r="H10" s="16">
        <v>1</v>
      </c>
      <c r="I10" s="16">
        <v>2</v>
      </c>
      <c r="J10" s="16">
        <v>1</v>
      </c>
      <c r="K10" s="17">
        <f t="shared" si="0"/>
        <v>0</v>
      </c>
      <c r="L10" s="18">
        <f t="shared" si="1"/>
        <v>0</v>
      </c>
      <c r="N10" s="47" t="s">
        <v>3759</v>
      </c>
      <c r="O10" s="47">
        <v>-4.1899210935807438E-2</v>
      </c>
      <c r="P10" s="47">
        <v>-1.7474040708219271E-2</v>
      </c>
      <c r="Q10" s="47">
        <v>-4.1976948812699193E-2</v>
      </c>
      <c r="R10" s="47">
        <v>-1.7459490192830607E-2</v>
      </c>
      <c r="S10" s="47">
        <v>-0.3039547422329873</v>
      </c>
      <c r="T10" s="47">
        <v>3.3693667585352603E-2</v>
      </c>
      <c r="U10" s="47">
        <v>1.0976343164771472E-2</v>
      </c>
      <c r="V10" s="47">
        <v>1</v>
      </c>
      <c r="W10" s="47"/>
      <c r="X10" s="47"/>
      <c r="Y10" s="47"/>
      <c r="AA10" s="9" t="s">
        <v>3772</v>
      </c>
      <c r="AB10" s="42">
        <f>P13</f>
        <v>-0.55277716978962843</v>
      </c>
      <c r="AF10" s="9" t="s">
        <v>3770</v>
      </c>
      <c r="AG10" s="11">
        <f>ABS(AB10*SQRT((96-2)/(1-AB10^2)))</f>
        <v>6.4312808208579568</v>
      </c>
      <c r="AJ10" s="3"/>
      <c r="AK10" s="3"/>
    </row>
    <row r="11" spans="1:37" ht="18" x14ac:dyDescent="0.35">
      <c r="A11" s="16">
        <v>558</v>
      </c>
      <c r="B11" s="16">
        <v>400</v>
      </c>
      <c r="C11" s="16">
        <v>13.84</v>
      </c>
      <c r="D11" s="16">
        <v>13.23</v>
      </c>
      <c r="E11" s="16">
        <v>1.4</v>
      </c>
      <c r="F11" s="16">
        <v>9.8699999999999992</v>
      </c>
      <c r="G11" s="16">
        <v>120.62</v>
      </c>
      <c r="H11" s="16">
        <v>1</v>
      </c>
      <c r="I11" s="16">
        <v>2</v>
      </c>
      <c r="J11" s="16">
        <v>1</v>
      </c>
      <c r="K11" s="17">
        <f t="shared" si="0"/>
        <v>0.13000000000000078</v>
      </c>
      <c r="L11" s="18">
        <f t="shared" si="1"/>
        <v>1.3000000000000077E-2</v>
      </c>
      <c r="N11" s="47" t="s">
        <v>3758</v>
      </c>
      <c r="O11" s="47">
        <v>-2.8524822295406152E-3</v>
      </c>
      <c r="P11" s="47">
        <v>2.8169760547873249E-2</v>
      </c>
      <c r="Q11" s="47">
        <v>-2.8588114177095099E-3</v>
      </c>
      <c r="R11" s="47">
        <v>2.8239107400532839E-2</v>
      </c>
      <c r="S11" s="47">
        <v>-0.21507245694866967</v>
      </c>
      <c r="T11" s="47">
        <v>-1.5680648177962809E-3</v>
      </c>
      <c r="U11" s="47">
        <v>-0.69536809332000515</v>
      </c>
      <c r="V11" s="47">
        <v>0.10064692956137933</v>
      </c>
      <c r="W11" s="47">
        <v>1</v>
      </c>
      <c r="X11" s="47"/>
      <c r="Y11" s="47"/>
      <c r="AA11" s="5" t="s">
        <v>3773</v>
      </c>
      <c r="AB11" s="39"/>
      <c r="AC11" s="6"/>
      <c r="AD11" s="7"/>
      <c r="AE11" s="5"/>
      <c r="AF11" s="5" t="s">
        <v>3787</v>
      </c>
      <c r="AG11" s="8"/>
      <c r="AK11" s="3"/>
    </row>
    <row r="12" spans="1:37" ht="18" x14ac:dyDescent="0.35">
      <c r="A12" s="16">
        <v>551</v>
      </c>
      <c r="B12" s="16">
        <v>417</v>
      </c>
      <c r="C12" s="16">
        <v>13.67</v>
      </c>
      <c r="D12" s="16">
        <v>13.79</v>
      </c>
      <c r="E12" s="16">
        <v>1.32</v>
      </c>
      <c r="F12" s="16">
        <v>10</v>
      </c>
      <c r="G12" s="16">
        <v>116.12</v>
      </c>
      <c r="H12" s="16">
        <v>1</v>
      </c>
      <c r="I12" s="16">
        <v>3</v>
      </c>
      <c r="J12" s="16">
        <v>1</v>
      </c>
      <c r="K12" s="17">
        <f t="shared" si="0"/>
        <v>0</v>
      </c>
      <c r="L12" s="18">
        <f t="shared" si="1"/>
        <v>0</v>
      </c>
      <c r="N12" s="47" t="s">
        <v>3760</v>
      </c>
      <c r="O12" s="47">
        <v>2.6699335720462247E-2</v>
      </c>
      <c r="P12" s="47">
        <v>3.3109222002814825E-2</v>
      </c>
      <c r="Q12" s="47">
        <v>2.6724433552066055E-2</v>
      </c>
      <c r="R12" s="47">
        <v>3.3114935912065081E-2</v>
      </c>
      <c r="S12" s="47">
        <v>-3.4033363831841877E-2</v>
      </c>
      <c r="T12" s="47">
        <v>-2.9318180773416479E-2</v>
      </c>
      <c r="U12" s="47">
        <v>-0.58168435181434142</v>
      </c>
      <c r="V12" s="47">
        <v>-1.3839587741428964E-2</v>
      </c>
      <c r="W12" s="47">
        <v>0.25519108699258952</v>
      </c>
      <c r="X12" s="47">
        <v>1</v>
      </c>
      <c r="Y12" s="47"/>
      <c r="AA12" s="9" t="s">
        <v>3774</v>
      </c>
      <c r="AB12" s="42">
        <f>Q13</f>
        <v>-0.57759818982193445</v>
      </c>
      <c r="AF12" s="9" t="s">
        <v>3770</v>
      </c>
      <c r="AG12" s="11">
        <f>ABS(AB12*SQRT((96-2)/(1-AB12^2)))</f>
        <v>6.8600718648702275</v>
      </c>
      <c r="AK12" s="8"/>
    </row>
    <row r="13" spans="1:37" ht="18.600000000000001" thickBot="1" x14ac:dyDescent="0.4">
      <c r="A13" s="16">
        <v>555</v>
      </c>
      <c r="B13" s="16">
        <v>403</v>
      </c>
      <c r="C13" s="16">
        <v>13.76</v>
      </c>
      <c r="D13" s="16">
        <v>13.33</v>
      </c>
      <c r="E13" s="16">
        <v>1.38</v>
      </c>
      <c r="F13" s="16">
        <v>9.92</v>
      </c>
      <c r="G13" s="16">
        <v>118.92</v>
      </c>
      <c r="H13" s="16">
        <v>1</v>
      </c>
      <c r="I13" s="16">
        <v>3</v>
      </c>
      <c r="J13" s="16">
        <v>1</v>
      </c>
      <c r="K13" s="17">
        <f t="shared" si="0"/>
        <v>8.0000000000000071E-2</v>
      </c>
      <c r="L13" s="18">
        <f t="shared" si="1"/>
        <v>8.0000000000000071E-3</v>
      </c>
      <c r="N13" s="48" t="s">
        <v>3761</v>
      </c>
      <c r="O13" s="48">
        <v>-0.57752718304118433</v>
      </c>
      <c r="P13" s="48">
        <v>-0.55277716978962843</v>
      </c>
      <c r="Q13" s="48">
        <v>-0.57759818982193445</v>
      </c>
      <c r="R13" s="48">
        <v>-0.5527333505141</v>
      </c>
      <c r="S13" s="48">
        <v>-0.50888421490025293</v>
      </c>
      <c r="T13" s="48">
        <v>0.57262401350373349</v>
      </c>
      <c r="U13" s="48">
        <v>0.2113502091410423</v>
      </c>
      <c r="V13" s="48">
        <v>0.22631712601435855</v>
      </c>
      <c r="W13" s="48">
        <v>-0.10849098781257882</v>
      </c>
      <c r="X13" s="48">
        <v>-0.29801766087073095</v>
      </c>
      <c r="Y13" s="48">
        <v>1</v>
      </c>
      <c r="AA13" s="5" t="s">
        <v>3783</v>
      </c>
      <c r="AB13" s="39"/>
      <c r="AC13" s="6"/>
      <c r="AD13" s="7"/>
      <c r="AE13" s="5"/>
      <c r="AF13" s="5" t="s">
        <v>3785</v>
      </c>
      <c r="AG13" s="8"/>
    </row>
    <row r="14" spans="1:37" ht="18" x14ac:dyDescent="0.35">
      <c r="A14" s="16">
        <v>563</v>
      </c>
      <c r="B14" s="16">
        <v>400</v>
      </c>
      <c r="C14" s="16">
        <v>13.96</v>
      </c>
      <c r="D14" s="16">
        <v>13.23</v>
      </c>
      <c r="E14" s="16">
        <v>1.41</v>
      </c>
      <c r="F14" s="16">
        <v>9.7799999999999994</v>
      </c>
      <c r="G14" s="16">
        <v>120.85</v>
      </c>
      <c r="H14" s="16">
        <v>1</v>
      </c>
      <c r="I14" s="16">
        <v>3</v>
      </c>
      <c r="J14" s="16">
        <v>1</v>
      </c>
      <c r="K14" s="17">
        <f t="shared" si="0"/>
        <v>0.22000000000000064</v>
      </c>
      <c r="L14" s="18">
        <f t="shared" si="1"/>
        <v>2.2000000000000065E-2</v>
      </c>
      <c r="AA14" s="9" t="s">
        <v>3775</v>
      </c>
      <c r="AB14" s="42">
        <f>R13</f>
        <v>-0.5527333505141</v>
      </c>
      <c r="AF14" s="9" t="s">
        <v>3770</v>
      </c>
      <c r="AG14" s="11">
        <f>ABS(AB14*SQRT((96-2)/(1-AB14^2)))</f>
        <v>6.4305467182880376</v>
      </c>
      <c r="AK14" s="8"/>
    </row>
    <row r="15" spans="1:37" ht="18" x14ac:dyDescent="0.35">
      <c r="A15" s="16">
        <v>555</v>
      </c>
      <c r="B15" s="16">
        <v>404</v>
      </c>
      <c r="C15" s="16">
        <v>13.76</v>
      </c>
      <c r="D15" s="16">
        <v>13.36</v>
      </c>
      <c r="E15" s="16">
        <v>1.37</v>
      </c>
      <c r="F15" s="16">
        <v>9.92</v>
      </c>
      <c r="G15" s="16">
        <v>124.2</v>
      </c>
      <c r="H15" s="16">
        <v>2</v>
      </c>
      <c r="I15" s="16">
        <v>3</v>
      </c>
      <c r="J15" s="16">
        <v>1</v>
      </c>
      <c r="K15" s="17">
        <f t="shared" si="0"/>
        <v>8.0000000000000071E-2</v>
      </c>
      <c r="L15" s="18">
        <f t="shared" si="1"/>
        <v>8.0000000000000071E-3</v>
      </c>
      <c r="AA15" s="5" t="s">
        <v>3784</v>
      </c>
      <c r="AB15" s="39"/>
      <c r="AC15" s="6"/>
      <c r="AD15" s="7"/>
      <c r="AE15" s="5"/>
      <c r="AF15" s="5" t="s">
        <v>3786</v>
      </c>
      <c r="AG15" s="8"/>
    </row>
    <row r="16" spans="1:37" ht="18" x14ac:dyDescent="0.35">
      <c r="A16" s="16">
        <v>559</v>
      </c>
      <c r="B16" s="16">
        <v>394</v>
      </c>
      <c r="C16" s="16">
        <v>13.86</v>
      </c>
      <c r="D16" s="16">
        <v>13.03</v>
      </c>
      <c r="E16" s="16">
        <v>1.42</v>
      </c>
      <c r="F16" s="16">
        <v>9.85</v>
      </c>
      <c r="G16" s="16">
        <v>123.57</v>
      </c>
      <c r="H16" s="16">
        <v>2</v>
      </c>
      <c r="I16" s="16">
        <v>3</v>
      </c>
      <c r="J16" s="16">
        <v>1</v>
      </c>
      <c r="K16" s="17">
        <f t="shared" si="0"/>
        <v>0.15000000000000036</v>
      </c>
      <c r="L16" s="18">
        <f t="shared" si="1"/>
        <v>1.5000000000000036E-2</v>
      </c>
      <c r="AA16" s="9" t="s">
        <v>3776</v>
      </c>
      <c r="AB16" s="42">
        <f>S13</f>
        <v>-0.50888421490025293</v>
      </c>
      <c r="AF16" s="9" t="s">
        <v>3770</v>
      </c>
      <c r="AG16" s="11">
        <f>ABS(AB16*SQRT((96-2)/(1-AB16^2)))</f>
        <v>5.7314301282793565</v>
      </c>
      <c r="AK16" s="8"/>
    </row>
    <row r="17" spans="1:37" ht="18" x14ac:dyDescent="0.35">
      <c r="A17" s="16">
        <v>558</v>
      </c>
      <c r="B17" s="16">
        <v>400</v>
      </c>
      <c r="C17" s="16">
        <v>13.84</v>
      </c>
      <c r="D17" s="16">
        <v>13.23</v>
      </c>
      <c r="E17" s="16">
        <v>1.4</v>
      </c>
      <c r="F17" s="16">
        <v>9.8699999999999992</v>
      </c>
      <c r="G17" s="16">
        <v>54.05</v>
      </c>
      <c r="H17" s="16">
        <v>1</v>
      </c>
      <c r="I17" s="16">
        <v>4</v>
      </c>
      <c r="J17" s="16">
        <v>2</v>
      </c>
      <c r="K17" s="17">
        <f t="shared" si="0"/>
        <v>0.13000000000000078</v>
      </c>
      <c r="L17" s="18">
        <f t="shared" si="1"/>
        <v>1.3000000000000077E-2</v>
      </c>
      <c r="AA17" s="5" t="s">
        <v>3821</v>
      </c>
      <c r="AB17" s="39"/>
      <c r="AC17" s="6"/>
      <c r="AD17" s="7"/>
      <c r="AE17" s="5"/>
      <c r="AF17" s="5" t="s">
        <v>3777</v>
      </c>
    </row>
    <row r="18" spans="1:37" ht="18" x14ac:dyDescent="0.35">
      <c r="A18" s="16">
        <v>553</v>
      </c>
      <c r="B18" s="16">
        <v>418</v>
      </c>
      <c r="C18" s="16">
        <v>13.72</v>
      </c>
      <c r="D18" s="16">
        <v>13.82</v>
      </c>
      <c r="E18" s="16">
        <v>1.32</v>
      </c>
      <c r="F18" s="16">
        <v>9.9600000000000009</v>
      </c>
      <c r="G18" s="16">
        <v>49.93</v>
      </c>
      <c r="H18" s="16">
        <v>1</v>
      </c>
      <c r="I18" s="16">
        <v>4</v>
      </c>
      <c r="J18" s="16">
        <v>2</v>
      </c>
      <c r="K18" s="17">
        <f t="shared" si="0"/>
        <v>3.9999999999999147E-2</v>
      </c>
      <c r="L18" s="18">
        <f t="shared" si="1"/>
        <v>3.9999999999999151E-3</v>
      </c>
      <c r="AA18" s="9" t="s">
        <v>3778</v>
      </c>
      <c r="AB18" s="41">
        <f>T13</f>
        <v>0.57262401350373349</v>
      </c>
      <c r="AC18" s="8"/>
      <c r="AD18" s="8"/>
      <c r="AE18" s="8"/>
      <c r="AF18" s="9" t="s">
        <v>3770</v>
      </c>
      <c r="AG18" s="11">
        <f>ABS(AB18*SQRT((96-2)/(1-AB18^2)))</f>
        <v>6.7719847867614709</v>
      </c>
    </row>
    <row r="19" spans="1:37" ht="18" x14ac:dyDescent="0.35">
      <c r="A19" s="16">
        <v>556</v>
      </c>
      <c r="B19" s="16">
        <v>415</v>
      </c>
      <c r="C19" s="16">
        <v>13.79</v>
      </c>
      <c r="D19" s="16">
        <v>13.72</v>
      </c>
      <c r="E19" s="16">
        <v>1.34</v>
      </c>
      <c r="F19" s="16">
        <v>9.91</v>
      </c>
      <c r="G19" s="16">
        <v>47.09</v>
      </c>
      <c r="H19" s="16">
        <v>1</v>
      </c>
      <c r="I19" s="16">
        <v>4</v>
      </c>
      <c r="J19" s="16">
        <v>2</v>
      </c>
      <c r="K19" s="17">
        <f t="shared" si="0"/>
        <v>8.9999999999999858E-2</v>
      </c>
      <c r="L19" s="18">
        <f t="shared" si="1"/>
        <v>8.9999999999999854E-3</v>
      </c>
      <c r="AA19" s="5" t="s">
        <v>3822</v>
      </c>
      <c r="AB19" s="39"/>
      <c r="AC19" s="6"/>
      <c r="AD19" s="7"/>
      <c r="AE19" s="5"/>
      <c r="AF19" s="5" t="s">
        <v>3828</v>
      </c>
    </row>
    <row r="20" spans="1:37" ht="18" x14ac:dyDescent="0.35">
      <c r="A20" s="16">
        <v>367</v>
      </c>
      <c r="B20" s="16">
        <v>250</v>
      </c>
      <c r="C20" s="16">
        <v>9.1</v>
      </c>
      <c r="D20" s="16">
        <v>8.27</v>
      </c>
      <c r="E20" s="16">
        <v>1.47</v>
      </c>
      <c r="F20" s="16">
        <v>15.01</v>
      </c>
      <c r="G20" s="16">
        <v>130.1</v>
      </c>
      <c r="H20" s="16">
        <v>1</v>
      </c>
      <c r="I20" s="16">
        <v>1</v>
      </c>
      <c r="J20" s="16">
        <v>2</v>
      </c>
      <c r="K20" s="17">
        <f>ABS(F20-15)</f>
        <v>9.9999999999997868E-3</v>
      </c>
      <c r="L20" s="18">
        <f>K20/15</f>
        <v>6.6666666666665244E-4</v>
      </c>
      <c r="AA20" s="9" t="s">
        <v>3779</v>
      </c>
      <c r="AB20" s="40">
        <f>U13</f>
        <v>0.2113502091410423</v>
      </c>
      <c r="AF20" s="9" t="s">
        <v>3770</v>
      </c>
      <c r="AG20" s="37">
        <f>ABS(AB20*SQRT((96-2)/(1-AB20^2)))</f>
        <v>2.0964748322988851</v>
      </c>
      <c r="AH20" s="8"/>
      <c r="AI20" s="8"/>
      <c r="AJ20" s="8"/>
    </row>
    <row r="21" spans="1:37" ht="18" x14ac:dyDescent="0.35">
      <c r="A21" s="16">
        <v>369</v>
      </c>
      <c r="B21" s="16">
        <v>264</v>
      </c>
      <c r="C21" s="16">
        <v>9.15</v>
      </c>
      <c r="D21" s="16">
        <v>8.73</v>
      </c>
      <c r="E21" s="16">
        <v>1.4</v>
      </c>
      <c r="F21" s="16">
        <v>14.93</v>
      </c>
      <c r="G21" s="16">
        <v>120.67</v>
      </c>
      <c r="H21" s="16">
        <v>1</v>
      </c>
      <c r="I21" s="16">
        <v>1</v>
      </c>
      <c r="J21" s="16">
        <v>2</v>
      </c>
      <c r="K21" s="17">
        <f t="shared" ref="K21:K36" si="2">ABS(F21-15)</f>
        <v>7.0000000000000284E-2</v>
      </c>
      <c r="L21" s="18">
        <f t="shared" ref="L21:L36" si="3">K21/15</f>
        <v>4.6666666666666853E-3</v>
      </c>
      <c r="AA21" s="5" t="s">
        <v>3824</v>
      </c>
      <c r="AB21" s="39"/>
      <c r="AC21" s="6"/>
      <c r="AD21" s="7"/>
      <c r="AE21" s="5"/>
      <c r="AF21" s="5" t="s">
        <v>3841</v>
      </c>
      <c r="AG21" s="8"/>
      <c r="AH21" s="8"/>
      <c r="AI21" s="8"/>
    </row>
    <row r="22" spans="1:37" ht="18" x14ac:dyDescent="0.35">
      <c r="A22" s="16">
        <v>362</v>
      </c>
      <c r="B22" s="16">
        <v>255</v>
      </c>
      <c r="C22" s="16">
        <v>8.98</v>
      </c>
      <c r="D22" s="16">
        <v>8.43</v>
      </c>
      <c r="E22" s="16">
        <v>1.42</v>
      </c>
      <c r="F22" s="16">
        <v>15.22</v>
      </c>
      <c r="G22" s="16">
        <v>121.72</v>
      </c>
      <c r="H22" s="16">
        <v>1</v>
      </c>
      <c r="I22" s="16">
        <v>1</v>
      </c>
      <c r="J22" s="16">
        <v>2</v>
      </c>
      <c r="K22" s="17">
        <f t="shared" si="2"/>
        <v>0.22000000000000064</v>
      </c>
      <c r="L22" s="18">
        <f t="shared" si="3"/>
        <v>1.466666666666671E-2</v>
      </c>
      <c r="AA22" s="9" t="s">
        <v>3780</v>
      </c>
      <c r="AB22" s="40">
        <f>V13</f>
        <v>0.22631712601435855</v>
      </c>
      <c r="AF22" s="9" t="s">
        <v>3770</v>
      </c>
      <c r="AG22" s="37">
        <f>ABS(AB22*SQRT((96-2)/(1-AB22^2)))</f>
        <v>2.2526745768522036</v>
      </c>
      <c r="AK22" s="8"/>
    </row>
    <row r="23" spans="1:37" ht="18" x14ac:dyDescent="0.35">
      <c r="A23" s="16">
        <v>371</v>
      </c>
      <c r="B23" s="16">
        <v>262</v>
      </c>
      <c r="C23" s="16">
        <v>9.1999999999999993</v>
      </c>
      <c r="D23" s="16">
        <v>8.66</v>
      </c>
      <c r="E23" s="16">
        <v>1.42</v>
      </c>
      <c r="F23" s="16">
        <v>14.85</v>
      </c>
      <c r="G23" s="16">
        <v>127.1</v>
      </c>
      <c r="H23" s="16">
        <v>1</v>
      </c>
      <c r="I23" s="16">
        <v>1</v>
      </c>
      <c r="J23" s="16">
        <v>2</v>
      </c>
      <c r="K23" s="17">
        <f t="shared" si="2"/>
        <v>0.15000000000000036</v>
      </c>
      <c r="L23" s="18">
        <f t="shared" si="3"/>
        <v>1.0000000000000024E-2</v>
      </c>
      <c r="AA23" s="5" t="s">
        <v>3825</v>
      </c>
      <c r="AB23" s="39"/>
      <c r="AC23" s="6"/>
      <c r="AD23" s="7"/>
      <c r="AE23" s="5"/>
      <c r="AF23" s="5" t="s">
        <v>3842</v>
      </c>
    </row>
    <row r="24" spans="1:37" ht="18" x14ac:dyDescent="0.35">
      <c r="A24" s="16">
        <v>353</v>
      </c>
      <c r="B24" s="16">
        <v>260</v>
      </c>
      <c r="C24" s="16">
        <v>8.75</v>
      </c>
      <c r="D24" s="16">
        <v>8.6</v>
      </c>
      <c r="E24" s="16">
        <v>1.36</v>
      </c>
      <c r="F24" s="16">
        <v>15.6</v>
      </c>
      <c r="G24" s="16">
        <v>120.52</v>
      </c>
      <c r="H24" s="16">
        <v>1</v>
      </c>
      <c r="I24" s="16">
        <v>2</v>
      </c>
      <c r="J24" s="16">
        <v>2</v>
      </c>
      <c r="K24" s="17">
        <f t="shared" si="2"/>
        <v>0.59999999999999964</v>
      </c>
      <c r="L24" s="18">
        <f t="shared" si="3"/>
        <v>3.9999999999999973E-2</v>
      </c>
      <c r="AA24" s="9" t="s">
        <v>3781</v>
      </c>
      <c r="AB24" s="40">
        <f>W13</f>
        <v>-0.10849098781257882</v>
      </c>
      <c r="AF24" s="9" t="s">
        <v>3770</v>
      </c>
      <c r="AG24" s="37">
        <f>ABS(AB24*SQRT((96-2)/(1-AB24^2)))</f>
        <v>1.0581046868581629</v>
      </c>
    </row>
    <row r="25" spans="1:37" ht="18" x14ac:dyDescent="0.35">
      <c r="A25" s="16">
        <v>379</v>
      </c>
      <c r="B25" s="16">
        <v>269</v>
      </c>
      <c r="C25" s="16">
        <v>9.4</v>
      </c>
      <c r="D25" s="16">
        <v>8.9</v>
      </c>
      <c r="E25" s="16">
        <v>1.41</v>
      </c>
      <c r="F25" s="16">
        <v>14.53</v>
      </c>
      <c r="G25" s="16">
        <v>125.81</v>
      </c>
      <c r="H25" s="16">
        <v>1</v>
      </c>
      <c r="I25" s="16">
        <v>2</v>
      </c>
      <c r="J25" s="16">
        <v>1</v>
      </c>
      <c r="K25" s="17">
        <f t="shared" si="2"/>
        <v>0.47000000000000064</v>
      </c>
      <c r="L25" s="18">
        <f t="shared" si="3"/>
        <v>3.1333333333333373E-2</v>
      </c>
      <c r="AA25" s="5" t="s">
        <v>3826</v>
      </c>
      <c r="AB25" s="39"/>
      <c r="AC25" s="6"/>
      <c r="AD25" s="7"/>
      <c r="AE25" s="5"/>
      <c r="AF25" s="5" t="s">
        <v>3843</v>
      </c>
      <c r="AJ25" s="8"/>
    </row>
    <row r="26" spans="1:37" ht="18" x14ac:dyDescent="0.35">
      <c r="A26" s="16">
        <v>366</v>
      </c>
      <c r="B26" s="16">
        <v>264</v>
      </c>
      <c r="C26" s="16">
        <v>9.08</v>
      </c>
      <c r="D26" s="16">
        <v>8.73</v>
      </c>
      <c r="E26" s="16">
        <v>1.39</v>
      </c>
      <c r="F26" s="16">
        <v>15.05</v>
      </c>
      <c r="G26" s="16">
        <v>119.39</v>
      </c>
      <c r="H26" s="16">
        <v>2</v>
      </c>
      <c r="I26" s="16">
        <v>2</v>
      </c>
      <c r="J26" s="16">
        <v>1</v>
      </c>
      <c r="K26" s="17">
        <f t="shared" si="2"/>
        <v>5.0000000000000711E-2</v>
      </c>
      <c r="L26" s="18">
        <f t="shared" si="3"/>
        <v>3.3333333333333808E-3</v>
      </c>
      <c r="AA26" s="9" t="s">
        <v>3782</v>
      </c>
      <c r="AB26" s="40">
        <f>X13</f>
        <v>-0.29801766087073095</v>
      </c>
      <c r="AF26" s="9" t="s">
        <v>3770</v>
      </c>
      <c r="AG26" s="11">
        <f>ABS(AB26*SQRT((96-2)/(1-AB26^2)))</f>
        <v>3.0269310939446004</v>
      </c>
      <c r="AJ26" s="8"/>
    </row>
    <row r="27" spans="1:37" ht="18" x14ac:dyDescent="0.35">
      <c r="A27" s="16">
        <v>376</v>
      </c>
      <c r="B27" s="16">
        <v>265</v>
      </c>
      <c r="C27" s="16">
        <v>9.33</v>
      </c>
      <c r="D27" s="16">
        <v>8.76</v>
      </c>
      <c r="E27" s="16">
        <v>1.42</v>
      </c>
      <c r="F27" s="16">
        <v>14.65</v>
      </c>
      <c r="G27" s="16">
        <v>123.78</v>
      </c>
      <c r="H27" s="16">
        <v>1</v>
      </c>
      <c r="I27" s="16">
        <v>2</v>
      </c>
      <c r="J27" s="16">
        <v>1</v>
      </c>
      <c r="K27" s="17">
        <f t="shared" si="2"/>
        <v>0.34999999999999964</v>
      </c>
      <c r="L27" s="18">
        <f t="shared" si="3"/>
        <v>2.333333333333331E-2</v>
      </c>
      <c r="AA27" s="5" t="s">
        <v>3823</v>
      </c>
      <c r="AB27" s="39"/>
      <c r="AC27" s="6"/>
      <c r="AD27" s="7"/>
      <c r="AE27" s="5"/>
      <c r="AF27" s="5" t="s">
        <v>3829</v>
      </c>
      <c r="AG27" s="8"/>
      <c r="AH27" s="8"/>
      <c r="AI27" s="8"/>
    </row>
    <row r="28" spans="1:37" x14ac:dyDescent="0.3">
      <c r="A28" s="16">
        <v>368</v>
      </c>
      <c r="B28" s="16">
        <v>272</v>
      </c>
      <c r="C28" s="16">
        <v>9.1300000000000008</v>
      </c>
      <c r="D28" s="16">
        <v>8.99</v>
      </c>
      <c r="E28" s="16">
        <v>1.35</v>
      </c>
      <c r="F28" s="16">
        <v>14.97</v>
      </c>
      <c r="G28" s="16">
        <v>120.32</v>
      </c>
      <c r="H28" s="16">
        <v>1</v>
      </c>
      <c r="I28" s="16">
        <v>2</v>
      </c>
      <c r="J28" s="16">
        <v>1</v>
      </c>
      <c r="K28" s="17">
        <f t="shared" si="2"/>
        <v>2.9999999999999361E-2</v>
      </c>
      <c r="L28" s="18">
        <f t="shared" si="3"/>
        <v>1.9999999999999575E-3</v>
      </c>
    </row>
    <row r="29" spans="1:37" x14ac:dyDescent="0.3">
      <c r="A29" s="16">
        <v>366</v>
      </c>
      <c r="B29" s="16">
        <v>260</v>
      </c>
      <c r="C29" s="16">
        <v>9.08</v>
      </c>
      <c r="D29" s="16">
        <v>8.6</v>
      </c>
      <c r="E29" s="16">
        <v>1.41</v>
      </c>
      <c r="F29" s="16">
        <v>15.05</v>
      </c>
      <c r="G29" s="16">
        <v>120.71</v>
      </c>
      <c r="H29" s="16">
        <v>1</v>
      </c>
      <c r="I29" s="16">
        <v>3</v>
      </c>
      <c r="J29" s="16">
        <v>1</v>
      </c>
      <c r="K29" s="17">
        <f t="shared" si="2"/>
        <v>5.0000000000000711E-2</v>
      </c>
      <c r="L29" s="18">
        <f t="shared" si="3"/>
        <v>3.3333333333333808E-3</v>
      </c>
      <c r="AF29" s="8"/>
    </row>
    <row r="30" spans="1:37" x14ac:dyDescent="0.3">
      <c r="A30" s="16">
        <v>373</v>
      </c>
      <c r="B30" s="16">
        <v>264</v>
      </c>
      <c r="C30" s="16">
        <v>9.25</v>
      </c>
      <c r="D30" s="16">
        <v>8.73</v>
      </c>
      <c r="E30" s="16">
        <v>1.41</v>
      </c>
      <c r="F30" s="16">
        <v>14.77</v>
      </c>
      <c r="G30" s="16">
        <v>119.96</v>
      </c>
      <c r="H30" s="16">
        <v>1</v>
      </c>
      <c r="I30" s="16">
        <v>3</v>
      </c>
      <c r="J30" s="16">
        <v>1</v>
      </c>
      <c r="K30" s="17">
        <f t="shared" si="2"/>
        <v>0.23000000000000043</v>
      </c>
      <c r="L30" s="18">
        <f t="shared" si="3"/>
        <v>1.5333333333333362E-2</v>
      </c>
    </row>
    <row r="31" spans="1:37" x14ac:dyDescent="0.3">
      <c r="A31" s="16">
        <v>370</v>
      </c>
      <c r="B31" s="16">
        <v>274</v>
      </c>
      <c r="C31" s="16">
        <v>9.18</v>
      </c>
      <c r="D31" s="16">
        <v>9.06</v>
      </c>
      <c r="E31" s="16">
        <v>1.35</v>
      </c>
      <c r="F31" s="16">
        <v>14.89</v>
      </c>
      <c r="G31" s="16">
        <v>128.56</v>
      </c>
      <c r="H31" s="16">
        <v>1</v>
      </c>
      <c r="I31" s="16">
        <v>3</v>
      </c>
      <c r="J31" s="16">
        <v>2</v>
      </c>
      <c r="K31" s="17">
        <f t="shared" si="2"/>
        <v>0.10999999999999943</v>
      </c>
      <c r="L31" s="18">
        <f t="shared" si="3"/>
        <v>7.333333333333295E-3</v>
      </c>
    </row>
    <row r="32" spans="1:37" x14ac:dyDescent="0.3">
      <c r="A32" s="16">
        <v>379</v>
      </c>
      <c r="B32" s="16">
        <v>272</v>
      </c>
      <c r="C32" s="16">
        <v>9.4</v>
      </c>
      <c r="D32" s="16">
        <v>8.99</v>
      </c>
      <c r="E32" s="16">
        <v>1.39</v>
      </c>
      <c r="F32" s="16">
        <v>14.53</v>
      </c>
      <c r="G32" s="16">
        <v>133.1</v>
      </c>
      <c r="H32" s="16">
        <v>1</v>
      </c>
      <c r="I32" s="16">
        <v>3</v>
      </c>
      <c r="J32" s="16">
        <v>1</v>
      </c>
      <c r="K32" s="17">
        <f t="shared" si="2"/>
        <v>0.47000000000000064</v>
      </c>
      <c r="L32" s="18">
        <f t="shared" si="3"/>
        <v>3.1333333333333373E-2</v>
      </c>
    </row>
    <row r="33" spans="1:12" x14ac:dyDescent="0.3">
      <c r="A33" s="16">
        <v>372</v>
      </c>
      <c r="B33" s="16">
        <v>265</v>
      </c>
      <c r="C33" s="16">
        <v>9.23</v>
      </c>
      <c r="D33" s="16">
        <v>8.76</v>
      </c>
      <c r="E33" s="16">
        <v>1.4</v>
      </c>
      <c r="F33" s="16">
        <v>14.81</v>
      </c>
      <c r="G33" s="16">
        <v>130.32</v>
      </c>
      <c r="H33" s="16">
        <v>2</v>
      </c>
      <c r="I33" s="16">
        <v>3</v>
      </c>
      <c r="J33" s="16">
        <v>1</v>
      </c>
      <c r="K33" s="17">
        <f t="shared" si="2"/>
        <v>0.1899999999999995</v>
      </c>
      <c r="L33" s="18">
        <f t="shared" si="3"/>
        <v>1.2666666666666633E-2</v>
      </c>
    </row>
    <row r="34" spans="1:12" x14ac:dyDescent="0.3">
      <c r="A34" s="16">
        <v>375</v>
      </c>
      <c r="B34" s="16">
        <v>271</v>
      </c>
      <c r="C34" s="16">
        <v>9.3000000000000007</v>
      </c>
      <c r="D34" s="16">
        <v>8.9600000000000009</v>
      </c>
      <c r="E34" s="16">
        <v>1.38</v>
      </c>
      <c r="F34" s="16">
        <v>14.69</v>
      </c>
      <c r="G34" s="16">
        <v>91.1</v>
      </c>
      <c r="H34" s="16">
        <v>1</v>
      </c>
      <c r="I34" s="16">
        <v>4</v>
      </c>
      <c r="J34" s="16">
        <v>2</v>
      </c>
      <c r="K34" s="17">
        <f t="shared" si="2"/>
        <v>0.3100000000000005</v>
      </c>
      <c r="L34" s="18">
        <f t="shared" si="3"/>
        <v>2.0666666666666701E-2</v>
      </c>
    </row>
    <row r="35" spans="1:12" x14ac:dyDescent="0.3">
      <c r="A35" s="16">
        <v>374</v>
      </c>
      <c r="B35" s="16">
        <v>263</v>
      </c>
      <c r="C35" s="16">
        <v>9.2799999999999994</v>
      </c>
      <c r="D35" s="16">
        <v>8.6999999999999993</v>
      </c>
      <c r="E35" s="16">
        <v>1.42</v>
      </c>
      <c r="F35" s="16">
        <v>14.73</v>
      </c>
      <c r="G35" s="16">
        <v>50.1</v>
      </c>
      <c r="H35" s="16">
        <v>1</v>
      </c>
      <c r="I35" s="16">
        <v>4</v>
      </c>
      <c r="J35" s="16">
        <v>2</v>
      </c>
      <c r="K35" s="17">
        <f t="shared" si="2"/>
        <v>0.26999999999999957</v>
      </c>
      <c r="L35" s="18">
        <f t="shared" si="3"/>
        <v>1.7999999999999971E-2</v>
      </c>
    </row>
    <row r="36" spans="1:12" x14ac:dyDescent="0.3">
      <c r="A36" s="16">
        <v>371</v>
      </c>
      <c r="B36" s="16">
        <v>277</v>
      </c>
      <c r="C36" s="16">
        <v>9.1999999999999993</v>
      </c>
      <c r="D36" s="16">
        <v>9.16</v>
      </c>
      <c r="E36" s="16">
        <v>1.34</v>
      </c>
      <c r="F36" s="16">
        <v>14.85</v>
      </c>
      <c r="G36" s="16">
        <v>43.27</v>
      </c>
      <c r="H36" s="16">
        <v>1</v>
      </c>
      <c r="I36" s="16">
        <v>4</v>
      </c>
      <c r="J36" s="16">
        <v>3</v>
      </c>
      <c r="K36" s="17">
        <f t="shared" si="2"/>
        <v>0.15000000000000036</v>
      </c>
      <c r="L36" s="18">
        <f t="shared" si="3"/>
        <v>1.0000000000000024E-2</v>
      </c>
    </row>
    <row r="37" spans="1:12" x14ac:dyDescent="0.3">
      <c r="A37" s="16">
        <v>262</v>
      </c>
      <c r="B37" s="16">
        <v>194</v>
      </c>
      <c r="C37" s="16">
        <v>6.5</v>
      </c>
      <c r="D37" s="16">
        <v>6.42</v>
      </c>
      <c r="E37" s="16">
        <v>1.35</v>
      </c>
      <c r="F37" s="16">
        <v>21.02</v>
      </c>
      <c r="G37" s="16">
        <v>131.36000000000001</v>
      </c>
      <c r="H37" s="16">
        <v>1</v>
      </c>
      <c r="I37" s="16">
        <v>1</v>
      </c>
      <c r="J37" s="16">
        <v>1</v>
      </c>
      <c r="K37" s="17">
        <f t="shared" ref="K37:K54" si="4">ABS(F37-20)</f>
        <v>1.0199999999999996</v>
      </c>
      <c r="L37" s="18">
        <f>K37/20</f>
        <v>5.0999999999999976E-2</v>
      </c>
    </row>
    <row r="38" spans="1:12" x14ac:dyDescent="0.3">
      <c r="A38" s="16">
        <v>268</v>
      </c>
      <c r="B38" s="16">
        <v>198</v>
      </c>
      <c r="C38" s="16">
        <v>6.65</v>
      </c>
      <c r="D38" s="16">
        <v>6.55</v>
      </c>
      <c r="E38" s="16">
        <v>1.35</v>
      </c>
      <c r="F38" s="16">
        <v>20.55</v>
      </c>
      <c r="G38" s="16">
        <v>124.19</v>
      </c>
      <c r="H38" s="16">
        <v>1</v>
      </c>
      <c r="I38" s="16">
        <v>1</v>
      </c>
      <c r="J38" s="16">
        <v>2</v>
      </c>
      <c r="K38" s="17">
        <f t="shared" si="4"/>
        <v>0.55000000000000071</v>
      </c>
      <c r="L38" s="18">
        <f t="shared" ref="L38:L54" si="5">K38/20</f>
        <v>2.7500000000000035E-2</v>
      </c>
    </row>
    <row r="39" spans="1:12" x14ac:dyDescent="0.3">
      <c r="A39" s="16">
        <v>269</v>
      </c>
      <c r="B39" s="16">
        <v>199</v>
      </c>
      <c r="C39" s="16">
        <v>6.67</v>
      </c>
      <c r="D39" s="16">
        <v>6.58</v>
      </c>
      <c r="E39" s="16">
        <v>1.35</v>
      </c>
      <c r="F39" s="16">
        <v>20.48</v>
      </c>
      <c r="G39" s="16">
        <v>119.96</v>
      </c>
      <c r="H39" s="16">
        <v>1</v>
      </c>
      <c r="I39" s="16">
        <v>1</v>
      </c>
      <c r="J39" s="16">
        <v>1</v>
      </c>
      <c r="K39" s="17">
        <f t="shared" si="4"/>
        <v>0.48000000000000043</v>
      </c>
      <c r="L39" s="18">
        <f t="shared" si="5"/>
        <v>2.4000000000000021E-2</v>
      </c>
    </row>
    <row r="40" spans="1:12" x14ac:dyDescent="0.3">
      <c r="A40" s="16">
        <v>270</v>
      </c>
      <c r="B40" s="16">
        <v>202</v>
      </c>
      <c r="C40" s="16">
        <v>6.7</v>
      </c>
      <c r="D40" s="16">
        <v>6.68</v>
      </c>
      <c r="E40" s="16">
        <v>1.34</v>
      </c>
      <c r="F40" s="16">
        <v>20.399999999999999</v>
      </c>
      <c r="G40" s="16">
        <v>125.44</v>
      </c>
      <c r="H40" s="16">
        <v>1</v>
      </c>
      <c r="I40" s="16">
        <v>1</v>
      </c>
      <c r="J40" s="16">
        <v>2</v>
      </c>
      <c r="K40" s="17">
        <f t="shared" si="4"/>
        <v>0.39999999999999858</v>
      </c>
      <c r="L40" s="18">
        <f t="shared" si="5"/>
        <v>1.9999999999999928E-2</v>
      </c>
    </row>
    <row r="41" spans="1:12" x14ac:dyDescent="0.3">
      <c r="A41" s="16">
        <v>255</v>
      </c>
      <c r="B41" s="16">
        <v>190</v>
      </c>
      <c r="C41" s="16">
        <v>6.32</v>
      </c>
      <c r="D41" s="16">
        <v>6.28</v>
      </c>
      <c r="E41" s="16">
        <v>1.34</v>
      </c>
      <c r="F41" s="16">
        <v>21.6</v>
      </c>
      <c r="G41" s="16">
        <v>123.85</v>
      </c>
      <c r="H41" s="16">
        <v>1</v>
      </c>
      <c r="I41" s="16">
        <v>1</v>
      </c>
      <c r="J41" s="16">
        <v>1</v>
      </c>
      <c r="K41" s="17">
        <f t="shared" si="4"/>
        <v>1.6000000000000014</v>
      </c>
      <c r="L41" s="18">
        <f t="shared" si="5"/>
        <v>8.0000000000000071E-2</v>
      </c>
    </row>
    <row r="42" spans="1:12" x14ac:dyDescent="0.3">
      <c r="A42" s="16">
        <v>278</v>
      </c>
      <c r="B42" s="16">
        <v>200</v>
      </c>
      <c r="C42" s="16">
        <v>6.89</v>
      </c>
      <c r="D42" s="16">
        <v>6.61</v>
      </c>
      <c r="E42" s="16">
        <v>1.39</v>
      </c>
      <c r="F42" s="16">
        <v>19.809999999999999</v>
      </c>
      <c r="G42" s="16">
        <v>125.68</v>
      </c>
      <c r="H42" s="16">
        <v>1</v>
      </c>
      <c r="I42" s="16">
        <v>2</v>
      </c>
      <c r="J42" s="16">
        <v>3</v>
      </c>
      <c r="K42" s="17">
        <f t="shared" si="4"/>
        <v>0.19000000000000128</v>
      </c>
      <c r="L42" s="18">
        <f t="shared" si="5"/>
        <v>9.5000000000000639E-3</v>
      </c>
    </row>
    <row r="43" spans="1:12" x14ac:dyDescent="0.3">
      <c r="A43" s="16">
        <v>273</v>
      </c>
      <c r="B43" s="16">
        <v>206</v>
      </c>
      <c r="C43" s="16">
        <v>6.77</v>
      </c>
      <c r="D43" s="16">
        <v>6.81</v>
      </c>
      <c r="E43" s="16">
        <v>1.33</v>
      </c>
      <c r="F43" s="16">
        <v>20.18</v>
      </c>
      <c r="G43" s="16">
        <v>123.25</v>
      </c>
      <c r="H43" s="16">
        <v>1</v>
      </c>
      <c r="I43" s="16">
        <v>2</v>
      </c>
      <c r="J43" s="16">
        <v>1</v>
      </c>
      <c r="K43" s="17">
        <f t="shared" si="4"/>
        <v>0.17999999999999972</v>
      </c>
      <c r="L43" s="18">
        <f t="shared" si="5"/>
        <v>8.9999999999999854E-3</v>
      </c>
    </row>
    <row r="44" spans="1:12" x14ac:dyDescent="0.3">
      <c r="A44" s="16">
        <v>274</v>
      </c>
      <c r="B44" s="16">
        <v>199</v>
      </c>
      <c r="C44" s="16">
        <v>6.8</v>
      </c>
      <c r="D44" s="16">
        <v>6.58</v>
      </c>
      <c r="E44" s="16">
        <v>1.38</v>
      </c>
      <c r="F44" s="16">
        <v>20.100000000000001</v>
      </c>
      <c r="G44" s="16">
        <v>118.42</v>
      </c>
      <c r="H44" s="16">
        <v>2</v>
      </c>
      <c r="I44" s="16">
        <v>2</v>
      </c>
      <c r="J44" s="16">
        <v>1</v>
      </c>
      <c r="K44" s="17">
        <f t="shared" si="4"/>
        <v>0.10000000000000142</v>
      </c>
      <c r="L44" s="18">
        <f t="shared" si="5"/>
        <v>5.0000000000000712E-3</v>
      </c>
    </row>
    <row r="45" spans="1:12" x14ac:dyDescent="0.3">
      <c r="A45" s="16">
        <v>260</v>
      </c>
      <c r="B45" s="16">
        <v>194</v>
      </c>
      <c r="C45" s="16">
        <v>6.45</v>
      </c>
      <c r="D45" s="16">
        <v>6.42</v>
      </c>
      <c r="E45" s="16">
        <v>1.34</v>
      </c>
      <c r="F45" s="16">
        <v>21.18</v>
      </c>
      <c r="G45" s="16">
        <v>123.36</v>
      </c>
      <c r="H45" s="16">
        <v>1</v>
      </c>
      <c r="I45" s="16">
        <v>2</v>
      </c>
      <c r="J45" s="16">
        <v>1</v>
      </c>
      <c r="K45" s="17">
        <f t="shared" si="4"/>
        <v>1.1799999999999997</v>
      </c>
      <c r="L45" s="18">
        <f t="shared" si="5"/>
        <v>5.8999999999999983E-2</v>
      </c>
    </row>
    <row r="46" spans="1:12" x14ac:dyDescent="0.3">
      <c r="A46" s="16">
        <v>267</v>
      </c>
      <c r="B46" s="16">
        <v>190</v>
      </c>
      <c r="C46" s="16">
        <v>6.62</v>
      </c>
      <c r="D46" s="16">
        <v>6.28</v>
      </c>
      <c r="E46" s="16">
        <v>1.41</v>
      </c>
      <c r="F46" s="16">
        <v>20.63</v>
      </c>
      <c r="G46" s="16">
        <v>122.81</v>
      </c>
      <c r="H46" s="16">
        <v>1</v>
      </c>
      <c r="I46" s="16">
        <v>2</v>
      </c>
      <c r="J46" s="16">
        <v>1</v>
      </c>
      <c r="K46" s="17">
        <f t="shared" si="4"/>
        <v>0.62999999999999901</v>
      </c>
      <c r="L46" s="18">
        <f t="shared" si="5"/>
        <v>3.1499999999999952E-2</v>
      </c>
    </row>
    <row r="47" spans="1:12" x14ac:dyDescent="0.3">
      <c r="A47" s="16">
        <v>261</v>
      </c>
      <c r="B47" s="16">
        <v>199</v>
      </c>
      <c r="C47" s="16">
        <v>6.47</v>
      </c>
      <c r="D47" s="16">
        <v>6.58</v>
      </c>
      <c r="E47" s="16">
        <v>1.31</v>
      </c>
      <c r="F47" s="16">
        <v>21.1</v>
      </c>
      <c r="G47" s="16">
        <v>121.53</v>
      </c>
      <c r="H47" s="16">
        <v>1</v>
      </c>
      <c r="I47" s="16">
        <v>3</v>
      </c>
      <c r="J47" s="16">
        <v>1</v>
      </c>
      <c r="K47" s="17">
        <f t="shared" si="4"/>
        <v>1.1000000000000014</v>
      </c>
      <c r="L47" s="18">
        <f t="shared" si="5"/>
        <v>5.500000000000007E-2</v>
      </c>
    </row>
    <row r="48" spans="1:12" x14ac:dyDescent="0.3">
      <c r="A48" s="16">
        <v>263</v>
      </c>
      <c r="B48" s="16">
        <v>202</v>
      </c>
      <c r="C48" s="16">
        <v>6.52</v>
      </c>
      <c r="D48" s="16">
        <v>6.68</v>
      </c>
      <c r="E48" s="16">
        <v>1.3</v>
      </c>
      <c r="F48" s="16">
        <v>20.94</v>
      </c>
      <c r="G48" s="16">
        <v>122.18</v>
      </c>
      <c r="H48" s="16">
        <v>1</v>
      </c>
      <c r="I48" s="16">
        <v>3</v>
      </c>
      <c r="J48" s="16">
        <v>1</v>
      </c>
      <c r="K48" s="17">
        <f t="shared" si="4"/>
        <v>0.94000000000000128</v>
      </c>
      <c r="L48" s="18">
        <f t="shared" si="5"/>
        <v>4.7000000000000063E-2</v>
      </c>
    </row>
    <row r="49" spans="1:12" x14ac:dyDescent="0.3">
      <c r="A49" s="16">
        <v>280</v>
      </c>
      <c r="B49" s="16">
        <v>197</v>
      </c>
      <c r="C49" s="16">
        <v>6.94</v>
      </c>
      <c r="D49" s="16">
        <v>6.51</v>
      </c>
      <c r="E49" s="16">
        <v>1.42</v>
      </c>
      <c r="F49" s="16">
        <v>19.670000000000002</v>
      </c>
      <c r="G49" s="16">
        <v>128.21</v>
      </c>
      <c r="H49" s="16">
        <v>1</v>
      </c>
      <c r="I49" s="16">
        <v>3</v>
      </c>
      <c r="J49" s="16">
        <v>1</v>
      </c>
      <c r="K49" s="17">
        <f t="shared" si="4"/>
        <v>0.32999999999999829</v>
      </c>
      <c r="L49" s="18">
        <f t="shared" si="5"/>
        <v>1.6499999999999914E-2</v>
      </c>
    </row>
    <row r="50" spans="1:12" x14ac:dyDescent="0.3">
      <c r="A50" s="16">
        <v>272</v>
      </c>
      <c r="B50" s="16">
        <v>199</v>
      </c>
      <c r="C50" s="16">
        <v>6.75</v>
      </c>
      <c r="D50" s="16">
        <v>6.58</v>
      </c>
      <c r="E50" s="16">
        <v>1.37</v>
      </c>
      <c r="F50" s="16">
        <v>20.25</v>
      </c>
      <c r="G50" s="16">
        <v>127.5</v>
      </c>
      <c r="H50" s="16">
        <v>1</v>
      </c>
      <c r="I50" s="16">
        <v>3</v>
      </c>
      <c r="J50" s="16">
        <v>1</v>
      </c>
      <c r="K50" s="17">
        <f t="shared" si="4"/>
        <v>0.25</v>
      </c>
      <c r="L50" s="18">
        <f t="shared" si="5"/>
        <v>1.2500000000000001E-2</v>
      </c>
    </row>
    <row r="51" spans="1:12" x14ac:dyDescent="0.3">
      <c r="A51" s="16">
        <v>284</v>
      </c>
      <c r="B51" s="16">
        <v>197</v>
      </c>
      <c r="C51" s="16">
        <v>7.04</v>
      </c>
      <c r="D51" s="16">
        <v>6.51</v>
      </c>
      <c r="E51" s="16">
        <v>1.44</v>
      </c>
      <c r="F51" s="16">
        <v>19.39</v>
      </c>
      <c r="G51" s="16">
        <v>133.30000000000001</v>
      </c>
      <c r="H51" s="16">
        <v>1</v>
      </c>
      <c r="I51" s="16">
        <v>3</v>
      </c>
      <c r="J51" s="16">
        <v>1</v>
      </c>
      <c r="K51" s="17">
        <f t="shared" si="4"/>
        <v>0.60999999999999943</v>
      </c>
      <c r="L51" s="18">
        <f t="shared" si="5"/>
        <v>3.0499999999999972E-2</v>
      </c>
    </row>
    <row r="52" spans="1:12" x14ac:dyDescent="0.3">
      <c r="A52" s="16">
        <v>263</v>
      </c>
      <c r="B52" s="16">
        <v>198</v>
      </c>
      <c r="C52" s="16">
        <v>6.52</v>
      </c>
      <c r="D52" s="16">
        <v>6.55</v>
      </c>
      <c r="E52" s="16">
        <v>1.33</v>
      </c>
      <c r="F52" s="16">
        <v>20.94</v>
      </c>
      <c r="G52" s="16">
        <v>128.47</v>
      </c>
      <c r="H52" s="16">
        <v>1</v>
      </c>
      <c r="I52" s="16">
        <v>4</v>
      </c>
      <c r="J52" s="16">
        <v>1</v>
      </c>
      <c r="K52" s="17">
        <f t="shared" si="4"/>
        <v>0.94000000000000128</v>
      </c>
      <c r="L52" s="18">
        <f t="shared" si="5"/>
        <v>4.7000000000000063E-2</v>
      </c>
    </row>
    <row r="53" spans="1:12" x14ac:dyDescent="0.3">
      <c r="A53" s="16">
        <v>273</v>
      </c>
      <c r="B53" s="16">
        <v>197</v>
      </c>
      <c r="C53" s="16">
        <v>6.77</v>
      </c>
      <c r="D53" s="16">
        <v>6.51</v>
      </c>
      <c r="E53" s="16">
        <v>1.39</v>
      </c>
      <c r="F53" s="16">
        <v>20.18</v>
      </c>
      <c r="G53" s="16">
        <v>52.63</v>
      </c>
      <c r="H53" s="16">
        <v>1</v>
      </c>
      <c r="I53" s="16">
        <v>4</v>
      </c>
      <c r="J53" s="16">
        <v>2</v>
      </c>
      <c r="K53" s="17">
        <f t="shared" si="4"/>
        <v>0.17999999999999972</v>
      </c>
      <c r="L53" s="18">
        <f t="shared" si="5"/>
        <v>8.9999999999999854E-3</v>
      </c>
    </row>
    <row r="54" spans="1:12" x14ac:dyDescent="0.3">
      <c r="A54" s="16">
        <v>281</v>
      </c>
      <c r="B54" s="16">
        <v>205</v>
      </c>
      <c r="C54" s="16">
        <v>6.97</v>
      </c>
      <c r="D54" s="16">
        <v>6.78</v>
      </c>
      <c r="E54" s="16">
        <v>1.37</v>
      </c>
      <c r="F54" s="16">
        <v>19.600000000000001</v>
      </c>
      <c r="G54" s="16">
        <v>52.47</v>
      </c>
      <c r="H54" s="16">
        <v>1</v>
      </c>
      <c r="I54" s="16">
        <v>4</v>
      </c>
      <c r="J54" s="16">
        <v>3</v>
      </c>
      <c r="K54" s="17">
        <f t="shared" si="4"/>
        <v>0.39999999999999858</v>
      </c>
      <c r="L54" s="18">
        <f t="shared" si="5"/>
        <v>1.9999999999999928E-2</v>
      </c>
    </row>
    <row r="55" spans="1:12" x14ac:dyDescent="0.3">
      <c r="A55" s="16">
        <v>550</v>
      </c>
      <c r="B55" s="16">
        <v>380</v>
      </c>
      <c r="C55" s="16">
        <v>13.64</v>
      </c>
      <c r="D55" s="16">
        <v>12.57</v>
      </c>
      <c r="E55" s="16">
        <v>1.45</v>
      </c>
      <c r="F55" s="16">
        <v>10.01</v>
      </c>
      <c r="G55" s="16">
        <v>132.18</v>
      </c>
      <c r="H55" s="16">
        <v>2</v>
      </c>
      <c r="I55" s="16">
        <v>1</v>
      </c>
      <c r="J55" s="16">
        <v>1</v>
      </c>
      <c r="K55" s="17">
        <f t="shared" ref="K55:K67" si="6">ABS(F55-10)</f>
        <v>9.9999999999997868E-3</v>
      </c>
      <c r="L55" s="18">
        <f>K55/10</f>
        <v>9.9999999999997877E-4</v>
      </c>
    </row>
    <row r="56" spans="1:12" x14ac:dyDescent="0.3">
      <c r="A56" s="16">
        <v>559</v>
      </c>
      <c r="B56" s="16">
        <v>391</v>
      </c>
      <c r="C56" s="16">
        <v>13.86</v>
      </c>
      <c r="D56" s="16">
        <v>12.93</v>
      </c>
      <c r="E56" s="16">
        <v>1.43</v>
      </c>
      <c r="F56" s="16">
        <v>9.85</v>
      </c>
      <c r="G56" s="16">
        <v>128.13</v>
      </c>
      <c r="H56" s="16">
        <v>2</v>
      </c>
      <c r="I56" s="16">
        <v>1</v>
      </c>
      <c r="J56" s="16">
        <v>1</v>
      </c>
      <c r="K56" s="17">
        <f t="shared" si="6"/>
        <v>0.15000000000000036</v>
      </c>
      <c r="L56" s="18">
        <f t="shared" ref="L56:L67" si="7">K56/10</f>
        <v>1.5000000000000036E-2</v>
      </c>
    </row>
    <row r="57" spans="1:12" x14ac:dyDescent="0.3">
      <c r="A57" s="16">
        <v>558</v>
      </c>
      <c r="B57" s="16">
        <v>387</v>
      </c>
      <c r="C57" s="16">
        <v>13.84</v>
      </c>
      <c r="D57" s="16">
        <v>12.8</v>
      </c>
      <c r="E57" s="16">
        <v>1.44</v>
      </c>
      <c r="F57" s="16">
        <v>9.8699999999999992</v>
      </c>
      <c r="G57" s="16">
        <v>130.6</v>
      </c>
      <c r="H57" s="16">
        <v>2</v>
      </c>
      <c r="I57" s="16">
        <v>1</v>
      </c>
      <c r="J57" s="16">
        <v>1</v>
      </c>
      <c r="K57" s="17">
        <f t="shared" si="6"/>
        <v>0.13000000000000078</v>
      </c>
      <c r="L57" s="18">
        <f t="shared" si="7"/>
        <v>1.3000000000000077E-2</v>
      </c>
    </row>
    <row r="58" spans="1:12" x14ac:dyDescent="0.3">
      <c r="A58" s="16">
        <v>547</v>
      </c>
      <c r="B58" s="16">
        <v>390</v>
      </c>
      <c r="C58" s="16">
        <v>13.57</v>
      </c>
      <c r="D58" s="16">
        <v>12.9</v>
      </c>
      <c r="E58" s="16">
        <v>1.4</v>
      </c>
      <c r="F58" s="16">
        <v>10.07</v>
      </c>
      <c r="G58" s="16">
        <v>124.13</v>
      </c>
      <c r="H58" s="16">
        <v>1</v>
      </c>
      <c r="I58" s="16">
        <v>1</v>
      </c>
      <c r="J58" s="16">
        <v>1</v>
      </c>
      <c r="K58" s="17">
        <f t="shared" si="6"/>
        <v>7.0000000000000284E-2</v>
      </c>
      <c r="L58" s="18">
        <f t="shared" si="7"/>
        <v>7.0000000000000288E-3</v>
      </c>
    </row>
    <row r="59" spans="1:12" x14ac:dyDescent="0.3">
      <c r="A59" s="16">
        <v>555</v>
      </c>
      <c r="B59" s="16">
        <v>388</v>
      </c>
      <c r="C59" s="16">
        <v>13.76</v>
      </c>
      <c r="D59" s="16">
        <v>12.83</v>
      </c>
      <c r="E59" s="16">
        <v>1.43</v>
      </c>
      <c r="F59" s="16">
        <v>9.92</v>
      </c>
      <c r="G59" s="16">
        <v>130.44</v>
      </c>
      <c r="H59" s="16">
        <v>2</v>
      </c>
      <c r="I59" s="16">
        <v>2</v>
      </c>
      <c r="J59" s="16">
        <v>1</v>
      </c>
      <c r="K59" s="17">
        <f t="shared" si="6"/>
        <v>8.0000000000000071E-2</v>
      </c>
      <c r="L59" s="18">
        <f t="shared" si="7"/>
        <v>8.0000000000000071E-3</v>
      </c>
    </row>
    <row r="60" spans="1:12" x14ac:dyDescent="0.3">
      <c r="A60" s="16">
        <v>582</v>
      </c>
      <c r="B60" s="16">
        <v>402</v>
      </c>
      <c r="C60" s="16">
        <v>14.43</v>
      </c>
      <c r="D60" s="16">
        <v>13.29</v>
      </c>
      <c r="E60" s="16">
        <v>1.45</v>
      </c>
      <c r="F60" s="16">
        <v>9.4600000000000009</v>
      </c>
      <c r="G60" s="16">
        <v>123.35</v>
      </c>
      <c r="H60" s="16">
        <v>3</v>
      </c>
      <c r="I60" s="16">
        <v>2</v>
      </c>
      <c r="J60" s="16">
        <v>1</v>
      </c>
      <c r="K60" s="17">
        <f t="shared" si="6"/>
        <v>0.53999999999999915</v>
      </c>
      <c r="L60" s="18">
        <f t="shared" si="7"/>
        <v>5.3999999999999916E-2</v>
      </c>
    </row>
    <row r="61" spans="1:12" x14ac:dyDescent="0.3">
      <c r="A61" s="16">
        <v>554</v>
      </c>
      <c r="B61" s="16">
        <v>391</v>
      </c>
      <c r="C61" s="16">
        <v>13.74</v>
      </c>
      <c r="D61" s="16">
        <v>12.93</v>
      </c>
      <c r="E61" s="16">
        <v>1.42</v>
      </c>
      <c r="F61" s="16">
        <v>9.94</v>
      </c>
      <c r="G61" s="16">
        <v>128.16999999999999</v>
      </c>
      <c r="H61" s="16">
        <v>3</v>
      </c>
      <c r="I61" s="16">
        <v>2</v>
      </c>
      <c r="J61" s="16">
        <v>1</v>
      </c>
      <c r="K61" s="17">
        <f t="shared" si="6"/>
        <v>6.0000000000000497E-2</v>
      </c>
      <c r="L61" s="18">
        <f t="shared" si="7"/>
        <v>6.0000000000000496E-3</v>
      </c>
    </row>
    <row r="62" spans="1:12" x14ac:dyDescent="0.3">
      <c r="A62" s="16">
        <v>558</v>
      </c>
      <c r="B62" s="16">
        <v>400</v>
      </c>
      <c r="C62" s="16">
        <v>13.84</v>
      </c>
      <c r="D62" s="16">
        <v>13.23</v>
      </c>
      <c r="E62" s="16">
        <v>1.4</v>
      </c>
      <c r="F62" s="16">
        <v>9.8699999999999992</v>
      </c>
      <c r="G62" s="16">
        <v>129.83000000000001</v>
      </c>
      <c r="H62" s="16">
        <v>2</v>
      </c>
      <c r="I62" s="16">
        <v>3</v>
      </c>
      <c r="J62" s="16">
        <v>2</v>
      </c>
      <c r="K62" s="17">
        <f t="shared" si="6"/>
        <v>0.13000000000000078</v>
      </c>
      <c r="L62" s="18">
        <f t="shared" si="7"/>
        <v>1.3000000000000077E-2</v>
      </c>
    </row>
    <row r="63" spans="1:12" x14ac:dyDescent="0.3">
      <c r="A63" s="16">
        <v>562</v>
      </c>
      <c r="B63" s="16">
        <v>406</v>
      </c>
      <c r="C63" s="16">
        <v>13.94</v>
      </c>
      <c r="D63" s="16">
        <v>13.43</v>
      </c>
      <c r="E63" s="16">
        <v>1.38</v>
      </c>
      <c r="F63" s="16">
        <v>9.8000000000000007</v>
      </c>
      <c r="G63" s="16">
        <v>127.94</v>
      </c>
      <c r="H63" s="16">
        <v>2</v>
      </c>
      <c r="I63" s="16">
        <v>3</v>
      </c>
      <c r="J63" s="16">
        <v>2</v>
      </c>
      <c r="K63" s="17">
        <f t="shared" si="6"/>
        <v>0.19999999999999929</v>
      </c>
      <c r="L63" s="18">
        <f t="shared" si="7"/>
        <v>1.9999999999999928E-2</v>
      </c>
    </row>
    <row r="64" spans="1:12" x14ac:dyDescent="0.3">
      <c r="A64" s="16">
        <v>565</v>
      </c>
      <c r="B64" s="16">
        <v>388</v>
      </c>
      <c r="C64" s="16">
        <v>14.01</v>
      </c>
      <c r="D64" s="16">
        <v>12.83</v>
      </c>
      <c r="E64" s="16">
        <v>1.46</v>
      </c>
      <c r="F64" s="16">
        <v>9.75</v>
      </c>
      <c r="G64" s="16">
        <v>116.55</v>
      </c>
      <c r="H64" s="16">
        <v>2</v>
      </c>
      <c r="I64" s="16">
        <v>3</v>
      </c>
      <c r="J64" s="16">
        <v>1</v>
      </c>
      <c r="K64" s="17">
        <f t="shared" si="6"/>
        <v>0.25</v>
      </c>
      <c r="L64" s="18">
        <f t="shared" si="7"/>
        <v>2.5000000000000001E-2</v>
      </c>
    </row>
    <row r="65" spans="1:12" x14ac:dyDescent="0.3">
      <c r="A65" s="16">
        <v>561</v>
      </c>
      <c r="B65" s="16">
        <v>396</v>
      </c>
      <c r="C65" s="16">
        <v>13.91</v>
      </c>
      <c r="D65" s="16">
        <v>13.1</v>
      </c>
      <c r="E65" s="16">
        <v>1.42</v>
      </c>
      <c r="F65" s="16">
        <v>9.82</v>
      </c>
      <c r="G65" s="16">
        <v>45.88</v>
      </c>
      <c r="H65" s="16">
        <v>2</v>
      </c>
      <c r="I65" s="16">
        <v>4</v>
      </c>
      <c r="J65" s="16">
        <v>2</v>
      </c>
      <c r="K65" s="17">
        <f t="shared" si="6"/>
        <v>0.17999999999999972</v>
      </c>
      <c r="L65" s="18">
        <f t="shared" si="7"/>
        <v>1.7999999999999971E-2</v>
      </c>
    </row>
    <row r="66" spans="1:12" x14ac:dyDescent="0.3">
      <c r="A66" s="16">
        <v>560</v>
      </c>
      <c r="B66" s="16">
        <v>400</v>
      </c>
      <c r="C66" s="16">
        <v>13.89</v>
      </c>
      <c r="D66" s="16">
        <v>13.23</v>
      </c>
      <c r="E66" s="16">
        <v>1.4</v>
      </c>
      <c r="F66" s="16">
        <v>9.84</v>
      </c>
      <c r="G66" s="16">
        <v>77</v>
      </c>
      <c r="H66" s="16">
        <v>1</v>
      </c>
      <c r="I66" s="16">
        <v>4</v>
      </c>
      <c r="J66" s="16">
        <v>2</v>
      </c>
      <c r="K66" s="17">
        <f t="shared" si="6"/>
        <v>0.16000000000000014</v>
      </c>
      <c r="L66" s="18">
        <f t="shared" si="7"/>
        <v>1.6000000000000014E-2</v>
      </c>
    </row>
    <row r="67" spans="1:12" x14ac:dyDescent="0.3">
      <c r="A67" s="16">
        <v>554</v>
      </c>
      <c r="B67" s="16">
        <v>406</v>
      </c>
      <c r="C67" s="16">
        <v>13.74</v>
      </c>
      <c r="D67" s="16">
        <v>13.43</v>
      </c>
      <c r="E67" s="16">
        <v>1.36</v>
      </c>
      <c r="F67" s="16">
        <v>9.94</v>
      </c>
      <c r="G67" s="16">
        <v>48.6</v>
      </c>
      <c r="H67" s="16">
        <v>2</v>
      </c>
      <c r="I67" s="16">
        <v>4</v>
      </c>
      <c r="J67" s="16">
        <v>3</v>
      </c>
      <c r="K67" s="17">
        <f t="shared" si="6"/>
        <v>6.0000000000000497E-2</v>
      </c>
      <c r="L67" s="18">
        <f t="shared" si="7"/>
        <v>6.0000000000000496E-3</v>
      </c>
    </row>
    <row r="68" spans="1:12" x14ac:dyDescent="0.3">
      <c r="A68" s="16">
        <v>383</v>
      </c>
      <c r="B68" s="16">
        <v>288</v>
      </c>
      <c r="C68" s="16">
        <v>9.5</v>
      </c>
      <c r="D68" s="16">
        <v>9.52</v>
      </c>
      <c r="E68" s="16">
        <v>1.33</v>
      </c>
      <c r="F68" s="16">
        <v>14.38</v>
      </c>
      <c r="G68" s="16">
        <v>135.32</v>
      </c>
      <c r="H68" s="16">
        <v>2</v>
      </c>
      <c r="I68" s="16">
        <v>1</v>
      </c>
      <c r="J68" s="16">
        <v>2</v>
      </c>
      <c r="K68" s="17">
        <f t="shared" ref="K68:K80" si="8">ABS(F68-15)</f>
        <v>0.61999999999999922</v>
      </c>
      <c r="L68" s="18">
        <f>K68/15</f>
        <v>4.1333333333333284E-2</v>
      </c>
    </row>
    <row r="69" spans="1:12" x14ac:dyDescent="0.3">
      <c r="A69" s="16">
        <v>388</v>
      </c>
      <c r="B69" s="16">
        <v>306</v>
      </c>
      <c r="C69" s="16">
        <v>9.6199999999999992</v>
      </c>
      <c r="D69" s="16">
        <v>10.119999999999999</v>
      </c>
      <c r="E69" s="16">
        <v>1.27</v>
      </c>
      <c r="F69" s="16">
        <v>14.2</v>
      </c>
      <c r="G69" s="16">
        <v>132.22999999999999</v>
      </c>
      <c r="H69" s="16">
        <v>2</v>
      </c>
      <c r="I69" s="16">
        <v>1</v>
      </c>
      <c r="J69" s="16">
        <v>1</v>
      </c>
      <c r="K69" s="17">
        <f t="shared" si="8"/>
        <v>0.80000000000000071</v>
      </c>
      <c r="L69" s="18">
        <f t="shared" ref="L69:L80" si="9">K69/15</f>
        <v>5.3333333333333378E-2</v>
      </c>
    </row>
    <row r="70" spans="1:12" x14ac:dyDescent="0.3">
      <c r="A70" s="16">
        <v>395</v>
      </c>
      <c r="B70" s="16">
        <v>300</v>
      </c>
      <c r="C70" s="16">
        <v>9.8000000000000007</v>
      </c>
      <c r="D70" s="16">
        <v>9.92</v>
      </c>
      <c r="E70" s="16">
        <v>1.32</v>
      </c>
      <c r="F70" s="16">
        <v>13.94</v>
      </c>
      <c r="G70" s="16">
        <v>126.55</v>
      </c>
      <c r="H70" s="16">
        <v>2</v>
      </c>
      <c r="I70" s="16">
        <v>1</v>
      </c>
      <c r="J70" s="16">
        <v>1</v>
      </c>
      <c r="K70" s="17">
        <f t="shared" si="8"/>
        <v>1.0600000000000005</v>
      </c>
      <c r="L70" s="18">
        <f t="shared" si="9"/>
        <v>7.0666666666666697E-2</v>
      </c>
    </row>
    <row r="71" spans="1:12" x14ac:dyDescent="0.3">
      <c r="A71" s="16">
        <v>388</v>
      </c>
      <c r="B71" s="16">
        <v>297</v>
      </c>
      <c r="C71" s="16">
        <v>9.6199999999999992</v>
      </c>
      <c r="D71" s="16">
        <v>9.82</v>
      </c>
      <c r="E71" s="16">
        <v>1.31</v>
      </c>
      <c r="F71" s="16">
        <v>14.2</v>
      </c>
      <c r="G71" s="16">
        <v>129.41</v>
      </c>
      <c r="H71" s="16">
        <v>1</v>
      </c>
      <c r="I71" s="16">
        <v>1</v>
      </c>
      <c r="J71" s="16">
        <v>1</v>
      </c>
      <c r="K71" s="17">
        <f t="shared" si="8"/>
        <v>0.80000000000000071</v>
      </c>
      <c r="L71" s="18">
        <f t="shared" si="9"/>
        <v>5.3333333333333378E-2</v>
      </c>
    </row>
    <row r="72" spans="1:12" x14ac:dyDescent="0.3">
      <c r="A72" s="16">
        <v>389</v>
      </c>
      <c r="B72" s="16">
        <v>289</v>
      </c>
      <c r="C72" s="16">
        <v>9.65</v>
      </c>
      <c r="D72" s="16">
        <v>9.56</v>
      </c>
      <c r="E72" s="16">
        <v>1.35</v>
      </c>
      <c r="F72" s="16">
        <v>14.16</v>
      </c>
      <c r="G72" s="16">
        <v>134.18</v>
      </c>
      <c r="H72" s="16">
        <v>2</v>
      </c>
      <c r="I72" s="16">
        <v>2</v>
      </c>
      <c r="J72" s="16">
        <v>1</v>
      </c>
      <c r="K72" s="17">
        <f t="shared" si="8"/>
        <v>0.83999999999999986</v>
      </c>
      <c r="L72" s="18">
        <f t="shared" si="9"/>
        <v>5.5999999999999987E-2</v>
      </c>
    </row>
    <row r="73" spans="1:12" x14ac:dyDescent="0.3">
      <c r="A73" s="16">
        <v>383</v>
      </c>
      <c r="B73" s="16">
        <v>286</v>
      </c>
      <c r="C73" s="16">
        <v>9.5</v>
      </c>
      <c r="D73" s="16">
        <v>9.4600000000000009</v>
      </c>
      <c r="E73" s="16">
        <v>1.34</v>
      </c>
      <c r="F73" s="16">
        <v>14.38</v>
      </c>
      <c r="G73" s="16">
        <v>132.36000000000001</v>
      </c>
      <c r="H73" s="16">
        <v>2</v>
      </c>
      <c r="I73" s="16">
        <v>2</v>
      </c>
      <c r="J73" s="16">
        <v>1</v>
      </c>
      <c r="K73" s="17">
        <f t="shared" si="8"/>
        <v>0.61999999999999922</v>
      </c>
      <c r="L73" s="18">
        <f t="shared" si="9"/>
        <v>4.1333333333333284E-2</v>
      </c>
    </row>
    <row r="74" spans="1:12" x14ac:dyDescent="0.3">
      <c r="A74" s="16">
        <v>399</v>
      </c>
      <c r="B74" s="16">
        <v>298</v>
      </c>
      <c r="C74" s="16">
        <v>9.9</v>
      </c>
      <c r="D74" s="16">
        <v>9.85</v>
      </c>
      <c r="E74" s="16">
        <v>1.34</v>
      </c>
      <c r="F74" s="16">
        <v>13.8</v>
      </c>
      <c r="G74" s="16">
        <v>129.96</v>
      </c>
      <c r="H74" s="16">
        <v>2</v>
      </c>
      <c r="I74" s="16">
        <v>2</v>
      </c>
      <c r="J74" s="16">
        <v>1</v>
      </c>
      <c r="K74" s="17">
        <f t="shared" si="8"/>
        <v>1.1999999999999993</v>
      </c>
      <c r="L74" s="18">
        <f t="shared" si="9"/>
        <v>7.9999999999999946E-2</v>
      </c>
    </row>
    <row r="75" spans="1:12" x14ac:dyDescent="0.3">
      <c r="A75" s="16">
        <v>376</v>
      </c>
      <c r="B75" s="16">
        <v>286</v>
      </c>
      <c r="C75" s="16">
        <v>9.33</v>
      </c>
      <c r="D75" s="16">
        <v>9.4600000000000009</v>
      </c>
      <c r="E75" s="16">
        <v>1.31</v>
      </c>
      <c r="F75" s="16">
        <v>14.65</v>
      </c>
      <c r="G75" s="16">
        <v>126.56</v>
      </c>
      <c r="H75" s="16">
        <v>2</v>
      </c>
      <c r="I75" s="16">
        <v>3</v>
      </c>
      <c r="J75" s="16">
        <v>1</v>
      </c>
      <c r="K75" s="17">
        <f t="shared" si="8"/>
        <v>0.34999999999999964</v>
      </c>
      <c r="L75" s="18">
        <f t="shared" si="9"/>
        <v>2.333333333333331E-2</v>
      </c>
    </row>
    <row r="76" spans="1:12" x14ac:dyDescent="0.3">
      <c r="A76" s="16">
        <v>392</v>
      </c>
      <c r="B76" s="16">
        <v>299</v>
      </c>
      <c r="C76" s="16">
        <v>9.7200000000000006</v>
      </c>
      <c r="D76" s="16">
        <v>9.89</v>
      </c>
      <c r="E76" s="16">
        <v>1.31</v>
      </c>
      <c r="F76" s="16">
        <v>14.05</v>
      </c>
      <c r="G76" s="16">
        <v>131.54</v>
      </c>
      <c r="H76" s="16">
        <v>3</v>
      </c>
      <c r="I76" s="16">
        <v>3</v>
      </c>
      <c r="J76" s="16">
        <v>1</v>
      </c>
      <c r="K76" s="17">
        <f t="shared" si="8"/>
        <v>0.94999999999999929</v>
      </c>
      <c r="L76" s="18">
        <f t="shared" si="9"/>
        <v>6.3333333333333283E-2</v>
      </c>
    </row>
    <row r="77" spans="1:12" x14ac:dyDescent="0.3">
      <c r="A77" s="16">
        <v>385</v>
      </c>
      <c r="B77" s="16">
        <v>288</v>
      </c>
      <c r="C77" s="16">
        <v>9.5500000000000007</v>
      </c>
      <c r="D77" s="16">
        <v>9.52</v>
      </c>
      <c r="E77" s="16">
        <v>1.34</v>
      </c>
      <c r="F77" s="16">
        <v>14.31</v>
      </c>
      <c r="G77" s="16">
        <v>125.26</v>
      </c>
      <c r="H77" s="16">
        <v>3</v>
      </c>
      <c r="I77" s="16">
        <v>3</v>
      </c>
      <c r="J77" s="16">
        <v>1</v>
      </c>
      <c r="K77" s="17">
        <f t="shared" si="8"/>
        <v>0.6899999999999995</v>
      </c>
      <c r="L77" s="18">
        <f t="shared" si="9"/>
        <v>4.5999999999999965E-2</v>
      </c>
    </row>
    <row r="78" spans="1:12" x14ac:dyDescent="0.3">
      <c r="A78" s="16">
        <v>385</v>
      </c>
      <c r="B78" s="16">
        <v>291</v>
      </c>
      <c r="C78" s="16">
        <v>9.5500000000000007</v>
      </c>
      <c r="D78" s="16">
        <v>9.6199999999999992</v>
      </c>
      <c r="E78" s="16">
        <v>1.32</v>
      </c>
      <c r="F78" s="16">
        <v>14.31</v>
      </c>
      <c r="G78" s="16">
        <v>101.13</v>
      </c>
      <c r="H78" s="16">
        <v>2</v>
      </c>
      <c r="I78" s="16">
        <v>4</v>
      </c>
      <c r="J78" s="16">
        <v>1</v>
      </c>
      <c r="K78" s="17">
        <f t="shared" si="8"/>
        <v>0.6899999999999995</v>
      </c>
      <c r="L78" s="18">
        <f t="shared" si="9"/>
        <v>4.5999999999999965E-2</v>
      </c>
    </row>
    <row r="79" spans="1:12" x14ac:dyDescent="0.3">
      <c r="A79" s="16">
        <v>384</v>
      </c>
      <c r="B79" s="16">
        <v>291</v>
      </c>
      <c r="C79" s="16">
        <v>9.52</v>
      </c>
      <c r="D79" s="16">
        <v>9.6199999999999992</v>
      </c>
      <c r="E79" s="16">
        <v>1.32</v>
      </c>
      <c r="F79" s="16">
        <v>14.34</v>
      </c>
      <c r="G79" s="16">
        <v>44.28</v>
      </c>
      <c r="H79" s="16">
        <v>2</v>
      </c>
      <c r="I79" s="16">
        <v>4</v>
      </c>
      <c r="J79" s="16">
        <v>2</v>
      </c>
      <c r="K79" s="17">
        <f t="shared" si="8"/>
        <v>0.66000000000000014</v>
      </c>
      <c r="L79" s="18">
        <f t="shared" si="9"/>
        <v>4.4000000000000011E-2</v>
      </c>
    </row>
    <row r="80" spans="1:12" x14ac:dyDescent="0.3">
      <c r="A80" s="16">
        <v>383</v>
      </c>
      <c r="B80" s="16">
        <v>293</v>
      </c>
      <c r="C80" s="16">
        <v>9.5</v>
      </c>
      <c r="D80" s="16">
        <v>9.69</v>
      </c>
      <c r="E80" s="16">
        <v>1.31</v>
      </c>
      <c r="F80" s="16">
        <v>14.38</v>
      </c>
      <c r="G80" s="16">
        <v>49.43</v>
      </c>
      <c r="H80" s="16">
        <v>2</v>
      </c>
      <c r="I80" s="16">
        <v>4</v>
      </c>
      <c r="J80" s="16">
        <v>3</v>
      </c>
      <c r="K80" s="17">
        <f t="shared" si="8"/>
        <v>0.61999999999999922</v>
      </c>
      <c r="L80" s="18">
        <f t="shared" si="9"/>
        <v>4.1333333333333284E-2</v>
      </c>
    </row>
    <row r="81" spans="1:12" x14ac:dyDescent="0.3">
      <c r="A81" s="16">
        <v>297</v>
      </c>
      <c r="B81" s="16">
        <v>219</v>
      </c>
      <c r="C81" s="16">
        <v>7.37</v>
      </c>
      <c r="D81" s="16">
        <v>7.24</v>
      </c>
      <c r="E81" s="16">
        <v>1.36</v>
      </c>
      <c r="F81" s="16">
        <v>18.55</v>
      </c>
      <c r="G81" s="16">
        <v>133.15</v>
      </c>
      <c r="H81" s="16">
        <v>1</v>
      </c>
      <c r="I81" s="16">
        <v>1</v>
      </c>
      <c r="J81" s="16">
        <v>1</v>
      </c>
      <c r="K81" s="17">
        <f>ABS(F81-20)</f>
        <v>1.4499999999999993</v>
      </c>
      <c r="L81" s="18">
        <f>K81/20</f>
        <v>7.2499999999999967E-2</v>
      </c>
    </row>
    <row r="82" spans="1:12" x14ac:dyDescent="0.3">
      <c r="A82" s="16">
        <v>289</v>
      </c>
      <c r="B82" s="16">
        <v>221</v>
      </c>
      <c r="C82" s="16">
        <v>7.17</v>
      </c>
      <c r="D82" s="16">
        <v>7.31</v>
      </c>
      <c r="E82" s="16">
        <v>1.31</v>
      </c>
      <c r="F82" s="16">
        <v>19.059999999999999</v>
      </c>
      <c r="G82" s="16">
        <v>132.28</v>
      </c>
      <c r="H82" s="16">
        <v>2</v>
      </c>
      <c r="I82" s="16">
        <v>1</v>
      </c>
      <c r="J82" s="16">
        <v>2</v>
      </c>
      <c r="K82" s="17">
        <f t="shared" ref="K82:K97" si="10">ABS(F82-20)</f>
        <v>0.94000000000000128</v>
      </c>
      <c r="L82" s="18">
        <f t="shared" ref="L82:L97" si="11">K82/20</f>
        <v>4.7000000000000063E-2</v>
      </c>
    </row>
    <row r="83" spans="1:12" x14ac:dyDescent="0.3">
      <c r="A83" s="16">
        <v>291</v>
      </c>
      <c r="B83" s="16">
        <v>218</v>
      </c>
      <c r="C83" s="16">
        <v>7.22</v>
      </c>
      <c r="D83" s="16">
        <v>7.21</v>
      </c>
      <c r="E83" s="16">
        <v>1.33</v>
      </c>
      <c r="F83" s="16">
        <v>18.93</v>
      </c>
      <c r="G83" s="16">
        <v>130.16</v>
      </c>
      <c r="H83" s="16">
        <v>2</v>
      </c>
      <c r="I83" s="16">
        <v>1</v>
      </c>
      <c r="J83" s="16">
        <v>1</v>
      </c>
      <c r="K83" s="17">
        <f t="shared" si="10"/>
        <v>1.0700000000000003</v>
      </c>
      <c r="L83" s="18">
        <f t="shared" si="11"/>
        <v>5.3500000000000013E-2</v>
      </c>
    </row>
    <row r="84" spans="1:12" x14ac:dyDescent="0.3">
      <c r="A84" s="16">
        <v>282</v>
      </c>
      <c r="B84" s="16">
        <v>215</v>
      </c>
      <c r="C84" s="16">
        <v>6.99</v>
      </c>
      <c r="D84" s="16">
        <v>7.11</v>
      </c>
      <c r="E84" s="16">
        <v>1.31</v>
      </c>
      <c r="F84" s="16">
        <v>19.53</v>
      </c>
      <c r="G84" s="16">
        <v>134.91999999999999</v>
      </c>
      <c r="H84" s="16">
        <v>3</v>
      </c>
      <c r="I84" s="16">
        <v>1</v>
      </c>
      <c r="J84" s="16">
        <v>2</v>
      </c>
      <c r="K84" s="17">
        <f t="shared" si="10"/>
        <v>0.46999999999999886</v>
      </c>
      <c r="L84" s="18">
        <f t="shared" si="11"/>
        <v>2.3499999999999945E-2</v>
      </c>
    </row>
    <row r="85" spans="1:12" x14ac:dyDescent="0.3">
      <c r="A85" s="16">
        <v>296</v>
      </c>
      <c r="B85" s="16">
        <v>218</v>
      </c>
      <c r="C85" s="16">
        <v>7.34</v>
      </c>
      <c r="D85" s="16">
        <v>7.21</v>
      </c>
      <c r="E85" s="16">
        <v>1.36</v>
      </c>
      <c r="F85" s="16">
        <v>18.61</v>
      </c>
      <c r="G85" s="16">
        <v>128.19</v>
      </c>
      <c r="H85" s="16">
        <v>2</v>
      </c>
      <c r="I85" s="16">
        <v>2</v>
      </c>
      <c r="J85" s="16">
        <v>1</v>
      </c>
      <c r="K85" s="17">
        <f t="shared" si="10"/>
        <v>1.3900000000000006</v>
      </c>
      <c r="L85" s="18">
        <f t="shared" si="11"/>
        <v>6.9500000000000034E-2</v>
      </c>
    </row>
    <row r="86" spans="1:12" x14ac:dyDescent="0.3">
      <c r="A86" s="16">
        <v>297</v>
      </c>
      <c r="B86" s="16">
        <v>221</v>
      </c>
      <c r="C86" s="16">
        <v>7.37</v>
      </c>
      <c r="D86" s="16">
        <v>7.31</v>
      </c>
      <c r="E86" s="16">
        <v>1.34</v>
      </c>
      <c r="F86" s="16">
        <v>18.55</v>
      </c>
      <c r="G86" s="16">
        <v>126.85</v>
      </c>
      <c r="H86" s="16">
        <v>2</v>
      </c>
      <c r="I86" s="16">
        <v>2</v>
      </c>
      <c r="J86" s="16">
        <v>1</v>
      </c>
      <c r="K86" s="17">
        <f t="shared" si="10"/>
        <v>1.4499999999999993</v>
      </c>
      <c r="L86" s="18">
        <f t="shared" si="11"/>
        <v>7.2499999999999967E-2</v>
      </c>
    </row>
    <row r="87" spans="1:12" x14ac:dyDescent="0.3">
      <c r="A87" s="16">
        <v>283</v>
      </c>
      <c r="B87" s="16">
        <v>210</v>
      </c>
      <c r="C87" s="16">
        <v>7.02</v>
      </c>
      <c r="D87" s="16">
        <v>6.94</v>
      </c>
      <c r="E87" s="16">
        <v>1.35</v>
      </c>
      <c r="F87" s="16">
        <v>19.46</v>
      </c>
      <c r="G87" s="16">
        <v>130.86000000000001</v>
      </c>
      <c r="H87" s="16">
        <v>3</v>
      </c>
      <c r="I87" s="16">
        <v>2</v>
      </c>
      <c r="J87" s="16">
        <v>2</v>
      </c>
      <c r="K87" s="17">
        <f t="shared" si="10"/>
        <v>0.53999999999999915</v>
      </c>
      <c r="L87" s="18">
        <f t="shared" si="11"/>
        <v>2.6999999999999958E-2</v>
      </c>
    </row>
    <row r="88" spans="1:12" x14ac:dyDescent="0.3">
      <c r="A88" s="16">
        <v>292</v>
      </c>
      <c r="B88" s="16">
        <v>219</v>
      </c>
      <c r="C88" s="16">
        <v>7.24</v>
      </c>
      <c r="D88" s="16">
        <v>7.24</v>
      </c>
      <c r="E88" s="16">
        <v>1.33</v>
      </c>
      <c r="F88" s="16">
        <v>18.86</v>
      </c>
      <c r="G88" s="16">
        <v>129.41</v>
      </c>
      <c r="H88" s="16">
        <v>2</v>
      </c>
      <c r="I88" s="16">
        <v>2</v>
      </c>
      <c r="J88" s="16">
        <v>1</v>
      </c>
      <c r="K88" s="17">
        <f t="shared" si="10"/>
        <v>1.1400000000000006</v>
      </c>
      <c r="L88" s="18">
        <f t="shared" si="11"/>
        <v>5.700000000000003E-2</v>
      </c>
    </row>
    <row r="89" spans="1:12" x14ac:dyDescent="0.3">
      <c r="A89" s="16">
        <v>286</v>
      </c>
      <c r="B89" s="16">
        <v>221</v>
      </c>
      <c r="C89" s="16">
        <v>7.09</v>
      </c>
      <c r="D89" s="16">
        <v>7.31</v>
      </c>
      <c r="E89" s="16">
        <v>1.29</v>
      </c>
      <c r="F89" s="16">
        <v>19.260000000000002</v>
      </c>
      <c r="G89" s="16">
        <v>129.59</v>
      </c>
      <c r="H89" s="16">
        <v>2</v>
      </c>
      <c r="I89" s="16">
        <v>2</v>
      </c>
      <c r="J89" s="16">
        <v>1</v>
      </c>
      <c r="K89" s="17">
        <f t="shared" si="10"/>
        <v>0.73999999999999844</v>
      </c>
      <c r="L89" s="18">
        <f t="shared" si="11"/>
        <v>3.6999999999999922E-2</v>
      </c>
    </row>
    <row r="90" spans="1:12" x14ac:dyDescent="0.3">
      <c r="A90" s="16">
        <v>290</v>
      </c>
      <c r="B90" s="16">
        <v>224</v>
      </c>
      <c r="C90" s="16">
        <v>7.19</v>
      </c>
      <c r="D90" s="16">
        <v>7.41</v>
      </c>
      <c r="E90" s="16">
        <v>1.29</v>
      </c>
      <c r="F90" s="16">
        <v>18.989999999999998</v>
      </c>
      <c r="G90" s="16">
        <v>131.66999999999999</v>
      </c>
      <c r="H90" s="16">
        <v>2</v>
      </c>
      <c r="I90" s="16">
        <v>3</v>
      </c>
      <c r="J90" s="16">
        <v>1</v>
      </c>
      <c r="K90" s="17">
        <f t="shared" si="10"/>
        <v>1.0100000000000016</v>
      </c>
      <c r="L90" s="18">
        <f t="shared" si="11"/>
        <v>5.050000000000008E-2</v>
      </c>
    </row>
    <row r="91" spans="1:12" x14ac:dyDescent="0.3">
      <c r="A91" s="16">
        <v>273</v>
      </c>
      <c r="B91" s="16">
        <v>215</v>
      </c>
      <c r="C91" s="16">
        <v>6.77</v>
      </c>
      <c r="D91" s="16">
        <v>7.11</v>
      </c>
      <c r="E91" s="16">
        <v>1.27</v>
      </c>
      <c r="F91" s="16">
        <v>20.18</v>
      </c>
      <c r="G91" s="16">
        <v>132.19999999999999</v>
      </c>
      <c r="H91" s="16">
        <v>3</v>
      </c>
      <c r="I91" s="16">
        <v>3</v>
      </c>
      <c r="J91" s="16">
        <v>2</v>
      </c>
      <c r="K91" s="17">
        <f t="shared" si="10"/>
        <v>0.17999999999999972</v>
      </c>
      <c r="L91" s="18">
        <f t="shared" si="11"/>
        <v>8.9999999999999854E-3</v>
      </c>
    </row>
    <row r="92" spans="1:12" x14ac:dyDescent="0.3">
      <c r="A92" s="16">
        <v>300</v>
      </c>
      <c r="B92" s="16">
        <v>226</v>
      </c>
      <c r="C92" s="16">
        <v>7.44</v>
      </c>
      <c r="D92" s="16">
        <v>7.47</v>
      </c>
      <c r="E92" s="16">
        <v>1.33</v>
      </c>
      <c r="F92" s="16">
        <v>18.36</v>
      </c>
      <c r="G92" s="16">
        <v>128.5</v>
      </c>
      <c r="H92" s="16">
        <v>3</v>
      </c>
      <c r="I92" s="16">
        <v>3</v>
      </c>
      <c r="J92" s="16">
        <v>1</v>
      </c>
      <c r="K92" s="17">
        <f t="shared" si="10"/>
        <v>1.6400000000000006</v>
      </c>
      <c r="L92" s="18">
        <f t="shared" si="11"/>
        <v>8.2000000000000031E-2</v>
      </c>
    </row>
    <row r="93" spans="1:12" x14ac:dyDescent="0.3">
      <c r="A93" s="16">
        <v>292</v>
      </c>
      <c r="B93" s="16">
        <v>219</v>
      </c>
      <c r="C93" s="16">
        <v>7.24</v>
      </c>
      <c r="D93" s="16">
        <v>7.24</v>
      </c>
      <c r="E93" s="16">
        <v>1.33</v>
      </c>
      <c r="F93" s="16">
        <v>18.86</v>
      </c>
      <c r="G93" s="16">
        <v>124.96</v>
      </c>
      <c r="H93" s="16">
        <v>2</v>
      </c>
      <c r="I93" s="16">
        <v>3</v>
      </c>
      <c r="J93" s="16">
        <v>1</v>
      </c>
      <c r="K93" s="17">
        <f t="shared" si="10"/>
        <v>1.1400000000000006</v>
      </c>
      <c r="L93" s="18">
        <f t="shared" si="11"/>
        <v>5.700000000000003E-2</v>
      </c>
    </row>
    <row r="94" spans="1:12" x14ac:dyDescent="0.3">
      <c r="A94" s="16">
        <v>286</v>
      </c>
      <c r="B94" s="16">
        <v>216</v>
      </c>
      <c r="C94" s="16">
        <v>7.09</v>
      </c>
      <c r="D94" s="16">
        <v>7.14</v>
      </c>
      <c r="E94" s="16">
        <v>1.32</v>
      </c>
      <c r="F94" s="16">
        <v>19.260000000000002</v>
      </c>
      <c r="G94" s="16">
        <v>125.37</v>
      </c>
      <c r="H94" s="16">
        <v>3</v>
      </c>
      <c r="I94" s="16">
        <v>3</v>
      </c>
      <c r="J94" s="16">
        <v>1</v>
      </c>
      <c r="K94" s="17">
        <f t="shared" si="10"/>
        <v>0.73999999999999844</v>
      </c>
      <c r="L94" s="18">
        <f t="shared" si="11"/>
        <v>3.6999999999999922E-2</v>
      </c>
    </row>
    <row r="95" spans="1:12" x14ac:dyDescent="0.3">
      <c r="A95" s="16">
        <v>281</v>
      </c>
      <c r="B95" s="16">
        <v>218</v>
      </c>
      <c r="C95" s="16">
        <v>6.97</v>
      </c>
      <c r="D95" s="16">
        <v>7.21</v>
      </c>
      <c r="E95" s="16">
        <v>1.29</v>
      </c>
      <c r="F95" s="16">
        <v>19.600000000000001</v>
      </c>
      <c r="G95" s="16">
        <v>48.94</v>
      </c>
      <c r="H95" s="16">
        <v>3</v>
      </c>
      <c r="I95" s="16">
        <v>4</v>
      </c>
      <c r="J95" s="16">
        <v>2</v>
      </c>
      <c r="K95" s="17">
        <f t="shared" si="10"/>
        <v>0.39999999999999858</v>
      </c>
      <c r="L95" s="18">
        <f t="shared" si="11"/>
        <v>1.9999999999999928E-2</v>
      </c>
    </row>
    <row r="96" spans="1:12" x14ac:dyDescent="0.3">
      <c r="A96" s="16">
        <v>284</v>
      </c>
      <c r="B96" s="16">
        <v>221</v>
      </c>
      <c r="C96" s="16">
        <v>7.04</v>
      </c>
      <c r="D96" s="16">
        <v>7.31</v>
      </c>
      <c r="E96" s="16">
        <v>1.29</v>
      </c>
      <c r="F96" s="16">
        <v>19.39</v>
      </c>
      <c r="G96" s="16">
        <v>50.51</v>
      </c>
      <c r="H96" s="16">
        <v>3</v>
      </c>
      <c r="I96" s="16">
        <v>4</v>
      </c>
      <c r="J96" s="16">
        <v>2</v>
      </c>
      <c r="K96" s="17">
        <f t="shared" si="10"/>
        <v>0.60999999999999943</v>
      </c>
      <c r="L96" s="18">
        <f t="shared" si="11"/>
        <v>3.0499999999999972E-2</v>
      </c>
    </row>
    <row r="97" spans="1:12" x14ac:dyDescent="0.3">
      <c r="A97" s="16">
        <v>281</v>
      </c>
      <c r="B97" s="16">
        <v>221</v>
      </c>
      <c r="C97" s="16">
        <v>6.97</v>
      </c>
      <c r="D97" s="16">
        <v>7.31</v>
      </c>
      <c r="E97" s="16">
        <v>1.27</v>
      </c>
      <c r="F97" s="16">
        <v>19.600000000000001</v>
      </c>
      <c r="G97" s="16">
        <v>46.2</v>
      </c>
      <c r="H97" s="16">
        <v>3</v>
      </c>
      <c r="I97" s="16">
        <v>4</v>
      </c>
      <c r="J97" s="16">
        <v>3</v>
      </c>
      <c r="K97" s="17">
        <f t="shared" si="10"/>
        <v>0.39999999999999858</v>
      </c>
      <c r="L97" s="18">
        <f t="shared" si="11"/>
        <v>1.9999999999999928E-2</v>
      </c>
    </row>
  </sheetData>
  <autoFilter ref="A1:L1" xr:uid="{730FB1C3-2082-459D-8527-63FB782A69D4}"/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Equation.3" shapeId="1025" r:id="rId3">
          <objectPr defaultSize="0" autoPict="0" r:id="rId4">
            <anchor moveWithCells="1" sizeWithCells="1">
              <from>
                <xdr:col>25</xdr:col>
                <xdr:colOff>579120</xdr:colOff>
                <xdr:row>0</xdr:row>
                <xdr:rowOff>0</xdr:rowOff>
              </from>
              <to>
                <xdr:col>30</xdr:col>
                <xdr:colOff>426720</xdr:colOff>
                <xdr:row>6</xdr:row>
                <xdr:rowOff>106680</xdr:rowOff>
              </to>
            </anchor>
          </objectPr>
        </oleObject>
      </mc:Choice>
      <mc:Fallback>
        <oleObject progId="Equation.3" shapeId="1025" r:id="rId3"/>
      </mc:Fallback>
    </mc:AlternateContent>
    <mc:AlternateContent xmlns:mc="http://schemas.openxmlformats.org/markup-compatibility/2006">
      <mc:Choice Requires="x14">
        <oleObject progId="Equation.3" shapeId="1026" r:id="rId5">
          <objectPr defaultSize="0" autoPict="0" r:id="rId6">
            <anchor moveWithCells="1" sizeWithCells="1">
              <from>
                <xdr:col>31</xdr:col>
                <xdr:colOff>60960</xdr:colOff>
                <xdr:row>0</xdr:row>
                <xdr:rowOff>114300</xdr:rowOff>
              </from>
              <to>
                <xdr:col>35</xdr:col>
                <xdr:colOff>114300</xdr:colOff>
                <xdr:row>5</xdr:row>
                <xdr:rowOff>144780</xdr:rowOff>
              </to>
            </anchor>
          </objectPr>
        </oleObject>
      </mc:Choice>
      <mc:Fallback>
        <oleObject progId="Equation.3" shapeId="1026" r:id="rId5"/>
      </mc:Fallback>
    </mc:AlternateContent>
  </oleObjec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EE3E7-4718-4335-879D-DAAC52C353F0}">
  <dimension ref="A1:Z99"/>
  <sheetViews>
    <sheetView topLeftCell="M1" zoomScale="77" zoomScaleNormal="55" workbookViewId="0">
      <selection activeCell="J20" sqref="J20:O24"/>
    </sheetView>
  </sheetViews>
  <sheetFormatPr defaultRowHeight="14.4" x14ac:dyDescent="0.3"/>
  <cols>
    <col min="3" max="7" width="9" bestFit="1" customWidth="1"/>
    <col min="10" max="10" width="25.109375" bestFit="1" customWidth="1"/>
    <col min="11" max="11" width="15.6640625" bestFit="1" customWidth="1"/>
    <col min="12" max="12" width="21" bestFit="1" customWidth="1"/>
    <col min="13" max="13" width="15.109375" bestFit="1" customWidth="1"/>
    <col min="14" max="14" width="13.44140625" bestFit="1" customWidth="1"/>
    <col min="15" max="15" width="14.6640625" bestFit="1" customWidth="1"/>
    <col min="16" max="16" width="15.109375" bestFit="1" customWidth="1"/>
    <col min="17" max="17" width="16.21875" bestFit="1" customWidth="1"/>
    <col min="20" max="20" width="16.109375" bestFit="1" customWidth="1"/>
    <col min="21" max="21" width="24" bestFit="1" customWidth="1"/>
    <col min="22" max="22" width="13" bestFit="1" customWidth="1"/>
    <col min="23" max="23" width="24" bestFit="1" customWidth="1"/>
    <col min="25" max="25" width="20.88671875" bestFit="1" customWidth="1"/>
    <col min="26" max="26" width="10" bestFit="1" customWidth="1"/>
  </cols>
  <sheetData>
    <row r="1" spans="1:26" ht="15" thickBot="1" x14ac:dyDescent="0.35">
      <c r="A1" s="14" t="s">
        <v>3762</v>
      </c>
      <c r="B1" s="14" t="s">
        <v>3763</v>
      </c>
      <c r="C1" s="14" t="s">
        <v>3764</v>
      </c>
      <c r="D1" s="14" t="s">
        <v>3765</v>
      </c>
      <c r="E1" s="14" t="s">
        <v>3766</v>
      </c>
      <c r="F1" s="14" t="s">
        <v>3767</v>
      </c>
      <c r="G1" s="14" t="s">
        <v>3760</v>
      </c>
      <c r="H1" s="19" t="s">
        <v>3761</v>
      </c>
      <c r="J1" s="35"/>
      <c r="K1" s="35" t="s">
        <v>3762</v>
      </c>
      <c r="L1" s="35" t="s">
        <v>3763</v>
      </c>
      <c r="M1" s="35" t="s">
        <v>3764</v>
      </c>
      <c r="N1" s="35" t="s">
        <v>3765</v>
      </c>
      <c r="O1" s="35" t="s">
        <v>3766</v>
      </c>
      <c r="P1" s="35" t="s">
        <v>3767</v>
      </c>
      <c r="Q1" s="35" t="s">
        <v>3760</v>
      </c>
      <c r="R1" s="35" t="s">
        <v>3761</v>
      </c>
      <c r="T1" t="s">
        <v>3812</v>
      </c>
      <c r="Y1" t="s">
        <v>3817</v>
      </c>
    </row>
    <row r="2" spans="1:26" ht="15" thickBot="1" x14ac:dyDescent="0.35">
      <c r="A2" s="16">
        <v>548</v>
      </c>
      <c r="B2" s="16">
        <v>392</v>
      </c>
      <c r="C2" s="16">
        <v>13.59</v>
      </c>
      <c r="D2" s="16">
        <v>12.96</v>
      </c>
      <c r="E2" s="16">
        <v>1.4</v>
      </c>
      <c r="F2" s="16">
        <v>10.050000000000001</v>
      </c>
      <c r="G2" s="16">
        <v>2</v>
      </c>
      <c r="H2" s="20">
        <f>ABS(F2-10)</f>
        <v>5.0000000000000711E-2</v>
      </c>
      <c r="J2" s="34" t="s">
        <v>3762</v>
      </c>
      <c r="K2" s="33">
        <v>1</v>
      </c>
      <c r="L2" s="34"/>
      <c r="M2" s="34"/>
      <c r="N2" s="34"/>
      <c r="O2" s="34"/>
      <c r="P2" s="34"/>
      <c r="Q2" s="34"/>
      <c r="R2" s="34"/>
    </row>
    <row r="3" spans="1:26" x14ac:dyDescent="0.3">
      <c r="A3" s="16">
        <v>557</v>
      </c>
      <c r="B3" s="16">
        <v>391</v>
      </c>
      <c r="C3" s="16">
        <v>13.81</v>
      </c>
      <c r="D3" s="16">
        <v>12.93</v>
      </c>
      <c r="E3" s="16">
        <v>1.42</v>
      </c>
      <c r="F3" s="16">
        <v>9.89</v>
      </c>
      <c r="G3" s="16">
        <v>2</v>
      </c>
      <c r="H3" s="20">
        <f t="shared" ref="H3:H19" si="0">ABS(F3-10)</f>
        <v>0.10999999999999943</v>
      </c>
      <c r="J3" s="24" t="s">
        <v>3763</v>
      </c>
      <c r="K3" s="23">
        <v>0.99393472444749442</v>
      </c>
      <c r="L3" s="27">
        <v>1</v>
      </c>
      <c r="M3" s="22"/>
      <c r="N3" s="22"/>
      <c r="O3" s="22"/>
      <c r="P3" s="22"/>
      <c r="Q3" s="22"/>
      <c r="R3" s="22"/>
      <c r="T3" s="10" t="s">
        <v>3813</v>
      </c>
      <c r="U3" s="10" t="s">
        <v>3814</v>
      </c>
      <c r="V3" s="10" t="s">
        <v>3815</v>
      </c>
      <c r="W3" s="10" t="s">
        <v>3816</v>
      </c>
      <c r="Y3" s="10" t="s">
        <v>3818</v>
      </c>
      <c r="Z3" s="10" t="s">
        <v>3761</v>
      </c>
    </row>
    <row r="4" spans="1:26" x14ac:dyDescent="0.3">
      <c r="A4" s="16">
        <v>558</v>
      </c>
      <c r="B4" s="16">
        <v>386</v>
      </c>
      <c r="C4" s="16">
        <v>13.84</v>
      </c>
      <c r="D4" s="16">
        <v>12.76</v>
      </c>
      <c r="E4" s="16">
        <v>1.45</v>
      </c>
      <c r="F4" s="16">
        <v>9.8699999999999992</v>
      </c>
      <c r="G4" s="16">
        <v>2</v>
      </c>
      <c r="H4" s="20">
        <f t="shared" si="0"/>
        <v>0.13000000000000078</v>
      </c>
      <c r="J4" s="24" t="s">
        <v>3764</v>
      </c>
      <c r="K4" s="23">
        <v>0.9999994953064143</v>
      </c>
      <c r="L4" s="23">
        <v>0.99394929376311791</v>
      </c>
      <c r="M4" s="27">
        <v>1</v>
      </c>
      <c r="N4" s="22"/>
      <c r="O4" s="22"/>
      <c r="P4" s="22"/>
      <c r="Q4" s="22"/>
      <c r="R4" s="22"/>
      <c r="T4" s="22">
        <v>1</v>
      </c>
      <c r="U4" s="22">
        <v>6.0415606633367758E-2</v>
      </c>
      <c r="V4" s="22">
        <v>-1.0415606633367047E-2</v>
      </c>
      <c r="W4" s="22">
        <v>-3.5217040639789865E-2</v>
      </c>
      <c r="Y4" s="22">
        <v>0.52083333333333337</v>
      </c>
      <c r="Z4" s="22">
        <v>0</v>
      </c>
    </row>
    <row r="5" spans="1:26" x14ac:dyDescent="0.3">
      <c r="A5" s="16">
        <v>567</v>
      </c>
      <c r="B5" s="16">
        <v>392</v>
      </c>
      <c r="C5" s="16">
        <v>14.06</v>
      </c>
      <c r="D5" s="16">
        <v>12.96</v>
      </c>
      <c r="E5" s="16">
        <v>1.45</v>
      </c>
      <c r="F5" s="16">
        <v>9.7100000000000009</v>
      </c>
      <c r="G5" s="16">
        <v>2</v>
      </c>
      <c r="H5" s="20">
        <f t="shared" si="0"/>
        <v>0.28999999999999915</v>
      </c>
      <c r="J5" s="24" t="s">
        <v>3765</v>
      </c>
      <c r="K5" s="23">
        <v>0.99392333993638848</v>
      </c>
      <c r="L5" s="23">
        <v>0.99999948202593014</v>
      </c>
      <c r="M5" s="23">
        <v>0.99393792580703411</v>
      </c>
      <c r="N5" s="27">
        <v>1</v>
      </c>
      <c r="O5" s="22"/>
      <c r="P5" s="22"/>
      <c r="Q5" s="22"/>
      <c r="R5" s="22"/>
      <c r="T5" s="22">
        <v>2</v>
      </c>
      <c r="U5" s="22">
        <v>9.4455532501372896E-2</v>
      </c>
      <c r="V5" s="22">
        <v>1.5544467498626535E-2</v>
      </c>
      <c r="W5" s="22">
        <v>5.2558642323270614E-2</v>
      </c>
      <c r="Y5" s="22">
        <v>1.5625</v>
      </c>
      <c r="Z5" s="22">
        <v>0</v>
      </c>
    </row>
    <row r="6" spans="1:26" x14ac:dyDescent="0.3">
      <c r="A6" s="16">
        <v>542</v>
      </c>
      <c r="B6" s="16">
        <v>385</v>
      </c>
      <c r="C6" s="16">
        <v>13.44</v>
      </c>
      <c r="D6" s="16">
        <v>12.73</v>
      </c>
      <c r="E6" s="16">
        <v>1.41</v>
      </c>
      <c r="F6" s="16">
        <v>10.16</v>
      </c>
      <c r="G6" s="16">
        <v>1</v>
      </c>
      <c r="H6" s="20">
        <f t="shared" si="0"/>
        <v>0.16000000000000014</v>
      </c>
      <c r="J6" s="22" t="s">
        <v>3766</v>
      </c>
      <c r="K6" s="22">
        <v>0.52650032238304967</v>
      </c>
      <c r="L6" s="22">
        <v>0.43328526084316321</v>
      </c>
      <c r="M6" s="22">
        <v>0.52644099718249449</v>
      </c>
      <c r="N6" s="22">
        <v>0.43314829228628804</v>
      </c>
      <c r="O6" s="27">
        <v>1</v>
      </c>
      <c r="P6" s="22"/>
      <c r="Q6" s="22"/>
      <c r="R6" s="22"/>
      <c r="T6" s="22">
        <v>3</v>
      </c>
      <c r="U6" s="22">
        <v>-2.0983119006827866E-2</v>
      </c>
      <c r="V6" s="22">
        <v>0.15098311900682865</v>
      </c>
      <c r="W6" s="22">
        <v>0.51050109947046196</v>
      </c>
      <c r="Y6" s="22">
        <v>2.604166666666667</v>
      </c>
      <c r="Z6" s="22">
        <v>9.9999999999997868E-3</v>
      </c>
    </row>
    <row r="7" spans="1:26" x14ac:dyDescent="0.3">
      <c r="A7" s="16">
        <v>555</v>
      </c>
      <c r="B7" s="16">
        <v>407</v>
      </c>
      <c r="C7" s="16">
        <v>13.76</v>
      </c>
      <c r="D7" s="16">
        <v>13.46</v>
      </c>
      <c r="E7" s="16">
        <v>1.36</v>
      </c>
      <c r="F7" s="16">
        <v>9.92</v>
      </c>
      <c r="G7" s="16">
        <v>1</v>
      </c>
      <c r="H7" s="20">
        <f t="shared" si="0"/>
        <v>8.0000000000000071E-2</v>
      </c>
      <c r="J7" s="24" t="s">
        <v>3767</v>
      </c>
      <c r="K7" s="23">
        <v>-0.98032628470558225</v>
      </c>
      <c r="L7" s="23">
        <v>-0.97776573652648735</v>
      </c>
      <c r="M7" s="23">
        <v>-0.98037672824712607</v>
      </c>
      <c r="N7" s="23">
        <v>-0.97773215736896579</v>
      </c>
      <c r="O7" s="22">
        <v>-0.51058752868950286</v>
      </c>
      <c r="P7" s="27">
        <v>1</v>
      </c>
      <c r="Q7" s="22"/>
      <c r="R7" s="22"/>
      <c r="T7" s="22">
        <v>4</v>
      </c>
      <c r="U7" s="22">
        <v>-4.502542292430356E-3</v>
      </c>
      <c r="V7" s="22">
        <v>0.2945025422924295</v>
      </c>
      <c r="W7" s="22">
        <v>0.99576610038326041</v>
      </c>
      <c r="Y7" s="22">
        <v>3.6458333333333335</v>
      </c>
      <c r="Z7" s="22">
        <v>9.9999999999997868E-3</v>
      </c>
    </row>
    <row r="8" spans="1:26" x14ac:dyDescent="0.3">
      <c r="A8" s="16">
        <v>559</v>
      </c>
      <c r="B8" s="16">
        <v>400</v>
      </c>
      <c r="C8" s="16">
        <v>13.86</v>
      </c>
      <c r="D8" s="16">
        <v>13.23</v>
      </c>
      <c r="E8" s="16">
        <v>1.4</v>
      </c>
      <c r="F8" s="16">
        <v>9.85</v>
      </c>
      <c r="G8" s="16">
        <v>1</v>
      </c>
      <c r="H8" s="20">
        <f t="shared" si="0"/>
        <v>0.15000000000000036</v>
      </c>
      <c r="J8" s="22" t="s">
        <v>3760</v>
      </c>
      <c r="K8" s="22">
        <v>2.6699335720462247E-2</v>
      </c>
      <c r="L8" s="22">
        <v>3.3109222002814825E-2</v>
      </c>
      <c r="M8" s="22">
        <v>2.6724433552066055E-2</v>
      </c>
      <c r="N8" s="22">
        <v>3.3114935912065081E-2</v>
      </c>
      <c r="O8" s="22">
        <v>-3.4033363831841877E-2</v>
      </c>
      <c r="P8" s="22">
        <v>-2.9318180773416479E-2</v>
      </c>
      <c r="Q8" s="27">
        <v>1</v>
      </c>
      <c r="R8" s="22"/>
      <c r="T8" s="22">
        <v>5</v>
      </c>
      <c r="U8" s="22">
        <v>0.26016650898953542</v>
      </c>
      <c r="V8" s="22">
        <v>-0.10016650898953527</v>
      </c>
      <c r="W8" s="22">
        <v>-0.33868099497244414</v>
      </c>
      <c r="Y8" s="22">
        <v>4.6875</v>
      </c>
      <c r="Z8" s="22">
        <v>2.9999999999999361E-2</v>
      </c>
    </row>
    <row r="9" spans="1:26" x14ac:dyDescent="0.3">
      <c r="A9" s="16">
        <v>558</v>
      </c>
      <c r="B9" s="16">
        <v>392</v>
      </c>
      <c r="C9" s="16">
        <v>13.84</v>
      </c>
      <c r="D9" s="16">
        <v>12.96</v>
      </c>
      <c r="E9" s="16">
        <v>1.42</v>
      </c>
      <c r="F9" s="16">
        <v>9.8699999999999992</v>
      </c>
      <c r="G9" s="16">
        <v>3</v>
      </c>
      <c r="H9" s="20">
        <f t="shared" si="0"/>
        <v>0.13000000000000078</v>
      </c>
      <c r="J9" s="22" t="s">
        <v>3761</v>
      </c>
      <c r="K9" s="22">
        <v>-0.57752718304118433</v>
      </c>
      <c r="L9" s="22">
        <v>-0.55277716978962843</v>
      </c>
      <c r="M9" s="22">
        <v>-0.57759818982193445</v>
      </c>
      <c r="N9" s="22">
        <v>-0.5527333505141</v>
      </c>
      <c r="O9" s="22">
        <v>-0.50888421490025293</v>
      </c>
      <c r="P9" s="22">
        <v>0.57262401350373349</v>
      </c>
      <c r="Q9" s="22">
        <v>-0.29801766087073095</v>
      </c>
      <c r="R9" s="27">
        <v>1</v>
      </c>
      <c r="T9" s="22">
        <v>6</v>
      </c>
      <c r="U9" s="22">
        <v>0.31722824844201536</v>
      </c>
      <c r="V9" s="22">
        <v>-0.23722824844201529</v>
      </c>
      <c r="W9" s="22">
        <v>-0.80211140458439845</v>
      </c>
      <c r="Y9" s="22">
        <v>5.729166666666667</v>
      </c>
      <c r="Z9" s="22">
        <v>3.9999999999999147E-2</v>
      </c>
    </row>
    <row r="10" spans="1:26" x14ac:dyDescent="0.3">
      <c r="A10" s="16">
        <v>551</v>
      </c>
      <c r="B10" s="16">
        <v>399</v>
      </c>
      <c r="C10" s="16">
        <v>13.67</v>
      </c>
      <c r="D10" s="16">
        <v>13.19</v>
      </c>
      <c r="E10" s="16">
        <v>1.38</v>
      </c>
      <c r="F10" s="16">
        <v>10</v>
      </c>
      <c r="G10" s="16">
        <v>1</v>
      </c>
      <c r="H10" s="20">
        <f t="shared" si="0"/>
        <v>0</v>
      </c>
      <c r="T10" s="22">
        <v>7</v>
      </c>
      <c r="U10" s="22">
        <v>0.23767030838555489</v>
      </c>
      <c r="V10" s="22">
        <v>-8.7670308385554535E-2</v>
      </c>
      <c r="W10" s="22">
        <v>-0.29642909165041054</v>
      </c>
      <c r="Y10" s="22">
        <v>6.770833333333333</v>
      </c>
      <c r="Z10" s="22">
        <v>5.0000000000000711E-2</v>
      </c>
    </row>
    <row r="11" spans="1:26" x14ac:dyDescent="0.3">
      <c r="A11" s="16">
        <v>558</v>
      </c>
      <c r="B11" s="16">
        <v>400</v>
      </c>
      <c r="C11" s="16">
        <v>13.84</v>
      </c>
      <c r="D11" s="16">
        <v>13.23</v>
      </c>
      <c r="E11" s="16">
        <v>1.4</v>
      </c>
      <c r="F11" s="16">
        <v>9.8699999999999992</v>
      </c>
      <c r="G11" s="16">
        <v>1</v>
      </c>
      <c r="H11" s="20">
        <f t="shared" si="0"/>
        <v>0.13000000000000078</v>
      </c>
      <c r="J11" t="s">
        <v>3788</v>
      </c>
      <c r="T11" s="22">
        <v>8</v>
      </c>
      <c r="U11" s="22">
        <v>-0.1394988312099803</v>
      </c>
      <c r="V11" s="22">
        <v>0.26949883120998108</v>
      </c>
      <c r="W11" s="22">
        <v>0.91122405301798914</v>
      </c>
      <c r="Y11" s="22">
        <v>7.8125</v>
      </c>
      <c r="Z11" s="22">
        <v>5.0000000000000711E-2</v>
      </c>
    </row>
    <row r="12" spans="1:26" ht="15" thickBot="1" x14ac:dyDescent="0.35">
      <c r="A12" s="16">
        <v>551</v>
      </c>
      <c r="B12" s="16">
        <v>417</v>
      </c>
      <c r="C12" s="16">
        <v>13.67</v>
      </c>
      <c r="D12" s="16">
        <v>13.79</v>
      </c>
      <c r="E12" s="16">
        <v>1.32</v>
      </c>
      <c r="F12" s="16">
        <v>10</v>
      </c>
      <c r="G12" s="16">
        <v>1</v>
      </c>
      <c r="H12" s="20">
        <f t="shared" si="0"/>
        <v>0</v>
      </c>
      <c r="T12" s="22">
        <v>9</v>
      </c>
      <c r="U12" s="22">
        <v>0.24551589988205033</v>
      </c>
      <c r="V12" s="22">
        <v>-0.24551589988205033</v>
      </c>
      <c r="W12" s="22">
        <v>-0.83013344572380876</v>
      </c>
      <c r="Y12" s="22">
        <v>8.8541666666666679</v>
      </c>
      <c r="Z12" s="22">
        <v>5.0000000000000711E-2</v>
      </c>
    </row>
    <row r="13" spans="1:26" x14ac:dyDescent="0.3">
      <c r="A13" s="16">
        <v>555</v>
      </c>
      <c r="B13" s="16">
        <v>403</v>
      </c>
      <c r="C13" s="16">
        <v>13.76</v>
      </c>
      <c r="D13" s="16">
        <v>13.33</v>
      </c>
      <c r="E13" s="16">
        <v>1.38</v>
      </c>
      <c r="F13" s="16">
        <v>9.92</v>
      </c>
      <c r="G13" s="16">
        <v>1</v>
      </c>
      <c r="H13" s="20">
        <f t="shared" si="0"/>
        <v>8.0000000000000071E-2</v>
      </c>
      <c r="J13" s="13" t="s">
        <v>3789</v>
      </c>
      <c r="K13" s="13"/>
      <c r="T13" s="22">
        <v>10</v>
      </c>
      <c r="U13" s="22">
        <v>0.18324613823826871</v>
      </c>
      <c r="V13" s="22">
        <v>-5.3246138238267932E-2</v>
      </c>
      <c r="W13" s="22">
        <v>-0.18003477668230308</v>
      </c>
      <c r="Y13" s="22">
        <v>9.8958333333333339</v>
      </c>
      <c r="Z13" s="22">
        <v>6.0000000000000497E-2</v>
      </c>
    </row>
    <row r="14" spans="1:26" x14ac:dyDescent="0.3">
      <c r="A14" s="16">
        <v>563</v>
      </c>
      <c r="B14" s="16">
        <v>400</v>
      </c>
      <c r="C14" s="16">
        <v>13.96</v>
      </c>
      <c r="D14" s="16">
        <v>13.23</v>
      </c>
      <c r="E14" s="16">
        <v>1.41</v>
      </c>
      <c r="F14" s="16">
        <v>9.7799999999999994</v>
      </c>
      <c r="G14" s="16">
        <v>1</v>
      </c>
      <c r="H14" s="20">
        <f t="shared" si="0"/>
        <v>0.22000000000000064</v>
      </c>
      <c r="J14" s="22" t="s">
        <v>3790</v>
      </c>
      <c r="K14" s="25">
        <v>0.7091098904202281</v>
      </c>
      <c r="T14" s="22">
        <v>11</v>
      </c>
      <c r="U14" s="22">
        <v>0.23802242742812349</v>
      </c>
      <c r="V14" s="22">
        <v>-0.23802242742812349</v>
      </c>
      <c r="W14" s="22">
        <v>-0.80479666667364058</v>
      </c>
      <c r="Y14" s="22">
        <v>10.937500000000002</v>
      </c>
      <c r="Z14" s="22">
        <v>6.0000000000000497E-2</v>
      </c>
    </row>
    <row r="15" spans="1:26" x14ac:dyDescent="0.3">
      <c r="A15" s="16">
        <v>555</v>
      </c>
      <c r="B15" s="16">
        <v>404</v>
      </c>
      <c r="C15" s="16">
        <v>13.76</v>
      </c>
      <c r="D15" s="16">
        <v>13.36</v>
      </c>
      <c r="E15" s="16">
        <v>1.37</v>
      </c>
      <c r="F15" s="16">
        <v>9.92</v>
      </c>
      <c r="G15" s="16">
        <v>1</v>
      </c>
      <c r="H15" s="20">
        <f t="shared" si="0"/>
        <v>8.0000000000000071E-2</v>
      </c>
      <c r="J15" s="22" t="s">
        <v>3791</v>
      </c>
      <c r="K15" s="25">
        <v>0.50283683669178791</v>
      </c>
      <c r="T15" s="22">
        <v>12</v>
      </c>
      <c r="U15" s="22">
        <v>0.25414428095069208</v>
      </c>
      <c r="V15" s="22">
        <v>-0.17414428095069201</v>
      </c>
      <c r="W15" s="22">
        <v>-0.5888131565741499</v>
      </c>
      <c r="Y15" s="22">
        <v>11.979166666666668</v>
      </c>
      <c r="Z15" s="22">
        <v>7.0000000000000284E-2</v>
      </c>
    </row>
    <row r="16" spans="1:26" x14ac:dyDescent="0.3">
      <c r="A16" s="16">
        <v>559</v>
      </c>
      <c r="B16" s="16">
        <v>394</v>
      </c>
      <c r="C16" s="16">
        <v>13.86</v>
      </c>
      <c r="D16" s="16">
        <v>13.03</v>
      </c>
      <c r="E16" s="16">
        <v>1.42</v>
      </c>
      <c r="F16" s="16">
        <v>9.85</v>
      </c>
      <c r="G16" s="16">
        <v>1</v>
      </c>
      <c r="H16" s="20">
        <f t="shared" si="0"/>
        <v>0.15000000000000036</v>
      </c>
      <c r="J16" s="22" t="s">
        <v>3792</v>
      </c>
      <c r="K16" s="26">
        <v>0.46328976688318019</v>
      </c>
      <c r="T16" s="22">
        <v>13</v>
      </c>
      <c r="U16" s="22">
        <v>0.21994742374478812</v>
      </c>
      <c r="V16" s="22">
        <v>5.257625521251641E-5</v>
      </c>
      <c r="W16" s="22">
        <v>1.7776978160595098E-4</v>
      </c>
      <c r="Y16" s="22">
        <v>13.020833333333334</v>
      </c>
      <c r="Z16" s="22">
        <v>7.0000000000000284E-2</v>
      </c>
    </row>
    <row r="17" spans="1:26" x14ac:dyDescent="0.3">
      <c r="A17" s="16">
        <v>558</v>
      </c>
      <c r="B17" s="16">
        <v>400</v>
      </c>
      <c r="C17" s="16">
        <v>13.84</v>
      </c>
      <c r="D17" s="16">
        <v>13.23</v>
      </c>
      <c r="E17" s="16">
        <v>1.4</v>
      </c>
      <c r="F17" s="16">
        <v>9.8699999999999992</v>
      </c>
      <c r="G17" s="16">
        <v>2</v>
      </c>
      <c r="H17" s="20">
        <f t="shared" si="0"/>
        <v>0.13000000000000078</v>
      </c>
      <c r="J17" s="22" t="s">
        <v>3793</v>
      </c>
      <c r="K17" s="26">
        <v>0.30729265346677387</v>
      </c>
      <c r="T17" s="22">
        <v>14</v>
      </c>
      <c r="U17" s="22">
        <v>0.31847716051770358</v>
      </c>
      <c r="V17" s="22">
        <v>-0.23847716051770351</v>
      </c>
      <c r="W17" s="22">
        <v>-0.8063342010928739</v>
      </c>
      <c r="Y17" s="22">
        <v>14.062500000000002</v>
      </c>
      <c r="Z17" s="22">
        <v>8.0000000000000071E-2</v>
      </c>
    </row>
    <row r="18" spans="1:26" x14ac:dyDescent="0.3">
      <c r="A18" s="16">
        <v>553</v>
      </c>
      <c r="B18" s="16">
        <v>418</v>
      </c>
      <c r="C18" s="16">
        <v>13.72</v>
      </c>
      <c r="D18" s="16">
        <v>13.82</v>
      </c>
      <c r="E18" s="16">
        <v>1.32</v>
      </c>
      <c r="F18" s="16">
        <v>9.9600000000000009</v>
      </c>
      <c r="G18" s="16">
        <v>2</v>
      </c>
      <c r="H18" s="20">
        <f t="shared" si="0"/>
        <v>3.9999999999999147E-2</v>
      </c>
      <c r="J18" s="22" t="s">
        <v>3794</v>
      </c>
      <c r="K18" s="22">
        <v>96</v>
      </c>
      <c r="T18" s="22">
        <v>15</v>
      </c>
      <c r="U18" s="22">
        <v>0.2401681325368816</v>
      </c>
      <c r="V18" s="22">
        <v>-9.0168132536881246E-2</v>
      </c>
      <c r="W18" s="22">
        <v>-0.30487468466719336</v>
      </c>
      <c r="Y18" s="22">
        <v>15.104166666666668</v>
      </c>
      <c r="Z18" s="22">
        <v>8.0000000000000071E-2</v>
      </c>
    </row>
    <row r="19" spans="1:26" x14ac:dyDescent="0.3">
      <c r="A19" s="16">
        <v>556</v>
      </c>
      <c r="B19" s="16">
        <v>415</v>
      </c>
      <c r="C19" s="16">
        <v>13.79</v>
      </c>
      <c r="D19" s="16">
        <v>13.72</v>
      </c>
      <c r="E19" s="16">
        <v>1.34</v>
      </c>
      <c r="F19" s="16">
        <v>9.91</v>
      </c>
      <c r="G19" s="16">
        <v>2</v>
      </c>
      <c r="H19" s="20">
        <f t="shared" si="0"/>
        <v>8.9999999999999858E-2</v>
      </c>
      <c r="T19" s="22">
        <v>16</v>
      </c>
      <c r="U19" s="22">
        <v>-1.2166154382822814E-2</v>
      </c>
      <c r="V19" s="22">
        <v>0.1421661543828236</v>
      </c>
      <c r="W19" s="22">
        <v>0.48068935518967798</v>
      </c>
      <c r="Y19" s="22">
        <v>16.145833333333336</v>
      </c>
      <c r="Z19" s="22">
        <v>8.0000000000000071E-2</v>
      </c>
    </row>
    <row r="20" spans="1:26" ht="15" thickBot="1" x14ac:dyDescent="0.35">
      <c r="A20" s="16">
        <v>367</v>
      </c>
      <c r="B20" s="16">
        <v>250</v>
      </c>
      <c r="C20" s="16">
        <v>9.1</v>
      </c>
      <c r="D20" s="16">
        <v>8.27</v>
      </c>
      <c r="E20" s="16">
        <v>1.47</v>
      </c>
      <c r="F20" s="16">
        <v>15.01</v>
      </c>
      <c r="G20" s="16">
        <v>2</v>
      </c>
      <c r="H20" s="20">
        <f>ABS(F20-15)</f>
        <v>9.9999999999997868E-3</v>
      </c>
      <c r="J20" t="s">
        <v>3795</v>
      </c>
      <c r="T20" s="22">
        <v>17</v>
      </c>
      <c r="U20" s="22">
        <v>5.8492233864091914E-2</v>
      </c>
      <c r="V20" s="22">
        <v>-1.8492233864092766E-2</v>
      </c>
      <c r="W20" s="22">
        <v>-6.2525570947155371E-2</v>
      </c>
      <c r="Y20" s="22">
        <v>17.1875</v>
      </c>
      <c r="Z20" s="22">
        <v>8.0000000000000071E-2</v>
      </c>
    </row>
    <row r="21" spans="1:26" x14ac:dyDescent="0.3">
      <c r="A21" s="16">
        <v>369</v>
      </c>
      <c r="B21" s="16">
        <v>264</v>
      </c>
      <c r="C21" s="16">
        <v>9.15</v>
      </c>
      <c r="D21" s="16">
        <v>8.73</v>
      </c>
      <c r="E21" s="16">
        <v>1.4</v>
      </c>
      <c r="F21" s="16">
        <v>14.93</v>
      </c>
      <c r="G21" s="16">
        <v>2</v>
      </c>
      <c r="H21" s="20">
        <f t="shared" ref="H21:H36" si="1">ABS(F21-15)</f>
        <v>7.0000000000000284E-2</v>
      </c>
      <c r="J21" s="10"/>
      <c r="K21" s="10" t="s">
        <v>3800</v>
      </c>
      <c r="L21" s="10" t="s">
        <v>3801</v>
      </c>
      <c r="M21" s="10" t="s">
        <v>3802</v>
      </c>
      <c r="N21" s="10" t="s">
        <v>3803</v>
      </c>
      <c r="O21" s="10" t="s">
        <v>3804</v>
      </c>
      <c r="T21" s="22">
        <v>18</v>
      </c>
      <c r="U21" s="22">
        <v>6.5498807386935476E-2</v>
      </c>
      <c r="V21" s="22">
        <v>2.4501192613064382E-2</v>
      </c>
      <c r="W21" s="22">
        <v>8.2842941976455142E-2</v>
      </c>
      <c r="Y21" s="22">
        <v>18.229166666666668</v>
      </c>
      <c r="Z21" s="22">
        <v>8.9999999999999858E-2</v>
      </c>
    </row>
    <row r="22" spans="1:26" x14ac:dyDescent="0.3">
      <c r="A22" s="16">
        <v>362</v>
      </c>
      <c r="B22" s="16">
        <v>255</v>
      </c>
      <c r="C22" s="16">
        <v>8.98</v>
      </c>
      <c r="D22" s="16">
        <v>8.43</v>
      </c>
      <c r="E22" s="16">
        <v>1.42</v>
      </c>
      <c r="F22" s="16">
        <v>15.22</v>
      </c>
      <c r="G22" s="16">
        <v>2</v>
      </c>
      <c r="H22" s="20">
        <f t="shared" si="1"/>
        <v>0.22000000000000064</v>
      </c>
      <c r="J22" s="22" t="s">
        <v>3796</v>
      </c>
      <c r="K22" s="22">
        <v>7</v>
      </c>
      <c r="L22" s="22">
        <v>8.4045636443640639</v>
      </c>
      <c r="M22" s="22">
        <v>1.2006519491948662</v>
      </c>
      <c r="N22" s="25">
        <v>12.714894911944675</v>
      </c>
      <c r="O22" s="25">
        <v>3.5708234749905833E-11</v>
      </c>
      <c r="T22" s="22">
        <v>19</v>
      </c>
      <c r="U22" s="22">
        <v>6.6145153736748008E-2</v>
      </c>
      <c r="V22" s="22">
        <v>-5.6145153736748221E-2</v>
      </c>
      <c r="W22" s="22">
        <v>-0.18983686985067352</v>
      </c>
      <c r="Y22" s="22">
        <v>19.270833333333332</v>
      </c>
      <c r="Z22" s="22">
        <v>0.10000000000000142</v>
      </c>
    </row>
    <row r="23" spans="1:26" x14ac:dyDescent="0.3">
      <c r="A23" s="16">
        <v>371</v>
      </c>
      <c r="B23" s="16">
        <v>262</v>
      </c>
      <c r="C23" s="16">
        <v>9.1999999999999993</v>
      </c>
      <c r="D23" s="16">
        <v>8.66</v>
      </c>
      <c r="E23" s="16">
        <v>1.42</v>
      </c>
      <c r="F23" s="16">
        <v>14.85</v>
      </c>
      <c r="G23" s="16">
        <v>2</v>
      </c>
      <c r="H23" s="20">
        <f t="shared" si="1"/>
        <v>0.15000000000000036</v>
      </c>
      <c r="J23" s="22" t="s">
        <v>3797</v>
      </c>
      <c r="K23" s="22">
        <v>88</v>
      </c>
      <c r="L23" s="22">
        <v>8.3097321889692672</v>
      </c>
      <c r="M23" s="22">
        <v>9.4428774874650762E-2</v>
      </c>
      <c r="N23" s="22"/>
      <c r="O23" s="22"/>
      <c r="T23" s="22">
        <v>20</v>
      </c>
      <c r="U23" s="22">
        <v>0.301016205957298</v>
      </c>
      <c r="V23" s="22">
        <v>-0.23101620595729772</v>
      </c>
      <c r="W23" s="22">
        <v>-0.78110737089330673</v>
      </c>
      <c r="Y23" s="22">
        <v>20.3125</v>
      </c>
      <c r="Z23" s="22">
        <v>0.10999999999999943</v>
      </c>
    </row>
    <row r="24" spans="1:26" x14ac:dyDescent="0.3">
      <c r="A24" s="16">
        <v>353</v>
      </c>
      <c r="B24" s="16">
        <v>260</v>
      </c>
      <c r="C24" s="16">
        <v>8.75</v>
      </c>
      <c r="D24" s="16">
        <v>8.6</v>
      </c>
      <c r="E24" s="16">
        <v>1.36</v>
      </c>
      <c r="F24" s="16">
        <v>15.6</v>
      </c>
      <c r="G24" s="16">
        <v>2</v>
      </c>
      <c r="H24" s="20">
        <f t="shared" si="1"/>
        <v>0.59999999999999964</v>
      </c>
      <c r="J24" s="22" t="s">
        <v>3798</v>
      </c>
      <c r="K24" s="22">
        <v>95</v>
      </c>
      <c r="L24" s="22">
        <v>16.714295833333331</v>
      </c>
      <c r="M24" s="22"/>
      <c r="N24" s="22"/>
      <c r="O24" s="22"/>
      <c r="T24" s="22">
        <v>21</v>
      </c>
      <c r="U24" s="22">
        <v>0.23366638157591274</v>
      </c>
      <c r="V24" s="22">
        <v>-1.3666381575912101E-2</v>
      </c>
      <c r="W24" s="22">
        <v>-4.6208495798596205E-2</v>
      </c>
      <c r="Y24" s="22">
        <v>21.354166666666668</v>
      </c>
      <c r="Z24" s="22">
        <v>0.10999999999999943</v>
      </c>
    </row>
    <row r="25" spans="1:26" ht="15" thickBot="1" x14ac:dyDescent="0.35">
      <c r="A25" s="16">
        <v>379</v>
      </c>
      <c r="B25" s="16">
        <v>269</v>
      </c>
      <c r="C25" s="16">
        <v>9.4</v>
      </c>
      <c r="D25" s="16">
        <v>8.9</v>
      </c>
      <c r="E25" s="16">
        <v>1.41</v>
      </c>
      <c r="F25" s="16">
        <v>14.53</v>
      </c>
      <c r="G25" s="16">
        <v>1</v>
      </c>
      <c r="H25" s="20">
        <f t="shared" si="1"/>
        <v>0.47000000000000064</v>
      </c>
      <c r="T25" s="22">
        <v>22</v>
      </c>
      <c r="U25" s="22">
        <v>0.23961572528136127</v>
      </c>
      <c r="V25" s="22">
        <v>-8.9615725281360914E-2</v>
      </c>
      <c r="W25" s="22">
        <v>-0.30300689631341166</v>
      </c>
      <c r="Y25" s="22">
        <v>22.395833333333332</v>
      </c>
      <c r="Z25" s="22">
        <v>0.13000000000000078</v>
      </c>
    </row>
    <row r="26" spans="1:26" x14ac:dyDescent="0.3">
      <c r="A26" s="16">
        <v>366</v>
      </c>
      <c r="B26" s="16">
        <v>264</v>
      </c>
      <c r="C26" s="16">
        <v>9.08</v>
      </c>
      <c r="D26" s="16">
        <v>8.73</v>
      </c>
      <c r="E26" s="16">
        <v>1.39</v>
      </c>
      <c r="F26" s="16">
        <v>15.05</v>
      </c>
      <c r="G26" s="16">
        <v>1</v>
      </c>
      <c r="H26" s="20">
        <f t="shared" si="1"/>
        <v>5.0000000000000711E-2</v>
      </c>
      <c r="J26" s="10"/>
      <c r="K26" s="10" t="s">
        <v>3805</v>
      </c>
      <c r="L26" s="10" t="s">
        <v>3793</v>
      </c>
      <c r="M26" s="10" t="s">
        <v>3806</v>
      </c>
      <c r="N26" s="10" t="s">
        <v>3807</v>
      </c>
      <c r="O26" s="10" t="s">
        <v>3808</v>
      </c>
      <c r="P26" s="10" t="s">
        <v>3809</v>
      </c>
      <c r="Q26" s="10" t="s">
        <v>3810</v>
      </c>
      <c r="R26" s="10" t="s">
        <v>3811</v>
      </c>
      <c r="T26" s="22">
        <v>23</v>
      </c>
      <c r="U26" s="22">
        <v>0.45919918675153654</v>
      </c>
      <c r="V26" s="22">
        <v>0.14080081324846311</v>
      </c>
      <c r="W26" s="22">
        <v>0.47607289107880113</v>
      </c>
      <c r="Y26" s="22">
        <v>23.4375</v>
      </c>
      <c r="Z26" s="22">
        <v>0.13000000000000078</v>
      </c>
    </row>
    <row r="27" spans="1:26" x14ac:dyDescent="0.3">
      <c r="A27" s="16">
        <v>376</v>
      </c>
      <c r="B27" s="16">
        <v>265</v>
      </c>
      <c r="C27" s="16">
        <v>9.33</v>
      </c>
      <c r="D27" s="16">
        <v>8.76</v>
      </c>
      <c r="E27" s="16">
        <v>1.42</v>
      </c>
      <c r="F27" s="16">
        <v>14.65</v>
      </c>
      <c r="G27" s="16">
        <v>1</v>
      </c>
      <c r="H27" s="20">
        <f t="shared" si="1"/>
        <v>0.34999999999999964</v>
      </c>
      <c r="J27" s="22" t="s">
        <v>3799</v>
      </c>
      <c r="K27" s="22">
        <v>12.843363685712315</v>
      </c>
      <c r="L27" s="22">
        <v>5.0240485077421244</v>
      </c>
      <c r="M27" s="22">
        <v>2.5563773251632669</v>
      </c>
      <c r="N27" s="22">
        <v>1.2291757744835282E-2</v>
      </c>
      <c r="O27" s="22">
        <v>2.8591230058562171</v>
      </c>
      <c r="P27" s="22">
        <v>22.827604365568412</v>
      </c>
      <c r="Q27" s="22">
        <v>-0.3842428135981617</v>
      </c>
      <c r="R27" s="22">
        <v>26.070970185022794</v>
      </c>
      <c r="T27" s="22">
        <v>24</v>
      </c>
      <c r="U27" s="22">
        <v>0.42984166982130811</v>
      </c>
      <c r="V27" s="22">
        <v>4.0158330178692525E-2</v>
      </c>
      <c r="W27" s="22">
        <v>0.13578254207474119</v>
      </c>
      <c r="Y27" s="22">
        <v>24.479166666666668</v>
      </c>
      <c r="Z27" s="22">
        <v>0.13000000000000078</v>
      </c>
    </row>
    <row r="28" spans="1:26" x14ac:dyDescent="0.3">
      <c r="A28" s="16">
        <v>368</v>
      </c>
      <c r="B28" s="16">
        <v>272</v>
      </c>
      <c r="C28" s="16">
        <v>9.1300000000000008</v>
      </c>
      <c r="D28" s="16">
        <v>8.99</v>
      </c>
      <c r="E28" s="16">
        <v>1.35</v>
      </c>
      <c r="F28" s="16">
        <v>14.97</v>
      </c>
      <c r="G28" s="16">
        <v>1</v>
      </c>
      <c r="H28" s="20">
        <f t="shared" si="1"/>
        <v>2.9999999999999361E-2</v>
      </c>
      <c r="J28" s="22" t="s">
        <v>3762</v>
      </c>
      <c r="K28" s="22">
        <v>0.20980214623754598</v>
      </c>
      <c r="L28" s="22">
        <v>0.28012687927403385</v>
      </c>
      <c r="M28" s="22">
        <v>0.74895399820703112</v>
      </c>
      <c r="N28" s="22">
        <v>0.45588221952113606</v>
      </c>
      <c r="O28" s="22">
        <v>-0.34689116181052682</v>
      </c>
      <c r="P28" s="22">
        <v>0.76649545428561883</v>
      </c>
      <c r="Q28" s="22">
        <v>-0.52773215965275122</v>
      </c>
      <c r="R28" s="22">
        <v>0.94733645212784323</v>
      </c>
      <c r="T28" s="22">
        <v>25</v>
      </c>
      <c r="U28" s="22">
        <v>0.48916073980011188</v>
      </c>
      <c r="V28" s="22">
        <v>-0.43916073980011117</v>
      </c>
      <c r="W28" s="22">
        <v>-1.4848815018987551</v>
      </c>
      <c r="Y28" s="22">
        <v>25.520833333333332</v>
      </c>
      <c r="Z28" s="22">
        <v>0.13000000000000078</v>
      </c>
    </row>
    <row r="29" spans="1:26" x14ac:dyDescent="0.3">
      <c r="A29" s="16">
        <v>366</v>
      </c>
      <c r="B29" s="16">
        <v>260</v>
      </c>
      <c r="C29" s="16">
        <v>9.08</v>
      </c>
      <c r="D29" s="16">
        <v>8.6</v>
      </c>
      <c r="E29" s="16">
        <v>1.41</v>
      </c>
      <c r="F29" s="16">
        <v>15.05</v>
      </c>
      <c r="G29" s="16">
        <v>1</v>
      </c>
      <c r="H29" s="20">
        <f t="shared" si="1"/>
        <v>5.0000000000000711E-2</v>
      </c>
      <c r="J29" s="22" t="s">
        <v>3763</v>
      </c>
      <c r="K29" s="22">
        <v>9.1314699911978187E-2</v>
      </c>
      <c r="L29" s="22">
        <v>0.39674523521384603</v>
      </c>
      <c r="M29" s="22">
        <v>0.23015953767600886</v>
      </c>
      <c r="N29" s="22">
        <v>0.81850198570297361</v>
      </c>
      <c r="O29" s="22">
        <v>-0.69713308494855752</v>
      </c>
      <c r="P29" s="22">
        <v>0.87976248477251384</v>
      </c>
      <c r="Q29" s="22">
        <v>-0.95325918184850089</v>
      </c>
      <c r="R29" s="22">
        <v>1.1358885816724573</v>
      </c>
      <c r="T29" s="22">
        <v>26</v>
      </c>
      <c r="U29" s="22">
        <v>0.39494868518975057</v>
      </c>
      <c r="V29" s="22">
        <v>-4.4948685189750925E-2</v>
      </c>
      <c r="W29" s="22">
        <v>-0.15197959454051085</v>
      </c>
      <c r="Y29" s="22">
        <v>26.5625</v>
      </c>
      <c r="Z29" s="22">
        <v>0.13000000000000078</v>
      </c>
    </row>
    <row r="30" spans="1:26" x14ac:dyDescent="0.3">
      <c r="A30" s="16">
        <v>373</v>
      </c>
      <c r="B30" s="16">
        <v>264</v>
      </c>
      <c r="C30" s="16">
        <v>9.25</v>
      </c>
      <c r="D30" s="16">
        <v>8.73</v>
      </c>
      <c r="E30" s="16">
        <v>1.41</v>
      </c>
      <c r="F30" s="16">
        <v>14.77</v>
      </c>
      <c r="G30" s="16">
        <v>1</v>
      </c>
      <c r="H30" s="20">
        <f t="shared" si="1"/>
        <v>0.23000000000000043</v>
      </c>
      <c r="J30" s="22" t="s">
        <v>3764</v>
      </c>
      <c r="K30" s="22">
        <v>-7.7904716235279468</v>
      </c>
      <c r="L30" s="22">
        <v>11.374919932895748</v>
      </c>
      <c r="M30" s="22">
        <v>-0.68488144703315745</v>
      </c>
      <c r="N30" s="22">
        <v>0.49521872564303548</v>
      </c>
      <c r="O30" s="22">
        <v>-30.395734719437744</v>
      </c>
      <c r="P30" s="22">
        <v>14.814791472381852</v>
      </c>
      <c r="Q30" s="22">
        <v>-37.739021005892134</v>
      </c>
      <c r="R30" s="22">
        <v>22.158077758836239</v>
      </c>
      <c r="T30" s="22">
        <v>27</v>
      </c>
      <c r="U30" s="22">
        <v>0.64713521160272092</v>
      </c>
      <c r="V30" s="22">
        <v>-0.61713521160272156</v>
      </c>
      <c r="W30" s="22">
        <v>-2.0866452231052173</v>
      </c>
      <c r="Y30" s="22">
        <v>27.604166666666668</v>
      </c>
      <c r="Z30" s="22">
        <v>0.13000000000000078</v>
      </c>
    </row>
    <row r="31" spans="1:26" x14ac:dyDescent="0.3">
      <c r="A31" s="16">
        <v>370</v>
      </c>
      <c r="B31" s="16">
        <v>274</v>
      </c>
      <c r="C31" s="16">
        <v>9.18</v>
      </c>
      <c r="D31" s="16">
        <v>9.06</v>
      </c>
      <c r="E31" s="16">
        <v>1.35</v>
      </c>
      <c r="F31" s="16">
        <v>14.89</v>
      </c>
      <c r="G31" s="16">
        <v>2</v>
      </c>
      <c r="H31" s="20">
        <f t="shared" si="1"/>
        <v>0.10999999999999943</v>
      </c>
      <c r="J31" s="22" t="s">
        <v>3765</v>
      </c>
      <c r="K31" s="22">
        <v>-3.5458741638085249</v>
      </c>
      <c r="L31" s="22">
        <v>12.05941315936664</v>
      </c>
      <c r="M31" s="22">
        <v>-0.29403372427408847</v>
      </c>
      <c r="N31" s="22">
        <v>0.76942454646692449</v>
      </c>
      <c r="O31" s="22">
        <v>-27.511423711229511</v>
      </c>
      <c r="P31" s="22">
        <v>20.419675383612464</v>
      </c>
      <c r="Q31" s="22">
        <v>-35.296597039770099</v>
      </c>
      <c r="R31" s="22">
        <v>28.204848712153048</v>
      </c>
      <c r="T31" s="22">
        <v>28</v>
      </c>
      <c r="U31" s="22">
        <v>0.42607677230877616</v>
      </c>
      <c r="V31" s="22">
        <v>-0.37607677230877545</v>
      </c>
      <c r="W31" s="22">
        <v>-1.2715832538884646</v>
      </c>
      <c r="Y31" s="22">
        <v>28.645833333333336</v>
      </c>
      <c r="Z31" s="22">
        <v>0.15000000000000036</v>
      </c>
    </row>
    <row r="32" spans="1:26" x14ac:dyDescent="0.3">
      <c r="A32" s="16">
        <v>379</v>
      </c>
      <c r="B32" s="16">
        <v>272</v>
      </c>
      <c r="C32" s="16">
        <v>9.4</v>
      </c>
      <c r="D32" s="16">
        <v>8.99</v>
      </c>
      <c r="E32" s="16">
        <v>1.39</v>
      </c>
      <c r="F32" s="16">
        <v>14.53</v>
      </c>
      <c r="G32" s="16">
        <v>1</v>
      </c>
      <c r="H32" s="20">
        <f t="shared" si="1"/>
        <v>0.47000000000000064</v>
      </c>
      <c r="J32" s="22" t="s">
        <v>3766</v>
      </c>
      <c r="K32" s="22">
        <v>-7.9394404569264649</v>
      </c>
      <c r="L32" s="22">
        <v>3.2090297161082586</v>
      </c>
      <c r="M32" s="22">
        <v>-2.4740937788993111</v>
      </c>
      <c r="N32" s="22">
        <v>1.527649230334289E-2</v>
      </c>
      <c r="O32" s="22">
        <v>-14.316712687690462</v>
      </c>
      <c r="P32" s="22">
        <v>-1.562168226162469</v>
      </c>
      <c r="Q32" s="22">
        <v>-16.388360140695735</v>
      </c>
      <c r="R32" s="22">
        <v>0.50947922684280389</v>
      </c>
      <c r="T32" s="22">
        <v>29</v>
      </c>
      <c r="U32" s="22">
        <v>0.48064716764901538</v>
      </c>
      <c r="V32" s="22">
        <v>-0.25064716764901496</v>
      </c>
      <c r="W32" s="22">
        <v>-0.84748318557515145</v>
      </c>
      <c r="Y32" s="22">
        <v>29.6875</v>
      </c>
      <c r="Z32" s="22">
        <v>0.15000000000000036</v>
      </c>
    </row>
    <row r="33" spans="1:26" x14ac:dyDescent="0.3">
      <c r="A33" s="16">
        <v>372</v>
      </c>
      <c r="B33" s="16">
        <v>265</v>
      </c>
      <c r="C33" s="16">
        <v>9.23</v>
      </c>
      <c r="D33" s="16">
        <v>8.76</v>
      </c>
      <c r="E33" s="16">
        <v>1.4</v>
      </c>
      <c r="F33" s="16">
        <v>14.81</v>
      </c>
      <c r="G33" s="16">
        <v>1</v>
      </c>
      <c r="H33" s="20">
        <f t="shared" si="1"/>
        <v>0.1899999999999995</v>
      </c>
      <c r="J33" s="22" t="s">
        <v>3767</v>
      </c>
      <c r="K33" s="22">
        <v>-2.1572819015629643E-2</v>
      </c>
      <c r="L33" s="22">
        <v>4.3757960049908486E-2</v>
      </c>
      <c r="M33" s="22">
        <v>-0.49300330707886281</v>
      </c>
      <c r="N33" s="22">
        <v>0.62323823290613234</v>
      </c>
      <c r="O33" s="22">
        <v>-0.1085325695285001</v>
      </c>
      <c r="P33" s="22">
        <v>6.5386931497240813E-2</v>
      </c>
      <c r="Q33" s="22">
        <v>-0.13678131588041492</v>
      </c>
      <c r="R33" s="22">
        <v>9.3635677849155635E-2</v>
      </c>
      <c r="T33" s="22">
        <v>30</v>
      </c>
      <c r="U33" s="22">
        <v>0.41794766415892787</v>
      </c>
      <c r="V33" s="22">
        <v>-0.30794766415892844</v>
      </c>
      <c r="W33" s="22">
        <v>-1.0412264772817641</v>
      </c>
      <c r="Y33" s="22">
        <v>30.729166666666668</v>
      </c>
      <c r="Z33" s="22">
        <v>0.15000000000000036</v>
      </c>
    </row>
    <row r="34" spans="1:26" x14ac:dyDescent="0.3">
      <c r="A34" s="16">
        <v>375</v>
      </c>
      <c r="B34" s="16">
        <v>271</v>
      </c>
      <c r="C34" s="16">
        <v>9.3000000000000007</v>
      </c>
      <c r="D34" s="16">
        <v>8.9600000000000009</v>
      </c>
      <c r="E34" s="16">
        <v>1.38</v>
      </c>
      <c r="F34" s="16">
        <v>14.69</v>
      </c>
      <c r="G34" s="16">
        <v>2</v>
      </c>
      <c r="H34" s="20">
        <f t="shared" si="1"/>
        <v>0.3100000000000005</v>
      </c>
      <c r="J34" s="22" t="s">
        <v>3760</v>
      </c>
      <c r="K34" s="22">
        <v>-0.19541229262109153</v>
      </c>
      <c r="L34" s="22">
        <v>5.0074001191729313E-2</v>
      </c>
      <c r="M34" s="22">
        <v>-3.9024701036546614</v>
      </c>
      <c r="N34" s="22">
        <v>1.8598247553041353E-4</v>
      </c>
      <c r="O34" s="22">
        <v>-0.29492384768095925</v>
      </c>
      <c r="P34" s="22">
        <v>-9.5900737561223831E-2</v>
      </c>
      <c r="Q34" s="22">
        <v>-0.32725002917747531</v>
      </c>
      <c r="R34" s="22">
        <v>-6.3574556064707743E-2</v>
      </c>
      <c r="T34" s="22">
        <v>31</v>
      </c>
      <c r="U34" s="22">
        <v>0.54344590395300219</v>
      </c>
      <c r="V34" s="22">
        <v>-7.3445903953001546E-2</v>
      </c>
      <c r="W34" s="22">
        <v>-0.24833382013994196</v>
      </c>
      <c r="Y34" s="22">
        <v>31.770833333333336</v>
      </c>
      <c r="Z34" s="22">
        <v>0.15000000000000036</v>
      </c>
    </row>
    <row r="35" spans="1:26" x14ac:dyDescent="0.3">
      <c r="A35" s="16">
        <v>374</v>
      </c>
      <c r="B35" s="16">
        <v>263</v>
      </c>
      <c r="C35" s="16">
        <v>9.2799999999999994</v>
      </c>
      <c r="D35" s="16">
        <v>8.6999999999999993</v>
      </c>
      <c r="E35" s="16">
        <v>1.42</v>
      </c>
      <c r="F35" s="16">
        <v>14.73</v>
      </c>
      <c r="G35" s="16">
        <v>2</v>
      </c>
      <c r="H35" s="20">
        <f t="shared" si="1"/>
        <v>0.26999999999999957</v>
      </c>
      <c r="T35" s="22">
        <v>32</v>
      </c>
      <c r="U35" s="22">
        <v>0.49012442068840323</v>
      </c>
      <c r="V35" s="22">
        <v>-0.30012442068840373</v>
      </c>
      <c r="W35" s="22">
        <v>-1.0147746830719269</v>
      </c>
      <c r="Y35" s="22">
        <v>32.812500000000007</v>
      </c>
      <c r="Z35" s="22">
        <v>0.15000000000000036</v>
      </c>
    </row>
    <row r="36" spans="1:26" x14ac:dyDescent="0.3">
      <c r="A36" s="16">
        <v>371</v>
      </c>
      <c r="B36" s="16">
        <v>277</v>
      </c>
      <c r="C36" s="16">
        <v>9.1999999999999993</v>
      </c>
      <c r="D36" s="16">
        <v>9.16</v>
      </c>
      <c r="E36" s="16">
        <v>1.34</v>
      </c>
      <c r="F36" s="16">
        <v>14.85</v>
      </c>
      <c r="G36" s="16">
        <v>3</v>
      </c>
      <c r="H36" s="20">
        <f t="shared" si="1"/>
        <v>0.15000000000000036</v>
      </c>
      <c r="T36" s="22">
        <v>33</v>
      </c>
      <c r="U36" s="22">
        <v>0.37887646726356222</v>
      </c>
      <c r="V36" s="22">
        <v>-6.8876467263561725E-2</v>
      </c>
      <c r="W36" s="22">
        <v>-0.23288373228068801</v>
      </c>
      <c r="Y36" s="22">
        <v>33.854166666666671</v>
      </c>
      <c r="Z36" s="22">
        <v>0.16000000000000014</v>
      </c>
    </row>
    <row r="37" spans="1:26" x14ac:dyDescent="0.3">
      <c r="A37" s="16">
        <v>262</v>
      </c>
      <c r="B37" s="16">
        <v>194</v>
      </c>
      <c r="C37" s="16">
        <v>6.5</v>
      </c>
      <c r="D37" s="16">
        <v>6.42</v>
      </c>
      <c r="E37" s="16">
        <v>1.35</v>
      </c>
      <c r="F37" s="16">
        <v>21.02</v>
      </c>
      <c r="G37" s="16">
        <v>1</v>
      </c>
      <c r="H37" s="20">
        <f>ABS(F37-20)</f>
        <v>1.0199999999999996</v>
      </c>
      <c r="T37" s="22">
        <v>34</v>
      </c>
      <c r="U37" s="22">
        <v>0.19785290575327613</v>
      </c>
      <c r="V37" s="22">
        <v>7.2147094246723442E-2</v>
      </c>
      <c r="W37" s="22">
        <v>0.24394231076181147</v>
      </c>
      <c r="Y37" s="22">
        <v>34.895833333333336</v>
      </c>
      <c r="Z37" s="22">
        <v>0.16000000000000014</v>
      </c>
    </row>
    <row r="38" spans="1:26" x14ac:dyDescent="0.3">
      <c r="A38" s="16">
        <v>268</v>
      </c>
      <c r="B38" s="16">
        <v>198</v>
      </c>
      <c r="C38" s="16">
        <v>6.65</v>
      </c>
      <c r="D38" s="16">
        <v>6.55</v>
      </c>
      <c r="E38" s="16">
        <v>1.35</v>
      </c>
      <c r="F38" s="16">
        <v>20.55</v>
      </c>
      <c r="G38" s="16">
        <v>2</v>
      </c>
      <c r="H38" s="20">
        <f t="shared" ref="H38:H54" si="2">ABS(F38-20)</f>
        <v>0.55000000000000071</v>
      </c>
      <c r="T38" s="22">
        <v>35</v>
      </c>
      <c r="U38" s="22">
        <v>0.2761420859898055</v>
      </c>
      <c r="V38" s="22">
        <v>-0.12614208598980514</v>
      </c>
      <c r="W38" s="22">
        <v>-0.42650909592337011</v>
      </c>
      <c r="Y38" s="22">
        <v>35.937500000000007</v>
      </c>
      <c r="Z38" s="22">
        <v>0.17999999999999972</v>
      </c>
    </row>
    <row r="39" spans="1:26" x14ac:dyDescent="0.3">
      <c r="A39" s="16">
        <v>269</v>
      </c>
      <c r="B39" s="16">
        <v>199</v>
      </c>
      <c r="C39" s="16">
        <v>6.67</v>
      </c>
      <c r="D39" s="16">
        <v>6.58</v>
      </c>
      <c r="E39" s="16">
        <v>1.35</v>
      </c>
      <c r="F39" s="16">
        <v>20.48</v>
      </c>
      <c r="G39" s="16">
        <v>1</v>
      </c>
      <c r="H39" s="20">
        <f t="shared" si="2"/>
        <v>0.48000000000000043</v>
      </c>
      <c r="T39" s="22">
        <v>36</v>
      </c>
      <c r="U39" s="22">
        <v>0.75688253311039111</v>
      </c>
      <c r="V39" s="22">
        <v>0.26311746688960846</v>
      </c>
      <c r="W39" s="22">
        <v>0.88964751172581691</v>
      </c>
      <c r="Y39" s="22">
        <v>36.979166666666671</v>
      </c>
      <c r="Z39" s="22">
        <v>0.17999999999999972</v>
      </c>
    </row>
    <row r="40" spans="1:26" x14ac:dyDescent="0.3">
      <c r="A40" s="16">
        <v>270</v>
      </c>
      <c r="B40" s="16">
        <v>202</v>
      </c>
      <c r="C40" s="16">
        <v>6.7</v>
      </c>
      <c r="D40" s="16">
        <v>6.68</v>
      </c>
      <c r="E40" s="16">
        <v>1.34</v>
      </c>
      <c r="F40" s="16">
        <v>20.399999999999999</v>
      </c>
      <c r="G40" s="16">
        <v>2</v>
      </c>
      <c r="H40" s="20">
        <f t="shared" si="2"/>
        <v>0.39999999999999858</v>
      </c>
      <c r="T40" s="22">
        <v>37</v>
      </c>
      <c r="U40" s="22">
        <v>0.56614675767553124</v>
      </c>
      <c r="V40" s="22">
        <v>-1.6146757675530532E-2</v>
      </c>
      <c r="W40" s="22">
        <v>-5.4595093812233715E-2</v>
      </c>
      <c r="Y40" s="22">
        <v>38.020833333333336</v>
      </c>
      <c r="Z40" s="22">
        <v>0.17999999999999972</v>
      </c>
    </row>
    <row r="41" spans="1:26" x14ac:dyDescent="0.3">
      <c r="A41" s="16">
        <v>255</v>
      </c>
      <c r="B41" s="16">
        <v>190</v>
      </c>
      <c r="C41" s="16">
        <v>6.32</v>
      </c>
      <c r="D41" s="16">
        <v>6.28</v>
      </c>
      <c r="E41" s="16">
        <v>1.34</v>
      </c>
      <c r="F41" s="16">
        <v>21.6</v>
      </c>
      <c r="G41" s="16">
        <v>1</v>
      </c>
      <c r="H41" s="20">
        <f t="shared" si="2"/>
        <v>1.6000000000000014</v>
      </c>
      <c r="T41" s="22">
        <v>38</v>
      </c>
      <c r="U41" s="22">
        <v>0.80200033639243085</v>
      </c>
      <c r="V41" s="22">
        <v>-0.32200033639243042</v>
      </c>
      <c r="W41" s="22">
        <v>-1.0887410913186903</v>
      </c>
      <c r="Y41" s="22">
        <v>39.062500000000007</v>
      </c>
      <c r="Z41" s="22">
        <v>0.17999999999999972</v>
      </c>
    </row>
    <row r="42" spans="1:26" x14ac:dyDescent="0.3">
      <c r="A42" s="16">
        <v>278</v>
      </c>
      <c r="B42" s="16">
        <v>200</v>
      </c>
      <c r="C42" s="16">
        <v>6.89</v>
      </c>
      <c r="D42" s="16">
        <v>6.61</v>
      </c>
      <c r="E42" s="16">
        <v>1.39</v>
      </c>
      <c r="F42" s="16">
        <v>19.809999999999999</v>
      </c>
      <c r="G42" s="16">
        <v>3</v>
      </c>
      <c r="H42" s="20">
        <f t="shared" si="2"/>
        <v>0.19000000000000128</v>
      </c>
      <c r="T42" s="22">
        <v>39</v>
      </c>
      <c r="U42" s="22">
        <v>0.58315295474864537</v>
      </c>
      <c r="V42" s="22">
        <v>-0.18315295474864679</v>
      </c>
      <c r="W42" s="22">
        <v>-0.61927310407608649</v>
      </c>
      <c r="Y42" s="22">
        <v>40.104166666666671</v>
      </c>
      <c r="Z42" s="22">
        <v>0.1899999999999995</v>
      </c>
    </row>
    <row r="43" spans="1:26" x14ac:dyDescent="0.3">
      <c r="A43" s="16">
        <v>273</v>
      </c>
      <c r="B43" s="16">
        <v>206</v>
      </c>
      <c r="C43" s="16">
        <v>6.77</v>
      </c>
      <c r="D43" s="16">
        <v>6.81</v>
      </c>
      <c r="E43" s="16">
        <v>1.33</v>
      </c>
      <c r="F43" s="16">
        <v>20.18</v>
      </c>
      <c r="G43" s="16">
        <v>1</v>
      </c>
      <c r="H43" s="20">
        <f t="shared" si="2"/>
        <v>0.17999999999999972</v>
      </c>
      <c r="T43" s="22">
        <v>40</v>
      </c>
      <c r="U43" s="22">
        <v>0.88859815450809077</v>
      </c>
      <c r="V43" s="22">
        <v>0.71140184549191066</v>
      </c>
      <c r="W43" s="22">
        <v>2.4053776784973597</v>
      </c>
      <c r="Y43" s="22">
        <v>41.145833333333336</v>
      </c>
      <c r="Z43" s="22">
        <v>0.19000000000000128</v>
      </c>
    </row>
    <row r="44" spans="1:26" x14ac:dyDescent="0.3">
      <c r="A44" s="16">
        <v>274</v>
      </c>
      <c r="B44" s="16">
        <v>199</v>
      </c>
      <c r="C44" s="16">
        <v>6.8</v>
      </c>
      <c r="D44" s="16">
        <v>6.58</v>
      </c>
      <c r="E44" s="16">
        <v>1.38</v>
      </c>
      <c r="F44" s="16">
        <v>20.100000000000001</v>
      </c>
      <c r="G44" s="16">
        <v>1</v>
      </c>
      <c r="H44" s="20">
        <f t="shared" si="2"/>
        <v>0.10000000000000142</v>
      </c>
      <c r="T44" s="22">
        <v>41</v>
      </c>
      <c r="U44" s="22">
        <v>0.26730595557314818</v>
      </c>
      <c r="V44" s="22">
        <v>-7.7305955573146901E-2</v>
      </c>
      <c r="W44" s="22">
        <v>-0.26138534940400371</v>
      </c>
      <c r="Y44" s="22">
        <v>42.187500000000007</v>
      </c>
      <c r="Z44" s="22">
        <v>0.19999999999999929</v>
      </c>
    </row>
    <row r="45" spans="1:26" x14ac:dyDescent="0.3">
      <c r="A45" s="16">
        <v>260</v>
      </c>
      <c r="B45" s="16">
        <v>194</v>
      </c>
      <c r="C45" s="16">
        <v>6.45</v>
      </c>
      <c r="D45" s="16">
        <v>6.42</v>
      </c>
      <c r="E45" s="16">
        <v>1.34</v>
      </c>
      <c r="F45" s="16">
        <v>21.18</v>
      </c>
      <c r="G45" s="16">
        <v>1</v>
      </c>
      <c r="H45" s="20">
        <f t="shared" si="2"/>
        <v>1.1799999999999997</v>
      </c>
      <c r="T45" s="22">
        <v>42</v>
      </c>
      <c r="U45" s="22">
        <v>0.85107425554093474</v>
      </c>
      <c r="V45" s="22">
        <v>-0.67107425554093503</v>
      </c>
      <c r="W45" s="22">
        <v>-2.269022838668969</v>
      </c>
      <c r="Y45" s="22">
        <v>43.229166666666671</v>
      </c>
      <c r="Z45" s="22">
        <v>0.22000000000000064</v>
      </c>
    </row>
    <row r="46" spans="1:26" x14ac:dyDescent="0.3">
      <c r="A46" s="16">
        <v>267</v>
      </c>
      <c r="B46" s="16">
        <v>190</v>
      </c>
      <c r="C46" s="16">
        <v>6.62</v>
      </c>
      <c r="D46" s="16">
        <v>6.28</v>
      </c>
      <c r="E46" s="16">
        <v>1.41</v>
      </c>
      <c r="F46" s="16">
        <v>20.63</v>
      </c>
      <c r="G46" s="16">
        <v>1</v>
      </c>
      <c r="H46" s="20">
        <f t="shared" si="2"/>
        <v>0.62999999999999901</v>
      </c>
      <c r="T46" s="22">
        <v>43</v>
      </c>
      <c r="U46" s="22">
        <v>0.60826421403966646</v>
      </c>
      <c r="V46" s="22">
        <v>-0.50826421403966504</v>
      </c>
      <c r="W46" s="22">
        <v>-1.7185327856222388</v>
      </c>
      <c r="Y46" s="22">
        <v>44.270833333333336</v>
      </c>
      <c r="Z46" s="22">
        <v>0.22000000000000064</v>
      </c>
    </row>
    <row r="47" spans="1:26" x14ac:dyDescent="0.3">
      <c r="A47" s="16">
        <v>261</v>
      </c>
      <c r="B47" s="16">
        <v>199</v>
      </c>
      <c r="C47" s="16">
        <v>6.47</v>
      </c>
      <c r="D47" s="16">
        <v>6.58</v>
      </c>
      <c r="E47" s="16">
        <v>1.31</v>
      </c>
      <c r="F47" s="16">
        <v>21.1</v>
      </c>
      <c r="G47" s="16">
        <v>1</v>
      </c>
      <c r="H47" s="20">
        <f t="shared" si="2"/>
        <v>1.1000000000000014</v>
      </c>
      <c r="T47" s="22">
        <v>44</v>
      </c>
      <c r="U47" s="22">
        <v>0.80274457533845456</v>
      </c>
      <c r="V47" s="22">
        <v>0.37725542466154516</v>
      </c>
      <c r="W47" s="22">
        <v>1.2755684896283301</v>
      </c>
      <c r="Y47" s="22">
        <v>45.312500000000007</v>
      </c>
      <c r="Z47" s="22">
        <v>0.23000000000000043</v>
      </c>
    </row>
    <row r="48" spans="1:26" x14ac:dyDescent="0.3">
      <c r="A48" s="16">
        <v>263</v>
      </c>
      <c r="B48" s="16">
        <v>202</v>
      </c>
      <c r="C48" s="16">
        <v>6.52</v>
      </c>
      <c r="D48" s="16">
        <v>6.68</v>
      </c>
      <c r="E48" s="16">
        <v>1.3</v>
      </c>
      <c r="F48" s="16">
        <v>20.94</v>
      </c>
      <c r="G48" s="16">
        <v>1</v>
      </c>
      <c r="H48" s="20">
        <f t="shared" si="2"/>
        <v>0.94000000000000128</v>
      </c>
      <c r="T48" s="22">
        <v>45</v>
      </c>
      <c r="U48" s="22">
        <v>0.53424722476055964</v>
      </c>
      <c r="V48" s="22">
        <v>9.5752775239439369E-2</v>
      </c>
      <c r="W48" s="22">
        <v>0.32375736677469885</v>
      </c>
      <c r="Y48" s="22">
        <v>46.354166666666671</v>
      </c>
      <c r="Z48" s="22">
        <v>0.25</v>
      </c>
    </row>
    <row r="49" spans="1:26" x14ac:dyDescent="0.3">
      <c r="A49" s="16">
        <v>280</v>
      </c>
      <c r="B49" s="16">
        <v>197</v>
      </c>
      <c r="C49" s="16">
        <v>6.94</v>
      </c>
      <c r="D49" s="16">
        <v>6.51</v>
      </c>
      <c r="E49" s="16">
        <v>1.42</v>
      </c>
      <c r="F49" s="16">
        <v>19.670000000000002</v>
      </c>
      <c r="G49" s="16">
        <v>1</v>
      </c>
      <c r="H49" s="20">
        <f t="shared" si="2"/>
        <v>0.32999999999999829</v>
      </c>
      <c r="T49" s="22">
        <v>46</v>
      </c>
      <c r="U49" s="22">
        <v>0.98587996168502223</v>
      </c>
      <c r="V49" s="22">
        <v>0.11412003831497919</v>
      </c>
      <c r="W49" s="22">
        <v>0.38586038899337627</v>
      </c>
      <c r="Y49" s="22">
        <v>47.395833333333336</v>
      </c>
      <c r="Z49" s="22">
        <v>0.25</v>
      </c>
    </row>
    <row r="50" spans="1:26" x14ac:dyDescent="0.3">
      <c r="A50" s="16">
        <v>272</v>
      </c>
      <c r="B50" s="16">
        <v>199</v>
      </c>
      <c r="C50" s="16">
        <v>6.75</v>
      </c>
      <c r="D50" s="16">
        <v>6.58</v>
      </c>
      <c r="E50" s="16">
        <v>1.37</v>
      </c>
      <c r="F50" s="16">
        <v>20.25</v>
      </c>
      <c r="G50" s="16">
        <v>1</v>
      </c>
      <c r="H50" s="20">
        <f t="shared" si="2"/>
        <v>0.25</v>
      </c>
      <c r="T50" s="22">
        <v>47</v>
      </c>
      <c r="U50" s="22">
        <v>1.0181634119505505</v>
      </c>
      <c r="V50" s="22">
        <v>-7.8163411950549211E-2</v>
      </c>
      <c r="W50" s="22">
        <v>-0.26428456374194598</v>
      </c>
      <c r="Y50" s="22">
        <v>48.437500000000007</v>
      </c>
      <c r="Z50" s="22">
        <v>0.26999999999999957</v>
      </c>
    </row>
    <row r="51" spans="1:26" x14ac:dyDescent="0.3">
      <c r="A51" s="16">
        <v>284</v>
      </c>
      <c r="B51" s="16">
        <v>197</v>
      </c>
      <c r="C51" s="16">
        <v>7.04</v>
      </c>
      <c r="D51" s="16">
        <v>6.51</v>
      </c>
      <c r="E51" s="16">
        <v>1.44</v>
      </c>
      <c r="F51" s="16">
        <v>19.39</v>
      </c>
      <c r="G51" s="16">
        <v>1</v>
      </c>
      <c r="H51" s="20">
        <f t="shared" si="2"/>
        <v>0.60999999999999943</v>
      </c>
      <c r="T51" s="22">
        <v>48</v>
      </c>
      <c r="U51" s="22">
        <v>0.53369154971334731</v>
      </c>
      <c r="V51" s="22">
        <v>-0.20369154971334902</v>
      </c>
      <c r="W51" s="22">
        <v>-0.68871779021073165</v>
      </c>
      <c r="Y51" s="22">
        <v>49.479166666666671</v>
      </c>
      <c r="Z51" s="22">
        <v>0.28999999999999915</v>
      </c>
    </row>
    <row r="52" spans="1:26" x14ac:dyDescent="0.3">
      <c r="A52" s="16">
        <v>263</v>
      </c>
      <c r="B52" s="16">
        <v>198</v>
      </c>
      <c r="C52" s="16">
        <v>6.52</v>
      </c>
      <c r="D52" s="16">
        <v>6.55</v>
      </c>
      <c r="E52" s="16">
        <v>1.33</v>
      </c>
      <c r="F52" s="16">
        <v>20.94</v>
      </c>
      <c r="G52" s="16">
        <v>1</v>
      </c>
      <c r="H52" s="20">
        <f t="shared" si="2"/>
        <v>0.94000000000000128</v>
      </c>
      <c r="T52" s="22">
        <v>49</v>
      </c>
      <c r="U52" s="22">
        <v>0.65434198445789871</v>
      </c>
      <c r="V52" s="22">
        <v>-0.40434198445789871</v>
      </c>
      <c r="W52" s="22">
        <v>-1.3671530233687246</v>
      </c>
      <c r="Y52" s="22">
        <v>50.520833333333336</v>
      </c>
      <c r="Z52" s="22">
        <v>0.3100000000000005</v>
      </c>
    </row>
    <row r="53" spans="1:26" x14ac:dyDescent="0.3">
      <c r="A53" s="16">
        <v>273</v>
      </c>
      <c r="B53" s="16">
        <v>197</v>
      </c>
      <c r="C53" s="16">
        <v>6.77</v>
      </c>
      <c r="D53" s="16">
        <v>6.51</v>
      </c>
      <c r="E53" s="16">
        <v>1.39</v>
      </c>
      <c r="F53" s="16">
        <v>20.18</v>
      </c>
      <c r="G53" s="16">
        <v>2</v>
      </c>
      <c r="H53" s="20">
        <f t="shared" si="2"/>
        <v>0.17999999999999972</v>
      </c>
      <c r="T53" s="22">
        <v>50</v>
      </c>
      <c r="U53" s="22">
        <v>0.44110455249658276</v>
      </c>
      <c r="V53" s="22">
        <v>0.16889544750341667</v>
      </c>
      <c r="W53" s="22">
        <v>0.57106590599807583</v>
      </c>
      <c r="Y53" s="22">
        <v>51.562500000000007</v>
      </c>
      <c r="Z53" s="22">
        <v>0.32999999999999829</v>
      </c>
    </row>
    <row r="54" spans="1:26" x14ac:dyDescent="0.3">
      <c r="A54" s="16">
        <v>281</v>
      </c>
      <c r="B54" s="16">
        <v>205</v>
      </c>
      <c r="C54" s="16">
        <v>6.97</v>
      </c>
      <c r="D54" s="16">
        <v>6.78</v>
      </c>
      <c r="E54" s="16">
        <v>1.37</v>
      </c>
      <c r="F54" s="16">
        <v>19.600000000000001</v>
      </c>
      <c r="G54" s="16">
        <v>3</v>
      </c>
      <c r="H54" s="20">
        <f t="shared" si="2"/>
        <v>0.39999999999999858</v>
      </c>
      <c r="T54" s="22">
        <v>51</v>
      </c>
      <c r="U54" s="22">
        <v>0.87568503988996138</v>
      </c>
      <c r="V54" s="22">
        <v>6.4314960110039898E-2</v>
      </c>
      <c r="W54" s="22">
        <v>0.21746045560953944</v>
      </c>
      <c r="Y54" s="22">
        <v>52.604166666666671</v>
      </c>
      <c r="Z54" s="22">
        <v>0.34999999999999964</v>
      </c>
    </row>
    <row r="55" spans="1:26" x14ac:dyDescent="0.3">
      <c r="A55" s="16">
        <v>550</v>
      </c>
      <c r="B55" s="16">
        <v>380</v>
      </c>
      <c r="C55" s="16">
        <v>13.64</v>
      </c>
      <c r="D55" s="16">
        <v>12.57</v>
      </c>
      <c r="E55" s="16">
        <v>1.45</v>
      </c>
      <c r="F55" s="16">
        <v>10.01</v>
      </c>
      <c r="G55" s="16">
        <v>1</v>
      </c>
      <c r="H55" s="20">
        <f>ABS(F55-10)</f>
        <v>9.9999999999997868E-3</v>
      </c>
      <c r="T55" s="22">
        <v>52</v>
      </c>
      <c r="U55" s="22">
        <v>0.42122548543901445</v>
      </c>
      <c r="V55" s="22">
        <v>-0.24122548543901473</v>
      </c>
      <c r="W55" s="22">
        <v>-0.81562678229837937</v>
      </c>
      <c r="Y55" s="22">
        <v>53.645833333333343</v>
      </c>
      <c r="Z55" s="22">
        <v>0.34999999999999964</v>
      </c>
    </row>
    <row r="56" spans="1:26" x14ac:dyDescent="0.3">
      <c r="A56" s="16">
        <v>559</v>
      </c>
      <c r="B56" s="16">
        <v>391</v>
      </c>
      <c r="C56" s="16">
        <v>13.86</v>
      </c>
      <c r="D56" s="16">
        <v>12.93</v>
      </c>
      <c r="E56" s="16">
        <v>1.43</v>
      </c>
      <c r="F56" s="16">
        <v>9.85</v>
      </c>
      <c r="G56" s="16">
        <v>1</v>
      </c>
      <c r="H56" s="20">
        <f t="shared" ref="H56:H67" si="3">ABS(F56-10)</f>
        <v>0.15000000000000036</v>
      </c>
      <c r="T56" s="22">
        <v>53</v>
      </c>
      <c r="U56" s="22">
        <v>0.29056865724780001</v>
      </c>
      <c r="V56" s="22">
        <v>0.10943134275219857</v>
      </c>
      <c r="W56" s="22">
        <v>0.37000706541901346</v>
      </c>
      <c r="Y56" s="22">
        <v>54.687500000000007</v>
      </c>
      <c r="Z56" s="22">
        <v>0.39999999999999858</v>
      </c>
    </row>
    <row r="57" spans="1:26" x14ac:dyDescent="0.3">
      <c r="A57" s="16">
        <v>558</v>
      </c>
      <c r="B57" s="16">
        <v>387</v>
      </c>
      <c r="C57" s="16">
        <v>13.84</v>
      </c>
      <c r="D57" s="16">
        <v>12.8</v>
      </c>
      <c r="E57" s="16">
        <v>1.44</v>
      </c>
      <c r="F57" s="16">
        <v>9.8699999999999992</v>
      </c>
      <c r="G57" s="16">
        <v>1</v>
      </c>
      <c r="H57" s="20">
        <f t="shared" si="3"/>
        <v>0.13000000000000078</v>
      </c>
      <c r="T57" s="22">
        <v>54</v>
      </c>
      <c r="U57" s="22">
        <v>0.1769140254090146</v>
      </c>
      <c r="V57" s="22">
        <v>-0.16691402540901482</v>
      </c>
      <c r="W57" s="22">
        <v>-0.56436636127836803</v>
      </c>
      <c r="Y57" s="22">
        <v>55.729166666666671</v>
      </c>
      <c r="Z57" s="22">
        <v>0.39999999999999858</v>
      </c>
    </row>
    <row r="58" spans="1:26" x14ac:dyDescent="0.3">
      <c r="A58" s="16">
        <v>547</v>
      </c>
      <c r="B58" s="16">
        <v>390</v>
      </c>
      <c r="C58" s="16">
        <v>13.57</v>
      </c>
      <c r="D58" s="16">
        <v>12.9</v>
      </c>
      <c r="E58" s="16">
        <v>1.4</v>
      </c>
      <c r="F58" s="16">
        <v>10.07</v>
      </c>
      <c r="G58" s="16">
        <v>1</v>
      </c>
      <c r="H58" s="20">
        <f t="shared" si="3"/>
        <v>7.0000000000000284E-2</v>
      </c>
      <c r="T58" s="22">
        <v>55</v>
      </c>
      <c r="U58" s="22">
        <v>0.2414170446125041</v>
      </c>
      <c r="V58" s="22">
        <v>-9.1417044612503745E-2</v>
      </c>
      <c r="W58" s="22">
        <v>-0.30909748117544661</v>
      </c>
      <c r="Y58" s="22">
        <v>56.770833333333343</v>
      </c>
      <c r="Z58" s="22">
        <v>0.39999999999999858</v>
      </c>
    </row>
    <row r="59" spans="1:26" x14ac:dyDescent="0.3">
      <c r="A59" s="16">
        <v>555</v>
      </c>
      <c r="B59" s="16">
        <v>388</v>
      </c>
      <c r="C59" s="16">
        <v>13.76</v>
      </c>
      <c r="D59" s="16">
        <v>12.83</v>
      </c>
      <c r="E59" s="16">
        <v>1.43</v>
      </c>
      <c r="F59" s="16">
        <v>9.92</v>
      </c>
      <c r="G59" s="16">
        <v>1</v>
      </c>
      <c r="H59" s="20">
        <f t="shared" si="3"/>
        <v>8.0000000000000071E-2</v>
      </c>
      <c r="T59" s="22">
        <v>56</v>
      </c>
      <c r="U59" s="22">
        <v>0.2033033115431587</v>
      </c>
      <c r="V59" s="22">
        <v>-7.3303311543157917E-2</v>
      </c>
      <c r="W59" s="22">
        <v>-0.24785168953832137</v>
      </c>
      <c r="Y59" s="22">
        <v>57.812500000000007</v>
      </c>
      <c r="Z59" s="22">
        <v>0.39999999999999858</v>
      </c>
    </row>
    <row r="60" spans="1:26" x14ac:dyDescent="0.3">
      <c r="A60" s="16">
        <v>582</v>
      </c>
      <c r="B60" s="16">
        <v>402</v>
      </c>
      <c r="C60" s="16">
        <v>14.43</v>
      </c>
      <c r="D60" s="16">
        <v>13.29</v>
      </c>
      <c r="E60" s="16">
        <v>1.45</v>
      </c>
      <c r="F60" s="16">
        <v>9.4600000000000009</v>
      </c>
      <c r="G60" s="16">
        <v>1</v>
      </c>
      <c r="H60" s="20">
        <f t="shared" si="3"/>
        <v>0.53999999999999915</v>
      </c>
      <c r="T60" s="22">
        <v>57</v>
      </c>
      <c r="U60" s="22">
        <v>0.23152677911170669</v>
      </c>
      <c r="V60" s="22">
        <v>-0.1615267791117064</v>
      </c>
      <c r="W60" s="22">
        <v>-0.54615111194463462</v>
      </c>
      <c r="Y60" s="22">
        <v>58.854166666666671</v>
      </c>
      <c r="Z60" s="22">
        <v>0.46999999999999886</v>
      </c>
    </row>
    <row r="61" spans="1:26" x14ac:dyDescent="0.3">
      <c r="A61" s="16">
        <v>554</v>
      </c>
      <c r="B61" s="16">
        <v>391</v>
      </c>
      <c r="C61" s="16">
        <v>13.74</v>
      </c>
      <c r="D61" s="16">
        <v>12.93</v>
      </c>
      <c r="E61" s="16">
        <v>1.42</v>
      </c>
      <c r="F61" s="16">
        <v>9.94</v>
      </c>
      <c r="G61" s="16">
        <v>1</v>
      </c>
      <c r="H61" s="20">
        <f t="shared" si="3"/>
        <v>6.0000000000000497E-2</v>
      </c>
      <c r="T61" s="22">
        <v>58</v>
      </c>
      <c r="U61" s="22">
        <v>0.26038884132895912</v>
      </c>
      <c r="V61" s="22">
        <v>-0.18038884132895905</v>
      </c>
      <c r="W61" s="22">
        <v>-0.60992713911593865</v>
      </c>
      <c r="Y61" s="22">
        <v>59.895833333333343</v>
      </c>
      <c r="Z61" s="22">
        <v>0.47000000000000064</v>
      </c>
    </row>
    <row r="62" spans="1:26" x14ac:dyDescent="0.3">
      <c r="A62" s="16">
        <v>558</v>
      </c>
      <c r="B62" s="16">
        <v>400</v>
      </c>
      <c r="C62" s="16">
        <v>13.84</v>
      </c>
      <c r="D62" s="16">
        <v>13.23</v>
      </c>
      <c r="E62" s="16">
        <v>1.4</v>
      </c>
      <c r="F62" s="16">
        <v>9.8699999999999992</v>
      </c>
      <c r="G62" s="16">
        <v>2</v>
      </c>
      <c r="H62" s="20">
        <f t="shared" si="3"/>
        <v>0.13000000000000078</v>
      </c>
      <c r="T62" s="22">
        <v>59</v>
      </c>
      <c r="U62" s="22">
        <v>0.20386917300342919</v>
      </c>
      <c r="V62" s="22">
        <v>0.33613082699656993</v>
      </c>
      <c r="W62" s="22">
        <v>1.1365188232725785</v>
      </c>
      <c r="Y62" s="22">
        <v>60.937500000000007</v>
      </c>
      <c r="Z62" s="22">
        <v>0.47000000000000064</v>
      </c>
    </row>
    <row r="63" spans="1:26" x14ac:dyDescent="0.3">
      <c r="A63" s="16">
        <v>562</v>
      </c>
      <c r="B63" s="16">
        <v>406</v>
      </c>
      <c r="C63" s="16">
        <v>13.94</v>
      </c>
      <c r="D63" s="16">
        <v>13.43</v>
      </c>
      <c r="E63" s="16">
        <v>1.38</v>
      </c>
      <c r="F63" s="16">
        <v>9.8000000000000007</v>
      </c>
      <c r="G63" s="16">
        <v>2</v>
      </c>
      <c r="H63" s="20">
        <f t="shared" si="3"/>
        <v>0.19999999999999929</v>
      </c>
      <c r="T63" s="22">
        <v>60</v>
      </c>
      <c r="U63" s="22">
        <v>0.20471575910601489</v>
      </c>
      <c r="V63" s="22">
        <v>-0.14471575910601439</v>
      </c>
      <c r="W63" s="22">
        <v>-0.48931002763945775</v>
      </c>
      <c r="Y63" s="22">
        <v>61.979166666666671</v>
      </c>
      <c r="Z63" s="22">
        <v>0.48000000000000043</v>
      </c>
    </row>
    <row r="64" spans="1:26" x14ac:dyDescent="0.3">
      <c r="A64" s="16">
        <v>565</v>
      </c>
      <c r="B64" s="16">
        <v>388</v>
      </c>
      <c r="C64" s="16">
        <v>14.01</v>
      </c>
      <c r="D64" s="16">
        <v>12.83</v>
      </c>
      <c r="E64" s="16">
        <v>1.46</v>
      </c>
      <c r="F64" s="16">
        <v>9.75</v>
      </c>
      <c r="G64" s="16">
        <v>1</v>
      </c>
      <c r="H64" s="20">
        <f t="shared" si="3"/>
        <v>0.25</v>
      </c>
      <c r="T64" s="22">
        <v>61</v>
      </c>
      <c r="U64" s="22">
        <v>-1.2166154382822814E-2</v>
      </c>
      <c r="V64" s="22">
        <v>0.1421661543828236</v>
      </c>
      <c r="W64" s="22">
        <v>0.48068935518967798</v>
      </c>
      <c r="Y64" s="22">
        <v>63.020833333333343</v>
      </c>
      <c r="Z64" s="22">
        <v>0.53999999999999915</v>
      </c>
    </row>
    <row r="65" spans="1:26" x14ac:dyDescent="0.3">
      <c r="A65" s="16">
        <v>561</v>
      </c>
      <c r="B65" s="16">
        <v>396</v>
      </c>
      <c r="C65" s="16">
        <v>13.91</v>
      </c>
      <c r="D65" s="16">
        <v>13.1</v>
      </c>
      <c r="E65" s="16">
        <v>1.42</v>
      </c>
      <c r="F65" s="16">
        <v>9.82</v>
      </c>
      <c r="G65" s="16">
        <v>2</v>
      </c>
      <c r="H65" s="20">
        <f t="shared" si="3"/>
        <v>0.17999999999999972</v>
      </c>
      <c r="T65" s="22">
        <v>62</v>
      </c>
      <c r="U65" s="22">
        <v>4.7007541394328223E-2</v>
      </c>
      <c r="V65" s="22">
        <v>0.15299245860567107</v>
      </c>
      <c r="W65" s="22">
        <v>0.51729503829730661</v>
      </c>
      <c r="Y65" s="22">
        <v>64.0625</v>
      </c>
      <c r="Z65" s="22">
        <v>0.53999999999999915</v>
      </c>
    </row>
    <row r="66" spans="1:26" x14ac:dyDescent="0.3">
      <c r="A66" s="16">
        <v>560</v>
      </c>
      <c r="B66" s="16">
        <v>400</v>
      </c>
      <c r="C66" s="16">
        <v>13.89</v>
      </c>
      <c r="D66" s="16">
        <v>13.23</v>
      </c>
      <c r="E66" s="16">
        <v>1.4</v>
      </c>
      <c r="F66" s="16">
        <v>9.84</v>
      </c>
      <c r="G66" s="16">
        <v>2</v>
      </c>
      <c r="H66" s="20">
        <f t="shared" si="3"/>
        <v>0.16000000000000014</v>
      </c>
      <c r="T66" s="22">
        <v>63</v>
      </c>
      <c r="U66" s="22">
        <v>0.17627656334728045</v>
      </c>
      <c r="V66" s="22">
        <v>7.3723436652719548E-2</v>
      </c>
      <c r="W66" s="22">
        <v>0.24927220814833009</v>
      </c>
      <c r="Y66" s="22">
        <v>65.104166666666671</v>
      </c>
      <c r="Z66" s="22">
        <v>0.55000000000000071</v>
      </c>
    </row>
    <row r="67" spans="1:26" x14ac:dyDescent="0.3">
      <c r="A67" s="16">
        <v>554</v>
      </c>
      <c r="B67" s="16">
        <v>406</v>
      </c>
      <c r="C67" s="16">
        <v>13.74</v>
      </c>
      <c r="D67" s="16">
        <v>13.43</v>
      </c>
      <c r="E67" s="16">
        <v>1.36</v>
      </c>
      <c r="F67" s="16">
        <v>9.94</v>
      </c>
      <c r="G67" s="16">
        <v>3</v>
      </c>
      <c r="H67" s="20">
        <f t="shared" si="3"/>
        <v>6.0000000000000497E-2</v>
      </c>
      <c r="T67" s="22">
        <v>64</v>
      </c>
      <c r="U67" s="22">
        <v>9.9019441423176535E-3</v>
      </c>
      <c r="V67" s="22">
        <v>0.17009805585768206</v>
      </c>
      <c r="W67" s="22">
        <v>0.57513214129062584</v>
      </c>
      <c r="Y67" s="22">
        <v>66.145833333333329</v>
      </c>
      <c r="Z67" s="22">
        <v>0.59999999999999964</v>
      </c>
    </row>
    <row r="68" spans="1:26" x14ac:dyDescent="0.3">
      <c r="A68" s="16">
        <v>383</v>
      </c>
      <c r="B68" s="16">
        <v>288</v>
      </c>
      <c r="C68" s="16">
        <v>9.5</v>
      </c>
      <c r="D68" s="16">
        <v>9.52</v>
      </c>
      <c r="E68" s="16">
        <v>1.33</v>
      </c>
      <c r="F68" s="16">
        <v>14.38</v>
      </c>
      <c r="G68" s="16">
        <v>2</v>
      </c>
      <c r="H68" s="20">
        <f>ABS(F68-15)</f>
        <v>0.61999999999999922</v>
      </c>
      <c r="T68" s="22">
        <v>65</v>
      </c>
      <c r="U68" s="22">
        <v>1.8561741486340599E-2</v>
      </c>
      <c r="V68" s="22">
        <v>0.14143825851365954</v>
      </c>
      <c r="W68" s="22">
        <v>0.47822820824853257</v>
      </c>
      <c r="Y68" s="22">
        <v>67.1875</v>
      </c>
      <c r="Z68" s="22">
        <v>0.60999999999999943</v>
      </c>
    </row>
    <row r="69" spans="1:26" x14ac:dyDescent="0.3">
      <c r="A69" s="16">
        <v>388</v>
      </c>
      <c r="B69" s="16">
        <v>306</v>
      </c>
      <c r="C69" s="16">
        <v>9.6199999999999992</v>
      </c>
      <c r="D69" s="16">
        <v>10.119999999999999</v>
      </c>
      <c r="E69" s="16">
        <v>1.27</v>
      </c>
      <c r="F69" s="16">
        <v>14.2</v>
      </c>
      <c r="G69" s="16">
        <v>1</v>
      </c>
      <c r="H69" s="20">
        <f t="shared" ref="H69:H80" si="4">ABS(F69-15)</f>
        <v>0.80000000000000071</v>
      </c>
      <c r="T69" s="22">
        <v>66</v>
      </c>
      <c r="U69" s="22">
        <v>-0.11295898194517295</v>
      </c>
      <c r="V69" s="22">
        <v>0.17295898194517345</v>
      </c>
      <c r="W69" s="22">
        <v>0.58480544730506856</v>
      </c>
      <c r="Y69" s="22">
        <v>68.229166666666671</v>
      </c>
      <c r="Z69" s="22">
        <v>0.60999999999999943</v>
      </c>
    </row>
    <row r="70" spans="1:26" x14ac:dyDescent="0.3">
      <c r="A70" s="16">
        <v>395</v>
      </c>
      <c r="B70" s="16">
        <v>300</v>
      </c>
      <c r="C70" s="16">
        <v>9.8000000000000007</v>
      </c>
      <c r="D70" s="16">
        <v>9.92</v>
      </c>
      <c r="E70" s="16">
        <v>1.32</v>
      </c>
      <c r="F70" s="16">
        <v>13.94</v>
      </c>
      <c r="G70" s="16">
        <v>1</v>
      </c>
      <c r="H70" s="20">
        <f t="shared" si="4"/>
        <v>1.0600000000000005</v>
      </c>
      <c r="T70" s="22">
        <v>67</v>
      </c>
      <c r="U70" s="22">
        <v>0.46951927597035475</v>
      </c>
      <c r="V70" s="22">
        <v>0.15048072402964446</v>
      </c>
      <c r="W70" s="22">
        <v>0.50880241163099982</v>
      </c>
      <c r="Y70" s="22">
        <v>69.270833333333329</v>
      </c>
      <c r="Z70" s="22">
        <v>0.61999999999999922</v>
      </c>
    </row>
    <row r="71" spans="1:26" x14ac:dyDescent="0.3">
      <c r="A71" s="16">
        <v>388</v>
      </c>
      <c r="B71" s="16">
        <v>297</v>
      </c>
      <c r="C71" s="16">
        <v>9.6199999999999992</v>
      </c>
      <c r="D71" s="16">
        <v>9.82</v>
      </c>
      <c r="E71" s="16">
        <v>1.31</v>
      </c>
      <c r="F71" s="16">
        <v>14.2</v>
      </c>
      <c r="G71" s="16">
        <v>1</v>
      </c>
      <c r="H71" s="20">
        <f t="shared" si="4"/>
        <v>0.80000000000000071</v>
      </c>
      <c r="T71" s="22">
        <v>68</v>
      </c>
      <c r="U71" s="22">
        <v>0.77547533992472373</v>
      </c>
      <c r="V71" s="22">
        <v>2.4524660075276983E-2</v>
      </c>
      <c r="W71" s="22">
        <v>8.2922289689895692E-2</v>
      </c>
      <c r="Y71" s="22">
        <v>70.3125</v>
      </c>
      <c r="Z71" s="22">
        <v>0.61999999999999922</v>
      </c>
    </row>
    <row r="72" spans="1:26" x14ac:dyDescent="0.3">
      <c r="A72" s="16">
        <v>389</v>
      </c>
      <c r="B72" s="16">
        <v>289</v>
      </c>
      <c r="C72" s="16">
        <v>9.65</v>
      </c>
      <c r="D72" s="16">
        <v>9.56</v>
      </c>
      <c r="E72" s="16">
        <v>1.35</v>
      </c>
      <c r="F72" s="16">
        <v>14.16</v>
      </c>
      <c r="G72" s="16">
        <v>1</v>
      </c>
      <c r="H72" s="20">
        <f t="shared" si="4"/>
        <v>0.83999999999999986</v>
      </c>
      <c r="T72" s="22">
        <v>69</v>
      </c>
      <c r="U72" s="22">
        <v>0.61172901474007491</v>
      </c>
      <c r="V72" s="22">
        <v>0.44827098525992559</v>
      </c>
      <c r="W72" s="22">
        <v>1.5156848814704191</v>
      </c>
      <c r="Y72" s="22">
        <v>71.354166666666671</v>
      </c>
      <c r="Z72" s="22">
        <v>0.61999999999999922</v>
      </c>
    </row>
    <row r="73" spans="1:26" x14ac:dyDescent="0.3">
      <c r="A73" s="16">
        <v>383</v>
      </c>
      <c r="B73" s="16">
        <v>286</v>
      </c>
      <c r="C73" s="16">
        <v>9.5</v>
      </c>
      <c r="D73" s="16">
        <v>9.4600000000000009</v>
      </c>
      <c r="E73" s="16">
        <v>1.34</v>
      </c>
      <c r="F73" s="16">
        <v>14.38</v>
      </c>
      <c r="G73" s="16">
        <v>1</v>
      </c>
      <c r="H73" s="20">
        <f t="shared" si="4"/>
        <v>0.61999999999999922</v>
      </c>
      <c r="T73" s="22">
        <v>70</v>
      </c>
      <c r="U73" s="22">
        <v>0.69982767158242309</v>
      </c>
      <c r="V73" s="22">
        <v>0.10017232841757762</v>
      </c>
      <c r="W73" s="22">
        <v>0.33870067150604238</v>
      </c>
      <c r="Y73" s="22">
        <v>72.395833333333329</v>
      </c>
      <c r="Z73" s="22">
        <v>0.62999999999999901</v>
      </c>
    </row>
    <row r="74" spans="1:26" x14ac:dyDescent="0.3">
      <c r="A74" s="16">
        <v>399</v>
      </c>
      <c r="B74" s="16">
        <v>298</v>
      </c>
      <c r="C74" s="16">
        <v>9.9</v>
      </c>
      <c r="D74" s="16">
        <v>9.85</v>
      </c>
      <c r="E74" s="16">
        <v>1.34</v>
      </c>
      <c r="F74" s="16">
        <v>13.8</v>
      </c>
      <c r="G74" s="16">
        <v>1</v>
      </c>
      <c r="H74" s="20">
        <f t="shared" si="4"/>
        <v>1.1999999999999993</v>
      </c>
      <c r="T74" s="22">
        <v>71</v>
      </c>
      <c r="U74" s="22">
        <v>0.5506106468920906</v>
      </c>
      <c r="V74" s="22">
        <v>0.28938935310790925</v>
      </c>
      <c r="W74" s="22">
        <v>0.97847748747296537</v>
      </c>
      <c r="Y74" s="22">
        <v>73.4375</v>
      </c>
      <c r="Z74" s="22">
        <v>0.66000000000000014</v>
      </c>
    </row>
    <row r="75" spans="1:26" x14ac:dyDescent="0.3">
      <c r="A75" s="16">
        <v>376</v>
      </c>
      <c r="B75" s="16">
        <v>286</v>
      </c>
      <c r="C75" s="16">
        <v>9.33</v>
      </c>
      <c r="D75" s="16">
        <v>9.4600000000000009</v>
      </c>
      <c r="E75" s="16">
        <v>1.31</v>
      </c>
      <c r="F75" s="16">
        <v>14.65</v>
      </c>
      <c r="G75" s="16">
        <v>1</v>
      </c>
      <c r="H75" s="20">
        <f t="shared" si="4"/>
        <v>0.34999999999999964</v>
      </c>
      <c r="T75" s="22">
        <v>72</v>
      </c>
      <c r="U75" s="22">
        <v>0.6156602140267371</v>
      </c>
      <c r="V75" s="22">
        <v>4.3397859732621225E-3</v>
      </c>
      <c r="W75" s="22">
        <v>1.4673597455067819E-2</v>
      </c>
      <c r="Y75" s="22">
        <v>74.479166666666671</v>
      </c>
      <c r="Z75" s="22">
        <v>0.6899999999999995</v>
      </c>
    </row>
    <row r="76" spans="1:26" x14ac:dyDescent="0.3">
      <c r="A76" s="16">
        <v>392</v>
      </c>
      <c r="B76" s="16">
        <v>299</v>
      </c>
      <c r="C76" s="16">
        <v>9.7200000000000006</v>
      </c>
      <c r="D76" s="16">
        <v>9.89</v>
      </c>
      <c r="E76" s="16">
        <v>1.31</v>
      </c>
      <c r="F76" s="16">
        <v>14.05</v>
      </c>
      <c r="G76" s="16">
        <v>1</v>
      </c>
      <c r="H76" s="20">
        <f t="shared" si="4"/>
        <v>0.94999999999999929</v>
      </c>
      <c r="T76" s="22">
        <v>73</v>
      </c>
      <c r="U76" s="22">
        <v>0.58170361450377928</v>
      </c>
      <c r="V76" s="22">
        <v>0.61829638549622001</v>
      </c>
      <c r="W76" s="22">
        <v>2.0905713610284944</v>
      </c>
      <c r="Y76" s="22">
        <v>75.520833333333329</v>
      </c>
      <c r="Z76" s="22">
        <v>0.6899999999999995</v>
      </c>
    </row>
    <row r="77" spans="1:26" x14ac:dyDescent="0.3">
      <c r="A77" s="16">
        <v>385</v>
      </c>
      <c r="B77" s="16">
        <v>288</v>
      </c>
      <c r="C77" s="16">
        <v>9.5500000000000007</v>
      </c>
      <c r="D77" s="16">
        <v>9.52</v>
      </c>
      <c r="E77" s="16">
        <v>1.34</v>
      </c>
      <c r="F77" s="16">
        <v>14.31</v>
      </c>
      <c r="G77" s="16">
        <v>1</v>
      </c>
      <c r="H77" s="20">
        <f t="shared" si="4"/>
        <v>0.6899999999999995</v>
      </c>
      <c r="T77" s="22">
        <v>74</v>
      </c>
      <c r="U77" s="22">
        <v>0.70378391893722547</v>
      </c>
      <c r="V77" s="22">
        <v>-0.35378391893722583</v>
      </c>
      <c r="W77" s="22">
        <v>-1.1962071043469045</v>
      </c>
      <c r="Y77" s="22">
        <v>76.5625</v>
      </c>
      <c r="Z77" s="22">
        <v>0.73999999999999844</v>
      </c>
    </row>
    <row r="78" spans="1:26" x14ac:dyDescent="0.3">
      <c r="A78" s="16">
        <v>385</v>
      </c>
      <c r="B78" s="16">
        <v>291</v>
      </c>
      <c r="C78" s="16">
        <v>9.5500000000000007</v>
      </c>
      <c r="D78" s="16">
        <v>9.6199999999999992</v>
      </c>
      <c r="E78" s="16">
        <v>1.32</v>
      </c>
      <c r="F78" s="16">
        <v>14.31</v>
      </c>
      <c r="G78" s="16">
        <v>1</v>
      </c>
      <c r="H78" s="20">
        <f t="shared" si="4"/>
        <v>0.6899999999999995</v>
      </c>
      <c r="T78" s="22">
        <v>75</v>
      </c>
      <c r="U78" s="22">
        <v>0.69764322538949941</v>
      </c>
      <c r="V78" s="22">
        <v>0.25235677461049988</v>
      </c>
      <c r="W78" s="22">
        <v>0.85326367440887951</v>
      </c>
      <c r="Y78" s="22">
        <v>77.604166666666671</v>
      </c>
      <c r="Z78" s="22">
        <v>0.73999999999999844</v>
      </c>
    </row>
    <row r="79" spans="1:26" x14ac:dyDescent="0.3">
      <c r="A79" s="16">
        <v>384</v>
      </c>
      <c r="B79" s="16">
        <v>291</v>
      </c>
      <c r="C79" s="16">
        <v>9.52</v>
      </c>
      <c r="D79" s="16">
        <v>9.6199999999999992</v>
      </c>
      <c r="E79" s="16">
        <v>1.32</v>
      </c>
      <c r="F79" s="16">
        <v>14.34</v>
      </c>
      <c r="G79" s="16">
        <v>2</v>
      </c>
      <c r="H79" s="20">
        <f t="shared" si="4"/>
        <v>0.66000000000000014</v>
      </c>
      <c r="T79" s="22">
        <v>76</v>
      </c>
      <c r="U79" s="22">
        <v>0.61712797265195651</v>
      </c>
      <c r="V79" s="22">
        <v>7.2872027348042989E-2</v>
      </c>
      <c r="W79" s="22">
        <v>0.24639344005163241</v>
      </c>
      <c r="Y79" s="22">
        <v>78.645833333333329</v>
      </c>
      <c r="Z79" s="22">
        <v>0.80000000000000071</v>
      </c>
    </row>
    <row r="80" spans="1:26" x14ac:dyDescent="0.3">
      <c r="A80" s="16">
        <v>383</v>
      </c>
      <c r="B80" s="16">
        <v>293</v>
      </c>
      <c r="C80" s="16">
        <v>9.5</v>
      </c>
      <c r="D80" s="16">
        <v>9.69</v>
      </c>
      <c r="E80" s="16">
        <v>1.31</v>
      </c>
      <c r="F80" s="16">
        <v>14.38</v>
      </c>
      <c r="G80" s="16">
        <v>3</v>
      </c>
      <c r="H80" s="20">
        <f t="shared" si="4"/>
        <v>0.61999999999999922</v>
      </c>
      <c r="T80" s="22">
        <v>77</v>
      </c>
      <c r="U80" s="22">
        <v>0.69527346514558386</v>
      </c>
      <c r="V80" s="22">
        <v>-5.2734651455843551E-3</v>
      </c>
      <c r="W80" s="22">
        <v>-1.7830534781297071E-2</v>
      </c>
      <c r="Y80" s="22">
        <v>79.6875</v>
      </c>
      <c r="Z80" s="22">
        <v>0.80000000000000071</v>
      </c>
    </row>
    <row r="81" spans="1:26" x14ac:dyDescent="0.3">
      <c r="A81" s="16">
        <v>297</v>
      </c>
      <c r="B81" s="16">
        <v>219</v>
      </c>
      <c r="C81" s="16">
        <v>7.37</v>
      </c>
      <c r="D81" s="16">
        <v>7.24</v>
      </c>
      <c r="E81" s="16">
        <v>1.36</v>
      </c>
      <c r="F81" s="16">
        <v>18.55</v>
      </c>
      <c r="G81" s="16">
        <v>1</v>
      </c>
      <c r="H81" s="20">
        <f>ABS(F81-20)</f>
        <v>1.4499999999999993</v>
      </c>
      <c r="T81" s="22">
        <v>78</v>
      </c>
      <c r="U81" s="22">
        <v>0.52312599042233088</v>
      </c>
      <c r="V81" s="22">
        <v>0.13687400957766926</v>
      </c>
      <c r="W81" s="22">
        <v>0.46279566111738912</v>
      </c>
      <c r="Y81" s="22">
        <v>80.729166666666671</v>
      </c>
      <c r="Z81" s="22">
        <v>0.83999999999999986</v>
      </c>
    </row>
    <row r="82" spans="1:26" x14ac:dyDescent="0.3">
      <c r="A82" s="16">
        <v>289</v>
      </c>
      <c r="B82" s="16">
        <v>221</v>
      </c>
      <c r="C82" s="16">
        <v>7.17</v>
      </c>
      <c r="D82" s="16">
        <v>7.31</v>
      </c>
      <c r="E82" s="16">
        <v>1.31</v>
      </c>
      <c r="F82" s="16">
        <v>19.059999999999999</v>
      </c>
      <c r="G82" s="16">
        <v>2</v>
      </c>
      <c r="H82" s="20">
        <f t="shared" ref="H82:H97" si="5">ABS(F82-20)</f>
        <v>0.94000000000000128</v>
      </c>
      <c r="T82" s="22">
        <v>79</v>
      </c>
      <c r="U82" s="22">
        <v>0.28667068420024056</v>
      </c>
      <c r="V82" s="22">
        <v>0.33332931579975866</v>
      </c>
      <c r="W82" s="22">
        <v>1.1270464096970829</v>
      </c>
      <c r="Y82" s="22">
        <v>81.770833333333329</v>
      </c>
      <c r="Z82" s="22">
        <v>0.94000000000000128</v>
      </c>
    </row>
    <row r="83" spans="1:26" x14ac:dyDescent="0.3">
      <c r="A83" s="16">
        <v>291</v>
      </c>
      <c r="B83" s="16">
        <v>218</v>
      </c>
      <c r="C83" s="16">
        <v>7.22</v>
      </c>
      <c r="D83" s="16">
        <v>7.21</v>
      </c>
      <c r="E83" s="16">
        <v>1.33</v>
      </c>
      <c r="F83" s="16">
        <v>18.93</v>
      </c>
      <c r="G83" s="16">
        <v>1</v>
      </c>
      <c r="H83" s="20">
        <f t="shared" si="5"/>
        <v>1.0700000000000003</v>
      </c>
      <c r="T83" s="22">
        <v>80</v>
      </c>
      <c r="U83" s="22">
        <v>0.67138848083099245</v>
      </c>
      <c r="V83" s="22">
        <v>0.77861151916900684</v>
      </c>
      <c r="W83" s="22">
        <v>2.6326256816708589</v>
      </c>
      <c r="Y83" s="22">
        <v>82.8125</v>
      </c>
      <c r="Z83" s="22">
        <v>0.94000000000000128</v>
      </c>
    </row>
    <row r="84" spans="1:26" x14ac:dyDescent="0.3">
      <c r="A84" s="16">
        <v>282</v>
      </c>
      <c r="B84" s="16">
        <v>215</v>
      </c>
      <c r="C84" s="16">
        <v>6.99</v>
      </c>
      <c r="D84" s="16">
        <v>7.11</v>
      </c>
      <c r="E84" s="16">
        <v>1.31</v>
      </c>
      <c r="F84" s="16">
        <v>19.53</v>
      </c>
      <c r="G84" s="16">
        <v>2</v>
      </c>
      <c r="H84" s="20">
        <f t="shared" si="5"/>
        <v>0.46999999999999886</v>
      </c>
      <c r="T84" s="22">
        <v>81</v>
      </c>
      <c r="U84" s="22">
        <v>0.67604143652083293</v>
      </c>
      <c r="V84" s="22">
        <v>0.26395856347916835</v>
      </c>
      <c r="W84" s="22">
        <v>0.8924914106766112</v>
      </c>
      <c r="Y84" s="22">
        <v>83.854166666666671</v>
      </c>
      <c r="Z84" s="22">
        <v>0.94000000000000128</v>
      </c>
    </row>
    <row r="85" spans="1:26" x14ac:dyDescent="0.3">
      <c r="A85" s="16">
        <v>296</v>
      </c>
      <c r="B85" s="16">
        <v>218</v>
      </c>
      <c r="C85" s="16">
        <v>7.34</v>
      </c>
      <c r="D85" s="16">
        <v>7.21</v>
      </c>
      <c r="E85" s="16">
        <v>1.36</v>
      </c>
      <c r="F85" s="16">
        <v>18.61</v>
      </c>
      <c r="G85" s="16">
        <v>1</v>
      </c>
      <c r="H85" s="20">
        <f t="shared" si="5"/>
        <v>1.3900000000000006</v>
      </c>
      <c r="T85" s="22">
        <v>82</v>
      </c>
      <c r="U85" s="22">
        <v>0.8261934144190517</v>
      </c>
      <c r="V85" s="22">
        <v>0.24380658558094859</v>
      </c>
      <c r="W85" s="22">
        <v>0.82435394642750959</v>
      </c>
      <c r="Y85" s="22">
        <v>84.895833333333329</v>
      </c>
      <c r="Z85" s="22">
        <v>0.94999999999999929</v>
      </c>
    </row>
    <row r="86" spans="1:26" x14ac:dyDescent="0.3">
      <c r="A86" s="16">
        <v>297</v>
      </c>
      <c r="B86" s="16">
        <v>221</v>
      </c>
      <c r="C86" s="16">
        <v>7.37</v>
      </c>
      <c r="D86" s="16">
        <v>7.31</v>
      </c>
      <c r="E86" s="16">
        <v>1.34</v>
      </c>
      <c r="F86" s="16">
        <v>18.55</v>
      </c>
      <c r="G86" s="16">
        <v>1</v>
      </c>
      <c r="H86" s="20">
        <f t="shared" si="5"/>
        <v>1.4499999999999993</v>
      </c>
      <c r="T86" s="22">
        <v>83</v>
      </c>
      <c r="U86" s="22">
        <v>0.76085871344552292</v>
      </c>
      <c r="V86" s="22">
        <v>-0.29085871344552405</v>
      </c>
      <c r="W86" s="22">
        <v>-0.98344565923153604</v>
      </c>
      <c r="Y86" s="22">
        <v>85.9375</v>
      </c>
      <c r="Z86" s="22">
        <v>1.0100000000000016</v>
      </c>
    </row>
    <row r="87" spans="1:26" x14ac:dyDescent="0.3">
      <c r="A87" s="16">
        <v>283</v>
      </c>
      <c r="B87" s="16">
        <v>210</v>
      </c>
      <c r="C87" s="16">
        <v>7.02</v>
      </c>
      <c r="D87" s="16">
        <v>6.94</v>
      </c>
      <c r="E87" s="16">
        <v>1.35</v>
      </c>
      <c r="F87" s="16">
        <v>19.46</v>
      </c>
      <c r="G87" s="16">
        <v>2</v>
      </c>
      <c r="H87" s="20">
        <f t="shared" si="5"/>
        <v>0.53999999999999915</v>
      </c>
      <c r="T87" s="22">
        <v>84</v>
      </c>
      <c r="U87" s="22">
        <v>0.70906763916062188</v>
      </c>
      <c r="V87" s="22">
        <v>0.68093236083937869</v>
      </c>
      <c r="W87" s="22">
        <v>2.3023548669556773</v>
      </c>
      <c r="Y87" s="22">
        <v>86.979166666666671</v>
      </c>
      <c r="Z87" s="22">
        <v>1.0199999999999996</v>
      </c>
    </row>
    <row r="88" spans="1:26" x14ac:dyDescent="0.3">
      <c r="A88" s="16">
        <v>292</v>
      </c>
      <c r="B88" s="16">
        <v>219</v>
      </c>
      <c r="C88" s="16">
        <v>7.24</v>
      </c>
      <c r="D88" s="16">
        <v>7.24</v>
      </c>
      <c r="E88" s="16">
        <v>1.33</v>
      </c>
      <c r="F88" s="16">
        <v>18.86</v>
      </c>
      <c r="G88" s="16">
        <v>1</v>
      </c>
      <c r="H88" s="20">
        <f t="shared" si="5"/>
        <v>1.1400000000000006</v>
      </c>
      <c r="T88" s="22">
        <v>85</v>
      </c>
      <c r="U88" s="22">
        <v>0.76459549832687945</v>
      </c>
      <c r="V88" s="22">
        <v>0.68540450167311984</v>
      </c>
      <c r="W88" s="22">
        <v>2.3174759800153986</v>
      </c>
      <c r="Y88" s="22">
        <v>88.020833333333329</v>
      </c>
      <c r="Z88" s="22">
        <v>1.0600000000000005</v>
      </c>
    </row>
    <row r="89" spans="1:26" x14ac:dyDescent="0.3">
      <c r="A89" s="16">
        <v>286</v>
      </c>
      <c r="B89" s="16">
        <v>221</v>
      </c>
      <c r="C89" s="16">
        <v>7.09</v>
      </c>
      <c r="D89" s="16">
        <v>7.31</v>
      </c>
      <c r="E89" s="16">
        <v>1.29</v>
      </c>
      <c r="F89" s="16">
        <v>19.260000000000002</v>
      </c>
      <c r="G89" s="16">
        <v>1</v>
      </c>
      <c r="H89" s="20">
        <f t="shared" si="5"/>
        <v>0.73999999999999844</v>
      </c>
      <c r="T89" s="22">
        <v>86</v>
      </c>
      <c r="U89" s="22">
        <v>0.5671042983188308</v>
      </c>
      <c r="V89" s="22">
        <v>-2.7104298318831654E-2</v>
      </c>
      <c r="W89" s="22">
        <v>-9.1644510877491842E-2</v>
      </c>
      <c r="Y89" s="22">
        <v>89.0625</v>
      </c>
      <c r="Z89" s="22">
        <v>1.0700000000000003</v>
      </c>
    </row>
    <row r="90" spans="1:26" x14ac:dyDescent="0.3">
      <c r="A90" s="16">
        <v>290</v>
      </c>
      <c r="B90" s="16">
        <v>224</v>
      </c>
      <c r="C90" s="16">
        <v>7.19</v>
      </c>
      <c r="D90" s="16">
        <v>7.41</v>
      </c>
      <c r="E90" s="16">
        <v>1.29</v>
      </c>
      <c r="F90" s="16">
        <v>18.989999999999998</v>
      </c>
      <c r="G90" s="16">
        <v>1</v>
      </c>
      <c r="H90" s="20">
        <f t="shared" si="5"/>
        <v>1.0100000000000016</v>
      </c>
      <c r="T90" s="22">
        <v>87</v>
      </c>
      <c r="U90" s="22">
        <v>0.86663470051483849</v>
      </c>
      <c r="V90" s="22">
        <v>0.27336529948516208</v>
      </c>
      <c r="W90" s="22">
        <v>0.9242972781476031</v>
      </c>
      <c r="Y90" s="22">
        <v>90.104166666666671</v>
      </c>
      <c r="Z90" s="22">
        <v>1.1000000000000014</v>
      </c>
    </row>
    <row r="91" spans="1:26" x14ac:dyDescent="0.3">
      <c r="A91" s="16">
        <v>273</v>
      </c>
      <c r="B91" s="16">
        <v>215</v>
      </c>
      <c r="C91" s="16">
        <v>6.77</v>
      </c>
      <c r="D91" s="16">
        <v>7.11</v>
      </c>
      <c r="E91" s="16">
        <v>1.27</v>
      </c>
      <c r="F91" s="16">
        <v>20.18</v>
      </c>
      <c r="G91" s="16">
        <v>2</v>
      </c>
      <c r="H91" s="20">
        <f t="shared" si="5"/>
        <v>0.17999999999999972</v>
      </c>
      <c r="T91" s="22">
        <v>88</v>
      </c>
      <c r="U91" s="22">
        <v>1.019759265646927</v>
      </c>
      <c r="V91" s="22">
        <v>-0.27975926564692855</v>
      </c>
      <c r="W91" s="22">
        <v>-0.94591642853362123</v>
      </c>
      <c r="Y91" s="22">
        <v>91.145833333333329</v>
      </c>
      <c r="Z91" s="22">
        <v>1.1400000000000006</v>
      </c>
    </row>
    <row r="92" spans="1:26" x14ac:dyDescent="0.3">
      <c r="A92" s="16">
        <v>300</v>
      </c>
      <c r="B92" s="16">
        <v>226</v>
      </c>
      <c r="C92" s="16">
        <v>7.44</v>
      </c>
      <c r="D92" s="16">
        <v>7.47</v>
      </c>
      <c r="E92" s="16">
        <v>1.33</v>
      </c>
      <c r="F92" s="16">
        <v>18.36</v>
      </c>
      <c r="G92" s="16">
        <v>1</v>
      </c>
      <c r="H92" s="20">
        <f t="shared" si="5"/>
        <v>1.6400000000000006</v>
      </c>
      <c r="T92" s="22">
        <v>89</v>
      </c>
      <c r="U92" s="22">
        <v>1.0051020327336158</v>
      </c>
      <c r="V92" s="22">
        <v>4.8979672663858054E-3</v>
      </c>
      <c r="W92" s="22">
        <v>1.65609088692041E-2</v>
      </c>
      <c r="Y92" s="22">
        <v>92.1875</v>
      </c>
      <c r="Z92" s="22">
        <v>1.1400000000000006</v>
      </c>
    </row>
    <row r="93" spans="1:26" x14ac:dyDescent="0.3">
      <c r="A93" s="16">
        <v>292</v>
      </c>
      <c r="B93" s="16">
        <v>219</v>
      </c>
      <c r="C93" s="16">
        <v>7.24</v>
      </c>
      <c r="D93" s="16">
        <v>7.24</v>
      </c>
      <c r="E93" s="16">
        <v>1.33</v>
      </c>
      <c r="F93" s="16">
        <v>18.86</v>
      </c>
      <c r="G93" s="16">
        <v>1</v>
      </c>
      <c r="H93" s="20">
        <f t="shared" si="5"/>
        <v>1.1400000000000006</v>
      </c>
      <c r="T93" s="22">
        <v>90</v>
      </c>
      <c r="U93" s="22">
        <v>0.89009844040067021</v>
      </c>
      <c r="V93" s="22">
        <v>-0.71009844040067049</v>
      </c>
      <c r="W93" s="22">
        <v>-2.4009706312955901</v>
      </c>
      <c r="Y93" s="22">
        <v>93.229166666666671</v>
      </c>
      <c r="Z93" s="22">
        <v>1.1799999999999997</v>
      </c>
    </row>
    <row r="94" spans="1:26" x14ac:dyDescent="0.3">
      <c r="A94" s="16">
        <v>286</v>
      </c>
      <c r="B94" s="16">
        <v>216</v>
      </c>
      <c r="C94" s="16">
        <v>7.09</v>
      </c>
      <c r="D94" s="16">
        <v>7.14</v>
      </c>
      <c r="E94" s="16">
        <v>1.32</v>
      </c>
      <c r="F94" s="16">
        <v>19.260000000000002</v>
      </c>
      <c r="G94" s="16">
        <v>1</v>
      </c>
      <c r="H94" s="20">
        <f t="shared" si="5"/>
        <v>0.73999999999999844</v>
      </c>
      <c r="T94" s="22">
        <v>91</v>
      </c>
      <c r="U94" s="22">
        <v>0.82139579692532028</v>
      </c>
      <c r="V94" s="22">
        <v>0.81860420307468029</v>
      </c>
      <c r="W94" s="22">
        <v>2.7678481438833233</v>
      </c>
      <c r="Y94" s="22">
        <v>94.270833333333329</v>
      </c>
      <c r="Z94" s="22">
        <v>1.1999999999999993</v>
      </c>
    </row>
    <row r="95" spans="1:26" x14ac:dyDescent="0.3">
      <c r="A95" s="16">
        <v>281</v>
      </c>
      <c r="B95" s="16">
        <v>218</v>
      </c>
      <c r="C95" s="16">
        <v>6.97</v>
      </c>
      <c r="D95" s="16">
        <v>7.21</v>
      </c>
      <c r="E95" s="16">
        <v>1.29</v>
      </c>
      <c r="F95" s="16">
        <v>19.600000000000001</v>
      </c>
      <c r="G95" s="16">
        <v>2</v>
      </c>
      <c r="H95" s="20">
        <f t="shared" si="5"/>
        <v>0.39999999999999858</v>
      </c>
      <c r="T95" s="22">
        <v>92</v>
      </c>
      <c r="U95" s="22">
        <v>0.86663470051483849</v>
      </c>
      <c r="V95" s="22">
        <v>0.27336529948516208</v>
      </c>
      <c r="W95" s="22">
        <v>0.9242972781476031</v>
      </c>
      <c r="Y95" s="22">
        <v>95.3125</v>
      </c>
      <c r="Z95" s="22">
        <v>1.3900000000000006</v>
      </c>
    </row>
    <row r="96" spans="1:26" x14ac:dyDescent="0.3">
      <c r="A96" s="16">
        <v>284</v>
      </c>
      <c r="B96" s="16">
        <v>221</v>
      </c>
      <c r="C96" s="16">
        <v>7.04</v>
      </c>
      <c r="D96" s="16">
        <v>7.31</v>
      </c>
      <c r="E96" s="16">
        <v>1.29</v>
      </c>
      <c r="F96" s="16">
        <v>19.39</v>
      </c>
      <c r="G96" s="16">
        <v>2</v>
      </c>
      <c r="H96" s="20">
        <f t="shared" si="5"/>
        <v>0.60999999999999943</v>
      </c>
      <c r="T96" s="22">
        <v>93</v>
      </c>
      <c r="U96" s="22">
        <v>0.92780116022670334</v>
      </c>
      <c r="V96" s="22">
        <v>-0.1878011602267049</v>
      </c>
      <c r="W96" s="22">
        <v>-0.63498952338655235</v>
      </c>
      <c r="Y96" s="22">
        <v>96.354166666666671</v>
      </c>
      <c r="Z96" s="22">
        <v>1.4499999999999993</v>
      </c>
    </row>
    <row r="97" spans="1:26" x14ac:dyDescent="0.3">
      <c r="A97" s="16">
        <v>281</v>
      </c>
      <c r="B97" s="16">
        <v>221</v>
      </c>
      <c r="C97" s="16">
        <v>6.97</v>
      </c>
      <c r="D97" s="16">
        <v>7.31</v>
      </c>
      <c r="E97" s="16">
        <v>1.27</v>
      </c>
      <c r="F97" s="16">
        <v>19.600000000000001</v>
      </c>
      <c r="G97" s="16">
        <v>3</v>
      </c>
      <c r="H97" s="20">
        <f t="shared" si="5"/>
        <v>0.39999999999999858</v>
      </c>
      <c r="T97" s="22">
        <v>94</v>
      </c>
      <c r="U97" s="22">
        <v>0.7835013948410614</v>
      </c>
      <c r="V97" s="22">
        <v>-0.38350139484106283</v>
      </c>
      <c r="W97" s="22">
        <v>-1.2966872389618849</v>
      </c>
      <c r="Y97" s="22">
        <v>97.395833333333329</v>
      </c>
      <c r="Z97" s="22">
        <v>1.4499999999999993</v>
      </c>
    </row>
    <row r="98" spans="1:26" x14ac:dyDescent="0.3">
      <c r="T98" s="22">
        <v>95</v>
      </c>
      <c r="U98" s="22">
        <v>0.79146179525510929</v>
      </c>
      <c r="V98" s="22">
        <v>-0.18146179525510986</v>
      </c>
      <c r="W98" s="22">
        <v>-0.61355498945168629</v>
      </c>
      <c r="Y98" s="22">
        <v>98.4375</v>
      </c>
      <c r="Z98" s="22">
        <v>1.6000000000000014</v>
      </c>
    </row>
    <row r="99" spans="1:26" x14ac:dyDescent="0.3">
      <c r="T99" s="22">
        <v>96</v>
      </c>
      <c r="U99" s="22">
        <v>0.66623459471357405</v>
      </c>
      <c r="V99" s="22">
        <v>-0.26623459471357547</v>
      </c>
      <c r="W99" s="22">
        <v>-0.90018708192275487</v>
      </c>
      <c r="Y99" s="22">
        <v>99.479166666666671</v>
      </c>
      <c r="Z99" s="22">
        <v>1.6400000000000006</v>
      </c>
    </row>
  </sheetData>
  <autoFilter ref="A1:H1" xr:uid="{B2CEE3E7-4718-4335-879D-DAAC52C353F0}"/>
  <sortState xmlns:xlrd2="http://schemas.microsoft.com/office/spreadsheetml/2017/richdata2" ref="Z4:Z99">
    <sortCondition ref="Z4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D8988-5784-477A-8A44-7F2BE8320C0F}">
  <dimension ref="A1:AB99"/>
  <sheetViews>
    <sheetView tabSelected="1" topLeftCell="F30" zoomScale="126" zoomScaleNormal="37" workbookViewId="0">
      <selection activeCell="R33" sqref="R33"/>
    </sheetView>
  </sheetViews>
  <sheetFormatPr defaultRowHeight="14.4" x14ac:dyDescent="0.3"/>
  <cols>
    <col min="2" max="2" width="14.109375" bestFit="1" customWidth="1"/>
    <col min="3" max="4" width="9" bestFit="1" customWidth="1"/>
    <col min="6" max="6" width="18.21875" bestFit="1" customWidth="1"/>
    <col min="8" max="8" width="25.88671875" bestFit="1" customWidth="1"/>
    <col min="9" max="9" width="16.33203125" bestFit="1" customWidth="1"/>
    <col min="10" max="10" width="22.109375" bestFit="1" customWidth="1"/>
    <col min="11" max="11" width="16.5546875" bestFit="1" customWidth="1"/>
    <col min="12" max="12" width="12.44140625" bestFit="1" customWidth="1"/>
    <col min="18" max="18" width="15.77734375" bestFit="1" customWidth="1"/>
    <col min="19" max="19" width="23.6640625" bestFit="1" customWidth="1"/>
    <col min="20" max="20" width="13.21875" bestFit="1" customWidth="1"/>
    <col min="21" max="21" width="23.109375" bestFit="1" customWidth="1"/>
    <col min="26" max="26" width="30.77734375" bestFit="1" customWidth="1"/>
    <col min="27" max="27" width="29.6640625" bestFit="1" customWidth="1"/>
    <col min="28" max="28" width="27.5546875" bestFit="1" customWidth="1"/>
  </cols>
  <sheetData>
    <row r="1" spans="1:28" ht="15" thickBot="1" x14ac:dyDescent="0.35">
      <c r="A1" s="14" t="s">
        <v>3847</v>
      </c>
      <c r="B1" s="29" t="s">
        <v>3764</v>
      </c>
      <c r="C1" s="29" t="s">
        <v>3766</v>
      </c>
      <c r="D1" s="29" t="s">
        <v>3760</v>
      </c>
      <c r="E1" s="30" t="s">
        <v>3761</v>
      </c>
      <c r="F1" s="45" t="s">
        <v>3851</v>
      </c>
      <c r="H1" s="35"/>
      <c r="I1" s="35" t="s">
        <v>3764</v>
      </c>
      <c r="J1" s="35" t="s">
        <v>3766</v>
      </c>
      <c r="K1" s="35" t="s">
        <v>3760</v>
      </c>
      <c r="L1" s="35" t="s">
        <v>3761</v>
      </c>
      <c r="R1" t="s">
        <v>3812</v>
      </c>
      <c r="W1" t="s">
        <v>3817</v>
      </c>
      <c r="Z1" t="s">
        <v>3850</v>
      </c>
      <c r="AA1" t="s">
        <v>3849</v>
      </c>
      <c r="AB1" t="s">
        <v>3848</v>
      </c>
    </row>
    <row r="2" spans="1:28" ht="15" thickBot="1" x14ac:dyDescent="0.35">
      <c r="A2" s="16">
        <v>1</v>
      </c>
      <c r="B2" s="16">
        <v>13.59</v>
      </c>
      <c r="C2" s="16">
        <v>1.4</v>
      </c>
      <c r="D2" s="16">
        <v>2</v>
      </c>
      <c r="E2" s="20">
        <v>0.05</v>
      </c>
      <c r="F2" s="46">
        <f t="shared" ref="F2:F33" si="0">$I$21+B2*$I$22+C2*$I$23+D2*$I$24</f>
        <v>4.9501882982593393E-2</v>
      </c>
      <c r="H2" s="34" t="s">
        <v>3764</v>
      </c>
      <c r="I2" s="33">
        <v>1</v>
      </c>
      <c r="J2" s="34"/>
      <c r="K2" s="34"/>
      <c r="L2" s="34"/>
      <c r="Z2">
        <v>0.83309069030598892</v>
      </c>
      <c r="AA2">
        <v>0.81937481874402285</v>
      </c>
      <c r="AB2">
        <f>Z2-AA2</f>
        <v>1.3715871561966075E-2</v>
      </c>
    </row>
    <row r="3" spans="1:28" x14ac:dyDescent="0.3">
      <c r="A3" s="16">
        <v>2</v>
      </c>
      <c r="B3" s="16">
        <v>13.81</v>
      </c>
      <c r="C3" s="16">
        <v>1.42</v>
      </c>
      <c r="D3" s="16">
        <v>2</v>
      </c>
      <c r="E3" s="20">
        <v>0.11</v>
      </c>
      <c r="F3" s="46">
        <f t="shared" si="0"/>
        <v>-1.5403541748095884E-2</v>
      </c>
      <c r="H3" s="22" t="s">
        <v>3766</v>
      </c>
      <c r="I3" s="22">
        <v>0.52644099718249449</v>
      </c>
      <c r="J3" s="27">
        <v>1</v>
      </c>
      <c r="K3" s="22"/>
      <c r="L3" s="22"/>
      <c r="R3" s="21" t="s">
        <v>3813</v>
      </c>
      <c r="S3" s="21" t="s">
        <v>3814</v>
      </c>
      <c r="T3" s="21" t="s">
        <v>3815</v>
      </c>
      <c r="U3" s="21" t="s">
        <v>3816</v>
      </c>
      <c r="W3" s="21" t="s">
        <v>3818</v>
      </c>
      <c r="X3" s="21" t="s">
        <v>3761</v>
      </c>
      <c r="Z3">
        <v>0.82539657935868704</v>
      </c>
      <c r="AA3">
        <v>0.79039682070097983</v>
      </c>
      <c r="AB3">
        <f t="shared" ref="AB3:AB66" si="1">Z3-AA3</f>
        <v>3.4999758657707214E-2</v>
      </c>
    </row>
    <row r="4" spans="1:28" x14ac:dyDescent="0.3">
      <c r="A4" s="16">
        <v>3</v>
      </c>
      <c r="B4" s="16">
        <v>13.84</v>
      </c>
      <c r="C4" s="16">
        <v>1.45</v>
      </c>
      <c r="D4" s="16">
        <v>2</v>
      </c>
      <c r="E4" s="20">
        <v>0.13</v>
      </c>
      <c r="F4" s="46">
        <f t="shared" si="0"/>
        <v>-9.500603819650888E-2</v>
      </c>
      <c r="H4" s="22" t="s">
        <v>3760</v>
      </c>
      <c r="I4" s="22">
        <v>2.6724433552066055E-2</v>
      </c>
      <c r="J4" s="22">
        <v>-3.4033363831841877E-2</v>
      </c>
      <c r="K4" s="27">
        <v>1</v>
      </c>
      <c r="L4" s="22"/>
      <c r="R4" s="22">
        <v>1</v>
      </c>
      <c r="S4" s="22">
        <v>4.9501882982593393E-2</v>
      </c>
      <c r="T4" s="22">
        <v>4.9811701740661019E-4</v>
      </c>
      <c r="U4" s="22">
        <v>1.6464078201948627E-3</v>
      </c>
      <c r="W4" s="22">
        <v>0.52083333333333304</v>
      </c>
      <c r="X4" s="22">
        <v>0</v>
      </c>
      <c r="Z4">
        <v>0.9020398023658307</v>
      </c>
      <c r="AA4">
        <v>0.58090314274046628</v>
      </c>
      <c r="AB4">
        <f t="shared" si="1"/>
        <v>0.32113665962536442</v>
      </c>
    </row>
    <row r="5" spans="1:28" x14ac:dyDescent="0.3">
      <c r="A5" s="16">
        <v>4</v>
      </c>
      <c r="B5" s="16">
        <v>14.06</v>
      </c>
      <c r="C5" s="16">
        <v>1.45</v>
      </c>
      <c r="D5" s="16">
        <v>2</v>
      </c>
      <c r="E5" s="20">
        <v>0.28999999999999998</v>
      </c>
      <c r="F5" s="46">
        <f t="shared" si="0"/>
        <v>-0.1080268413380977</v>
      </c>
      <c r="H5" s="22" t="s">
        <v>3761</v>
      </c>
      <c r="I5" s="22">
        <v>-0.57759818982193456</v>
      </c>
      <c r="J5" s="22">
        <v>-0.50888421490025304</v>
      </c>
      <c r="K5" s="22">
        <v>-0.29801766087073062</v>
      </c>
      <c r="L5" s="27">
        <v>1</v>
      </c>
      <c r="R5" s="22">
        <v>2</v>
      </c>
      <c r="S5" s="22">
        <v>-1.5403541748095884E-2</v>
      </c>
      <c r="T5" s="22">
        <v>0.12540354174809587</v>
      </c>
      <c r="U5" s="22">
        <v>0.41449170495948234</v>
      </c>
      <c r="W5" s="22">
        <v>1.5625</v>
      </c>
      <c r="X5" s="22">
        <v>0</v>
      </c>
      <c r="Z5">
        <v>0.79649499512286748</v>
      </c>
      <c r="AA5">
        <v>0.91722943328318407</v>
      </c>
      <c r="AB5">
        <f t="shared" si="1"/>
        <v>-0.12073443816031659</v>
      </c>
    </row>
    <row r="6" spans="1:28" ht="15" thickBot="1" x14ac:dyDescent="0.35">
      <c r="A6" s="16">
        <v>5</v>
      </c>
      <c r="B6" s="16">
        <v>13.44</v>
      </c>
      <c r="C6" s="16">
        <v>1.41</v>
      </c>
      <c r="D6" s="16">
        <v>1</v>
      </c>
      <c r="E6" s="20">
        <v>0.16</v>
      </c>
      <c r="F6" s="46">
        <f t="shared" si="0"/>
        <v>0.23009397670728687</v>
      </c>
      <c r="R6" s="22">
        <v>3</v>
      </c>
      <c r="S6" s="22">
        <v>-9.500603819650888E-2</v>
      </c>
      <c r="T6" s="22">
        <v>0.22500603819650888</v>
      </c>
      <c r="U6" s="22">
        <v>0.74370416575308151</v>
      </c>
      <c r="W6" s="22">
        <v>2.604166666666667</v>
      </c>
      <c r="X6" s="22">
        <v>0.01</v>
      </c>
      <c r="Z6">
        <v>0.92502283971911115</v>
      </c>
      <c r="AA6">
        <v>0.91131088640064362</v>
      </c>
      <c r="AB6">
        <f t="shared" si="1"/>
        <v>1.3711953318467529E-2</v>
      </c>
    </row>
    <row r="7" spans="1:28" x14ac:dyDescent="0.3">
      <c r="A7" s="16">
        <v>6</v>
      </c>
      <c r="B7" s="16">
        <v>13.76</v>
      </c>
      <c r="C7" s="16">
        <v>1.36</v>
      </c>
      <c r="D7" s="16">
        <v>1</v>
      </c>
      <c r="E7" s="20">
        <v>0.08</v>
      </c>
      <c r="F7" s="46">
        <f t="shared" si="0"/>
        <v>0.34086618065591051</v>
      </c>
      <c r="H7" s="28" t="s">
        <v>3789</v>
      </c>
      <c r="I7" s="28"/>
      <c r="R7" s="22">
        <v>4</v>
      </c>
      <c r="S7" s="22">
        <v>-0.1080268413380977</v>
      </c>
      <c r="T7" s="22">
        <v>0.39802684133809768</v>
      </c>
      <c r="U7" s="22">
        <v>1.3155834499257315</v>
      </c>
      <c r="W7" s="22">
        <v>3.6458333333333335</v>
      </c>
      <c r="X7" s="22">
        <v>0.01</v>
      </c>
      <c r="Z7">
        <v>0.84719590733545957</v>
      </c>
      <c r="AA7">
        <v>0.72667510534679891</v>
      </c>
      <c r="AB7">
        <f t="shared" si="1"/>
        <v>0.12052080198866066</v>
      </c>
    </row>
    <row r="8" spans="1:28" x14ac:dyDescent="0.3">
      <c r="A8" s="16">
        <v>7</v>
      </c>
      <c r="B8" s="16">
        <v>13.86</v>
      </c>
      <c r="C8" s="16">
        <v>1.4</v>
      </c>
      <c r="D8" s="16">
        <v>1</v>
      </c>
      <c r="E8" s="20">
        <v>0.15</v>
      </c>
      <c r="F8" s="46">
        <f t="shared" si="0"/>
        <v>0.23117839059516959</v>
      </c>
      <c r="H8" s="22" t="s">
        <v>3790</v>
      </c>
      <c r="I8" s="25">
        <v>0.69263006314421804</v>
      </c>
      <c r="R8" s="22">
        <v>5</v>
      </c>
      <c r="S8" s="22">
        <v>0.23009397670728687</v>
      </c>
      <c r="T8" s="22">
        <v>-7.009397670728687E-2</v>
      </c>
      <c r="U8" s="22">
        <v>-0.23167903799044592</v>
      </c>
      <c r="W8" s="22">
        <v>4.6875</v>
      </c>
      <c r="X8" s="22">
        <v>0.03</v>
      </c>
      <c r="Z8">
        <v>0.63373887409651641</v>
      </c>
      <c r="AA8">
        <v>0.72253212252902077</v>
      </c>
      <c r="AB8">
        <f t="shared" si="1"/>
        <v>-8.8793248432504357E-2</v>
      </c>
    </row>
    <row r="9" spans="1:28" x14ac:dyDescent="0.3">
      <c r="A9" s="16">
        <v>8</v>
      </c>
      <c r="B9" s="16">
        <v>13.84</v>
      </c>
      <c r="C9" s="16">
        <v>1.42</v>
      </c>
      <c r="D9" s="16">
        <v>3</v>
      </c>
      <c r="E9" s="20">
        <v>0.13</v>
      </c>
      <c r="F9" s="46">
        <f t="shared" si="0"/>
        <v>-0.21483569000829084</v>
      </c>
      <c r="H9" s="22" t="s">
        <v>3791</v>
      </c>
      <c r="I9" s="26">
        <v>0.47973640437116349</v>
      </c>
      <c r="R9" s="22">
        <v>6</v>
      </c>
      <c r="S9" s="22">
        <v>0.34086618065591051</v>
      </c>
      <c r="T9" s="22">
        <v>-0.2608661806559105</v>
      </c>
      <c r="U9" s="22">
        <v>-0.86223137304635555</v>
      </c>
      <c r="W9" s="22">
        <v>5.729166666666667</v>
      </c>
      <c r="X9" s="22">
        <v>0.04</v>
      </c>
      <c r="Z9">
        <v>0.58996059060362327</v>
      </c>
      <c r="AA9">
        <v>0.92502283971911115</v>
      </c>
      <c r="AB9">
        <f t="shared" si="1"/>
        <v>-0.33506224911548788</v>
      </c>
    </row>
    <row r="10" spans="1:28" x14ac:dyDescent="0.3">
      <c r="A10" s="16">
        <v>9</v>
      </c>
      <c r="B10" s="16">
        <v>13.67</v>
      </c>
      <c r="C10" s="16">
        <v>1.38</v>
      </c>
      <c r="D10" s="16">
        <v>1</v>
      </c>
      <c r="E10" s="20">
        <v>0</v>
      </c>
      <c r="F10" s="46">
        <f t="shared" si="0"/>
        <v>0.29430825126109611</v>
      </c>
      <c r="H10" s="22" t="s">
        <v>3792</v>
      </c>
      <c r="I10" s="26">
        <v>0.46277128712239707</v>
      </c>
      <c r="R10" s="22">
        <v>7</v>
      </c>
      <c r="S10" s="22">
        <v>0.23117839059516959</v>
      </c>
      <c r="T10" s="22">
        <v>-8.1178390595169597E-2</v>
      </c>
      <c r="U10" s="22">
        <v>-0.26831594271275483</v>
      </c>
      <c r="W10" s="22">
        <v>6.770833333333333</v>
      </c>
      <c r="X10" s="22">
        <v>0.05</v>
      </c>
      <c r="Z10">
        <v>0.78643346542254888</v>
      </c>
      <c r="AA10">
        <v>0.9020398023658307</v>
      </c>
      <c r="AB10">
        <f t="shared" si="1"/>
        <v>-0.11560633694328182</v>
      </c>
    </row>
    <row r="11" spans="1:28" x14ac:dyDescent="0.3">
      <c r="A11" s="16">
        <v>10</v>
      </c>
      <c r="B11" s="16">
        <v>13.84</v>
      </c>
      <c r="C11" s="16">
        <v>1.4</v>
      </c>
      <c r="D11" s="16">
        <v>1</v>
      </c>
      <c r="E11" s="20">
        <v>0.13</v>
      </c>
      <c r="F11" s="46">
        <f t="shared" si="0"/>
        <v>0.2323620999716775</v>
      </c>
      <c r="H11" s="22" t="s">
        <v>3793</v>
      </c>
      <c r="I11" s="26">
        <v>0.30744104504932751</v>
      </c>
      <c r="R11" s="22">
        <v>8</v>
      </c>
      <c r="S11" s="22">
        <v>-0.21483569000829084</v>
      </c>
      <c r="T11" s="22">
        <v>0.34483569000829084</v>
      </c>
      <c r="U11" s="22">
        <v>1.139772697724355</v>
      </c>
      <c r="W11" s="22">
        <v>7.8125</v>
      </c>
      <c r="X11" s="22">
        <v>0.05</v>
      </c>
      <c r="Z11">
        <v>0.61294362795690327</v>
      </c>
      <c r="AA11">
        <v>0.71560557556582061</v>
      </c>
      <c r="AB11">
        <f t="shared" si="1"/>
        <v>-0.10266194760891734</v>
      </c>
    </row>
    <row r="12" spans="1:28" x14ac:dyDescent="0.3">
      <c r="A12" s="16">
        <v>11</v>
      </c>
      <c r="B12" s="16">
        <v>13.67</v>
      </c>
      <c r="C12" s="16">
        <v>1.32</v>
      </c>
      <c r="D12" s="16">
        <v>1</v>
      </c>
      <c r="E12" s="20">
        <v>0</v>
      </c>
      <c r="F12" s="46">
        <f t="shared" si="0"/>
        <v>0.44996211602839881</v>
      </c>
      <c r="H12" s="22" t="s">
        <v>3794</v>
      </c>
      <c r="I12" s="22">
        <v>96</v>
      </c>
      <c r="R12" s="22">
        <v>9</v>
      </c>
      <c r="S12" s="22">
        <v>0.29430825126109611</v>
      </c>
      <c r="T12" s="22">
        <v>-0.29430825126109611</v>
      </c>
      <c r="U12" s="22">
        <v>-0.97276621655470674</v>
      </c>
      <c r="W12" s="22">
        <v>8.8541666666666679</v>
      </c>
      <c r="X12" s="22">
        <v>0.05</v>
      </c>
      <c r="Z12">
        <v>0.72981400632741589</v>
      </c>
      <c r="AA12">
        <v>0.73276936152518579</v>
      </c>
      <c r="AB12">
        <f t="shared" si="1"/>
        <v>-2.9553551977699044E-3</v>
      </c>
    </row>
    <row r="13" spans="1:28" x14ac:dyDescent="0.3">
      <c r="A13" s="16">
        <v>12</v>
      </c>
      <c r="B13" s="16">
        <v>13.76</v>
      </c>
      <c r="C13" s="16">
        <v>1.38</v>
      </c>
      <c r="D13" s="16">
        <v>1</v>
      </c>
      <c r="E13" s="20">
        <v>0.08</v>
      </c>
      <c r="F13" s="46">
        <f t="shared" si="0"/>
        <v>0.28898155906681006</v>
      </c>
      <c r="R13" s="22">
        <v>10</v>
      </c>
      <c r="S13" s="22">
        <v>0.2323620999716775</v>
      </c>
      <c r="T13" s="22">
        <v>-0.1023620999716775</v>
      </c>
      <c r="U13" s="22">
        <v>-0.33833367661753316</v>
      </c>
      <c r="W13" s="22">
        <v>9.8958333333333339</v>
      </c>
      <c r="X13" s="22">
        <v>0.06</v>
      </c>
      <c r="Z13">
        <v>0.79039682070097983</v>
      </c>
      <c r="AA13">
        <v>0.70968702868328015</v>
      </c>
      <c r="AB13">
        <f t="shared" si="1"/>
        <v>8.0709792017699677E-2</v>
      </c>
    </row>
    <row r="14" spans="1:28" ht="15" thickBot="1" x14ac:dyDescent="0.35">
      <c r="A14" s="16">
        <v>13</v>
      </c>
      <c r="B14" s="16">
        <v>13.96</v>
      </c>
      <c r="C14" s="16">
        <v>1.41</v>
      </c>
      <c r="D14" s="16">
        <v>1</v>
      </c>
      <c r="E14" s="20">
        <v>0.22</v>
      </c>
      <c r="F14" s="46">
        <f t="shared" si="0"/>
        <v>0.19931753291807847</v>
      </c>
      <c r="H14" t="s">
        <v>3795</v>
      </c>
      <c r="R14" s="22">
        <v>11</v>
      </c>
      <c r="S14" s="22">
        <v>0.44996211602839881</v>
      </c>
      <c r="T14" s="22">
        <v>-0.44996211602839881</v>
      </c>
      <c r="U14" s="22">
        <v>-1.4872431993542108</v>
      </c>
      <c r="W14" s="22">
        <v>10.937500000000002</v>
      </c>
      <c r="X14" s="22">
        <v>0.06</v>
      </c>
      <c r="Z14">
        <v>0.83239954012911022</v>
      </c>
      <c r="AA14">
        <v>0.32739466343400103</v>
      </c>
      <c r="AB14">
        <f t="shared" si="1"/>
        <v>0.50500487669510918</v>
      </c>
    </row>
    <row r="15" spans="1:28" x14ac:dyDescent="0.3">
      <c r="A15" s="16">
        <v>14</v>
      </c>
      <c r="B15" s="16">
        <v>13.76</v>
      </c>
      <c r="C15" s="16">
        <v>1.37</v>
      </c>
      <c r="D15" s="16">
        <v>1</v>
      </c>
      <c r="E15" s="20">
        <v>0.08</v>
      </c>
      <c r="F15" s="46">
        <f t="shared" si="0"/>
        <v>0.31492386986135984</v>
      </c>
      <c r="H15" s="21"/>
      <c r="I15" s="21" t="s">
        <v>3800</v>
      </c>
      <c r="J15" s="21" t="s">
        <v>3801</v>
      </c>
      <c r="K15" s="21" t="s">
        <v>3802</v>
      </c>
      <c r="L15" s="21" t="s">
        <v>3803</v>
      </c>
      <c r="M15" s="21" t="s">
        <v>3804</v>
      </c>
      <c r="R15" s="22">
        <v>12</v>
      </c>
      <c r="S15" s="22">
        <v>0.28898155906681006</v>
      </c>
      <c r="T15" s="22">
        <v>-0.20898155906681004</v>
      </c>
      <c r="U15" s="22">
        <v>-0.69073904544652232</v>
      </c>
      <c r="W15" s="22">
        <v>11.979166666666668</v>
      </c>
      <c r="X15" s="22">
        <v>7.0000000000000007E-2</v>
      </c>
      <c r="Z15">
        <v>0.47908909116637399</v>
      </c>
      <c r="AA15">
        <v>0.66295338999261755</v>
      </c>
      <c r="AB15">
        <f t="shared" si="1"/>
        <v>-0.18386429882624356</v>
      </c>
    </row>
    <row r="16" spans="1:28" x14ac:dyDescent="0.3">
      <c r="A16" s="16">
        <v>15</v>
      </c>
      <c r="B16" s="16">
        <v>13.86</v>
      </c>
      <c r="C16" s="16">
        <v>1.42</v>
      </c>
      <c r="D16" s="16">
        <v>1</v>
      </c>
      <c r="E16" s="20">
        <v>0.15</v>
      </c>
      <c r="F16" s="46">
        <f t="shared" si="0"/>
        <v>0.17929376900606825</v>
      </c>
      <c r="H16" s="22" t="s">
        <v>3796</v>
      </c>
      <c r="I16" s="22">
        <v>3</v>
      </c>
      <c r="J16" s="22">
        <v>8.0184561846792555</v>
      </c>
      <c r="K16" s="22">
        <v>2.6728187282264186</v>
      </c>
      <c r="L16" s="25">
        <v>28.27781248644461</v>
      </c>
      <c r="M16" s="25">
        <v>4.7759089631381571E-13</v>
      </c>
      <c r="R16" s="22">
        <v>13</v>
      </c>
      <c r="S16" s="22">
        <v>0.19931753291807847</v>
      </c>
      <c r="T16" s="22">
        <v>2.0682467081921535E-2</v>
      </c>
      <c r="U16" s="22">
        <v>6.8360996221099105E-2</v>
      </c>
      <c r="W16" s="22">
        <v>13.020833333333334</v>
      </c>
      <c r="X16" s="22">
        <v>7.0000000000000007E-2</v>
      </c>
      <c r="Z16">
        <v>0.70091242209159588</v>
      </c>
      <c r="AA16">
        <v>0.67360677438118877</v>
      </c>
      <c r="AB16">
        <f t="shared" si="1"/>
        <v>2.730564771040711E-2</v>
      </c>
    </row>
    <row r="17" spans="1:28" x14ac:dyDescent="0.3">
      <c r="A17" s="16">
        <v>16</v>
      </c>
      <c r="B17" s="16">
        <v>13.84</v>
      </c>
      <c r="C17" s="16">
        <v>1.4</v>
      </c>
      <c r="D17" s="16">
        <v>2</v>
      </c>
      <c r="E17" s="20">
        <v>0.13</v>
      </c>
      <c r="F17" s="46">
        <f t="shared" si="0"/>
        <v>3.4705515776244034E-2</v>
      </c>
      <c r="H17" s="22" t="s">
        <v>3797</v>
      </c>
      <c r="I17" s="22">
        <v>92</v>
      </c>
      <c r="J17" s="22">
        <v>8.6958396486540828</v>
      </c>
      <c r="K17" s="22">
        <v>9.4519996181022636E-2</v>
      </c>
      <c r="L17" s="22"/>
      <c r="M17" s="22"/>
      <c r="R17" s="22">
        <v>14</v>
      </c>
      <c r="S17" s="22">
        <v>0.31492386986135984</v>
      </c>
      <c r="T17" s="22">
        <v>-0.23492386986135982</v>
      </c>
      <c r="U17" s="22">
        <v>-0.77648520924643749</v>
      </c>
      <c r="W17" s="22">
        <v>14.062500000000002</v>
      </c>
      <c r="X17" s="22">
        <v>0.08</v>
      </c>
      <c r="Z17">
        <v>0.2743302507118921</v>
      </c>
      <c r="AA17">
        <v>0.44996211602839881</v>
      </c>
      <c r="AB17">
        <f t="shared" si="1"/>
        <v>-0.17563186531650671</v>
      </c>
    </row>
    <row r="18" spans="1:28" x14ac:dyDescent="0.3">
      <c r="A18" s="16">
        <v>17</v>
      </c>
      <c r="B18" s="16">
        <v>13.72</v>
      </c>
      <c r="C18" s="16">
        <v>1.32</v>
      </c>
      <c r="D18" s="16">
        <v>2</v>
      </c>
      <c r="E18" s="20">
        <v>0.04</v>
      </c>
      <c r="F18" s="46">
        <f t="shared" si="0"/>
        <v>0.24934625839169511</v>
      </c>
      <c r="H18" s="22" t="s">
        <v>3798</v>
      </c>
      <c r="I18" s="22">
        <v>95</v>
      </c>
      <c r="J18" s="22">
        <v>16.714295833333338</v>
      </c>
      <c r="K18" s="22"/>
      <c r="L18" s="22"/>
      <c r="M18" s="22"/>
      <c r="R18" s="22">
        <v>15</v>
      </c>
      <c r="S18" s="22">
        <v>0.17929376900606825</v>
      </c>
      <c r="T18" s="22">
        <v>-2.9293769006068254E-2</v>
      </c>
      <c r="U18" s="22">
        <v>-9.6823615112918732E-2</v>
      </c>
      <c r="W18" s="22">
        <v>15.104166666666668</v>
      </c>
      <c r="X18" s="22">
        <v>0.08</v>
      </c>
      <c r="Z18">
        <v>0.58885721327783735</v>
      </c>
      <c r="AA18">
        <v>0.24934625839169511</v>
      </c>
      <c r="AB18">
        <f t="shared" si="1"/>
        <v>0.33951095488614225</v>
      </c>
    </row>
    <row r="19" spans="1:28" ht="15" thickBot="1" x14ac:dyDescent="0.35">
      <c r="A19" s="16">
        <v>18</v>
      </c>
      <c r="B19" s="16">
        <v>13.79</v>
      </c>
      <c r="C19" s="16">
        <v>1.34</v>
      </c>
      <c r="D19" s="16">
        <v>2</v>
      </c>
      <c r="E19" s="20">
        <v>0.09</v>
      </c>
      <c r="F19" s="46">
        <f t="shared" si="0"/>
        <v>0.19331865398481562</v>
      </c>
      <c r="R19" s="22">
        <v>16</v>
      </c>
      <c r="S19" s="22">
        <v>3.4705515776244034E-2</v>
      </c>
      <c r="T19" s="22">
        <v>9.5294484223755971E-2</v>
      </c>
      <c r="U19" s="22">
        <v>0.31497334675349276</v>
      </c>
      <c r="W19" s="22">
        <v>16.145833333333336</v>
      </c>
      <c r="X19" s="22">
        <v>0.08</v>
      </c>
      <c r="Z19">
        <v>0.58090314274046628</v>
      </c>
      <c r="AA19">
        <v>0.67900988038269738</v>
      </c>
      <c r="AB19">
        <f t="shared" si="1"/>
        <v>-9.8106737642231101E-2</v>
      </c>
    </row>
    <row r="20" spans="1:28" x14ac:dyDescent="0.3">
      <c r="A20" s="16">
        <v>19</v>
      </c>
      <c r="B20" s="16">
        <v>9.1</v>
      </c>
      <c r="C20" s="16">
        <v>1.47</v>
      </c>
      <c r="D20" s="16">
        <v>2</v>
      </c>
      <c r="E20" s="20">
        <v>0.01</v>
      </c>
      <c r="F20" s="46">
        <f t="shared" si="0"/>
        <v>0.13364846244678696</v>
      </c>
      <c r="H20" s="21"/>
      <c r="I20" s="43" t="s">
        <v>3805</v>
      </c>
      <c r="J20" s="21" t="s">
        <v>3793</v>
      </c>
      <c r="K20" s="21" t="s">
        <v>3806</v>
      </c>
      <c r="L20" s="21" t="s">
        <v>3807</v>
      </c>
      <c r="M20" s="21" t="s">
        <v>3808</v>
      </c>
      <c r="N20" s="21" t="s">
        <v>3809</v>
      </c>
      <c r="O20" s="21" t="s">
        <v>3810</v>
      </c>
      <c r="P20" s="21" t="s">
        <v>3811</v>
      </c>
      <c r="R20" s="22">
        <v>17</v>
      </c>
      <c r="S20" s="22">
        <v>0.24934625839169511</v>
      </c>
      <c r="T20" s="22">
        <v>-0.2093462583916951</v>
      </c>
      <c r="U20" s="22">
        <v>-0.69194447268455705</v>
      </c>
      <c r="W20" s="22">
        <v>17.1875</v>
      </c>
      <c r="X20" s="22">
        <v>0.08</v>
      </c>
      <c r="Z20">
        <v>0.72667510534679891</v>
      </c>
      <c r="AA20">
        <v>0.69380624758904763</v>
      </c>
      <c r="AB20">
        <f t="shared" si="1"/>
        <v>3.286885775775128E-2</v>
      </c>
    </row>
    <row r="21" spans="1:28" x14ac:dyDescent="0.3">
      <c r="A21" s="16">
        <v>20</v>
      </c>
      <c r="B21" s="16">
        <v>9.15</v>
      </c>
      <c r="C21" s="16">
        <v>1.4</v>
      </c>
      <c r="D21" s="16">
        <v>2</v>
      </c>
      <c r="E21" s="20">
        <v>7.0000000000000007E-2</v>
      </c>
      <c r="F21" s="46">
        <f t="shared" si="0"/>
        <v>0.31228536456737055</v>
      </c>
      <c r="H21" s="22" t="s">
        <v>3799</v>
      </c>
      <c r="I21" s="27">
        <v>4.88106908394772</v>
      </c>
      <c r="J21" s="22">
        <v>0.98302602240380887</v>
      </c>
      <c r="K21" s="25">
        <v>4.965350837826211</v>
      </c>
      <c r="L21" s="25">
        <v>3.1425441737195185E-6</v>
      </c>
      <c r="M21" s="22">
        <v>2.9286945516446203</v>
      </c>
      <c r="N21" s="22">
        <v>6.8334436162508201</v>
      </c>
      <c r="O21" s="22">
        <v>2.2953866314735922</v>
      </c>
      <c r="P21" s="22">
        <v>7.4667515364218477</v>
      </c>
      <c r="R21" s="22">
        <v>18</v>
      </c>
      <c r="S21" s="22">
        <v>0.19331865398481562</v>
      </c>
      <c r="T21" s="22">
        <v>-0.10331865398481563</v>
      </c>
      <c r="U21" s="22">
        <v>-0.34149533934463455</v>
      </c>
      <c r="W21" s="22">
        <v>18.229166666666668</v>
      </c>
      <c r="X21" s="22">
        <v>0.09</v>
      </c>
      <c r="Z21">
        <v>0.3214800347949609</v>
      </c>
      <c r="AA21">
        <v>0.49792522745837642</v>
      </c>
      <c r="AB21">
        <f t="shared" si="1"/>
        <v>-0.17644519266341552</v>
      </c>
    </row>
    <row r="22" spans="1:28" x14ac:dyDescent="0.3">
      <c r="A22" s="16">
        <v>21</v>
      </c>
      <c r="B22" s="16">
        <v>8.98</v>
      </c>
      <c r="C22" s="16">
        <v>1.42</v>
      </c>
      <c r="D22" s="16">
        <v>2</v>
      </c>
      <c r="E22" s="20">
        <v>0.22</v>
      </c>
      <c r="F22" s="46">
        <f t="shared" si="0"/>
        <v>0.2704622726785878</v>
      </c>
      <c r="H22" s="22" t="s">
        <v>3764</v>
      </c>
      <c r="I22" s="27">
        <v>-5.9185468825400239E-2</v>
      </c>
      <c r="J22" s="22">
        <v>1.2783343998552557E-2</v>
      </c>
      <c r="K22" s="25">
        <v>-4.6298893960846037</v>
      </c>
      <c r="L22" s="25">
        <v>1.1978437421654104E-5</v>
      </c>
      <c r="M22" s="22">
        <v>-8.4574293425804817E-2</v>
      </c>
      <c r="N22" s="22">
        <v>-3.3796644224995662E-2</v>
      </c>
      <c r="O22" s="22">
        <v>-9.2809877038085339E-2</v>
      </c>
      <c r="P22" s="22">
        <v>-2.5561060612715139E-2</v>
      </c>
      <c r="R22" s="22">
        <v>19</v>
      </c>
      <c r="S22" s="22">
        <v>0.13364846244678696</v>
      </c>
      <c r="T22" s="22">
        <v>-0.12364846244678697</v>
      </c>
      <c r="U22" s="22">
        <v>-0.40869070602597596</v>
      </c>
      <c r="W22" s="22">
        <v>19.270833333333332</v>
      </c>
      <c r="X22" s="22">
        <v>0.1</v>
      </c>
      <c r="Z22">
        <v>0.67360677438118877</v>
      </c>
      <c r="AA22">
        <v>0.8394025008995325</v>
      </c>
      <c r="AB22">
        <f t="shared" si="1"/>
        <v>-0.16579572651834373</v>
      </c>
    </row>
    <row r="23" spans="1:28" x14ac:dyDescent="0.3">
      <c r="A23" s="16">
        <v>22</v>
      </c>
      <c r="B23" s="16">
        <v>9.1999999999999993</v>
      </c>
      <c r="C23" s="16">
        <v>1.42</v>
      </c>
      <c r="D23" s="16">
        <v>2</v>
      </c>
      <c r="E23" s="20">
        <v>0.15</v>
      </c>
      <c r="F23" s="46">
        <f t="shared" si="0"/>
        <v>0.25744146953699987</v>
      </c>
      <c r="H23" s="22" t="s">
        <v>3766</v>
      </c>
      <c r="I23" s="27">
        <v>-2.5942310794550503</v>
      </c>
      <c r="J23" s="22">
        <v>0.75818232142575648</v>
      </c>
      <c r="K23" s="25">
        <v>-3.4216454355947223</v>
      </c>
      <c r="L23" s="25">
        <v>9.3034200492418575E-4</v>
      </c>
      <c r="M23" s="22">
        <v>-4.1000466137929887</v>
      </c>
      <c r="N23" s="22">
        <v>-1.088415545117112</v>
      </c>
      <c r="O23" s="22">
        <v>-4.5885004880031932</v>
      </c>
      <c r="P23" s="22">
        <v>-0.59996167090690755</v>
      </c>
      <c r="R23" s="22">
        <v>20</v>
      </c>
      <c r="S23" s="22">
        <v>0.31228536456737055</v>
      </c>
      <c r="T23" s="22">
        <v>-0.24228536456737054</v>
      </c>
      <c r="U23" s="22">
        <v>-0.80081688640013249</v>
      </c>
      <c r="W23" s="22">
        <v>20.3125</v>
      </c>
      <c r="X23" s="22">
        <v>0.11</v>
      </c>
      <c r="Z23">
        <v>0.56806196713822554</v>
      </c>
      <c r="AA23">
        <v>0.83239954012911022</v>
      </c>
      <c r="AB23">
        <f t="shared" si="1"/>
        <v>-0.26433757299088467</v>
      </c>
    </row>
    <row r="24" spans="1:28" x14ac:dyDescent="0.3">
      <c r="A24" s="16">
        <v>23</v>
      </c>
      <c r="B24" s="16">
        <v>8.75</v>
      </c>
      <c r="C24" s="16">
        <v>1.36</v>
      </c>
      <c r="D24" s="16">
        <v>2</v>
      </c>
      <c r="E24" s="20">
        <v>0.6</v>
      </c>
      <c r="F24" s="46">
        <f t="shared" si="0"/>
        <v>0.43972879527573194</v>
      </c>
      <c r="H24" s="22" t="s">
        <v>3760</v>
      </c>
      <c r="I24" s="27">
        <v>-0.19765658419543347</v>
      </c>
      <c r="J24" s="22">
        <v>5.0081389630683378E-2</v>
      </c>
      <c r="K24" s="25">
        <v>-3.9467072629776863</v>
      </c>
      <c r="L24" s="25">
        <v>1.5478564252008808E-4</v>
      </c>
      <c r="M24" s="22">
        <v>-0.29712254687483192</v>
      </c>
      <c r="N24" s="22">
        <v>-9.8190621516035026E-2</v>
      </c>
      <c r="O24" s="22">
        <v>-0.32938714616664422</v>
      </c>
      <c r="P24" s="22">
        <v>-6.5926022224222725E-2</v>
      </c>
      <c r="R24" s="22">
        <v>21</v>
      </c>
      <c r="S24" s="22">
        <v>0.2704622726785878</v>
      </c>
      <c r="T24" s="22">
        <v>-5.04622726785878E-2</v>
      </c>
      <c r="U24" s="22">
        <v>-0.16679109016469029</v>
      </c>
      <c r="W24" s="22">
        <v>21.354166666666668</v>
      </c>
      <c r="X24" s="22">
        <v>0.11</v>
      </c>
      <c r="Z24">
        <v>0.72253212252902077</v>
      </c>
      <c r="AA24">
        <v>0.84719590733545957</v>
      </c>
      <c r="AB24">
        <f t="shared" si="1"/>
        <v>-0.1246637848064388</v>
      </c>
    </row>
    <row r="25" spans="1:28" x14ac:dyDescent="0.3">
      <c r="A25" s="16">
        <v>24</v>
      </c>
      <c r="B25" s="16">
        <v>9.4</v>
      </c>
      <c r="C25" s="16">
        <v>1.41</v>
      </c>
      <c r="D25" s="16">
        <v>1</v>
      </c>
      <c r="E25" s="20">
        <v>0.47</v>
      </c>
      <c r="F25" s="46">
        <f t="shared" si="0"/>
        <v>0.46920327076190399</v>
      </c>
      <c r="R25" s="22">
        <v>22</v>
      </c>
      <c r="S25" s="22">
        <v>0.25744146953699987</v>
      </c>
      <c r="T25" s="22">
        <v>-0.10744146953699987</v>
      </c>
      <c r="U25" s="22">
        <v>-0.35512232964839335</v>
      </c>
      <c r="W25" s="22">
        <v>22.395833333333332</v>
      </c>
      <c r="X25" s="22">
        <v>0.13</v>
      </c>
      <c r="Z25">
        <v>0.53105404480619689</v>
      </c>
      <c r="AA25">
        <v>0.47316662604033366</v>
      </c>
      <c r="AB25">
        <f t="shared" si="1"/>
        <v>5.788741876586323E-2</v>
      </c>
    </row>
    <row r="26" spans="1:28" ht="15" thickBot="1" x14ac:dyDescent="0.35">
      <c r="A26" s="16">
        <v>25</v>
      </c>
      <c r="B26" s="16">
        <v>9.08</v>
      </c>
      <c r="C26" s="16">
        <v>1.39</v>
      </c>
      <c r="D26" s="16">
        <v>1</v>
      </c>
      <c r="E26" s="20">
        <v>0.05</v>
      </c>
      <c r="F26" s="46">
        <f t="shared" si="0"/>
        <v>0.54002724237513244</v>
      </c>
      <c r="H26" t="s">
        <v>3844</v>
      </c>
      <c r="R26" s="22">
        <v>23</v>
      </c>
      <c r="S26" s="22">
        <v>0.43972879527573194</v>
      </c>
      <c r="T26" s="22">
        <v>0.16027120472426803</v>
      </c>
      <c r="U26" s="22">
        <v>0.52973850639334741</v>
      </c>
      <c r="W26" s="22">
        <v>23.4375</v>
      </c>
      <c r="X26" s="22">
        <v>0.13</v>
      </c>
      <c r="Z26">
        <v>0.91722943328318407</v>
      </c>
      <c r="AA26">
        <v>0.80576607915767995</v>
      </c>
      <c r="AB26">
        <f t="shared" si="1"/>
        <v>0.11146335412550412</v>
      </c>
    </row>
    <row r="27" spans="1:28" x14ac:dyDescent="0.3">
      <c r="A27" s="16">
        <v>26</v>
      </c>
      <c r="B27" s="16">
        <v>9.33</v>
      </c>
      <c r="C27" s="16">
        <v>1.42</v>
      </c>
      <c r="D27" s="16">
        <v>1</v>
      </c>
      <c r="E27" s="20">
        <v>0.35</v>
      </c>
      <c r="F27" s="46">
        <f t="shared" si="0"/>
        <v>0.44740394278513057</v>
      </c>
      <c r="H27" s="21"/>
      <c r="I27" s="21" t="s">
        <v>3845</v>
      </c>
      <c r="J27" s="21" t="s">
        <v>3846</v>
      </c>
      <c r="R27" s="22">
        <v>24</v>
      </c>
      <c r="S27" s="22">
        <v>0.46920327076190399</v>
      </c>
      <c r="T27" s="22">
        <v>7.9672923809598339E-4</v>
      </c>
      <c r="U27" s="22">
        <v>2.6333997882837931E-3</v>
      </c>
      <c r="W27" s="22">
        <v>24.479166666666668</v>
      </c>
      <c r="X27" s="22">
        <v>0.13</v>
      </c>
      <c r="Z27">
        <v>0.8394025008995325</v>
      </c>
      <c r="AA27">
        <v>0.80458236978117204</v>
      </c>
      <c r="AB27">
        <f t="shared" si="1"/>
        <v>3.4820131118360464E-2</v>
      </c>
    </row>
    <row r="28" spans="1:28" x14ac:dyDescent="0.3">
      <c r="A28" s="16">
        <v>27</v>
      </c>
      <c r="B28" s="16">
        <v>9.1300000000000008</v>
      </c>
      <c r="C28" s="16">
        <v>1.35</v>
      </c>
      <c r="D28" s="16">
        <v>1</v>
      </c>
      <c r="E28" s="20">
        <v>0.03</v>
      </c>
      <c r="F28" s="46">
        <f t="shared" si="0"/>
        <v>0.64083721211206401</v>
      </c>
      <c r="H28" s="22" t="s">
        <v>3764</v>
      </c>
      <c r="I28" s="44">
        <f>I22*(SUM(B2:B97)/SUM(E2:E97))</f>
        <v>-1.2773502987008929</v>
      </c>
      <c r="J28" s="44">
        <f>_xlfn.STDEV.S(B2:B97)/_xlfn.STDEV.S(E2:E97)</f>
        <v>6.9286150945160108</v>
      </c>
      <c r="R28" s="22">
        <v>25</v>
      </c>
      <c r="S28" s="22">
        <v>0.54002724237513244</v>
      </c>
      <c r="T28" s="22">
        <v>-0.49002724237513245</v>
      </c>
      <c r="U28" s="22">
        <v>-1.6196689849212029</v>
      </c>
      <c r="W28" s="22">
        <v>25.520833333333332</v>
      </c>
      <c r="X28" s="22">
        <v>0.13</v>
      </c>
      <c r="Z28">
        <v>0.66295338999261755</v>
      </c>
      <c r="AA28">
        <v>0.79274527601609202</v>
      </c>
      <c r="AB28">
        <f t="shared" si="1"/>
        <v>-0.12979188602347447</v>
      </c>
    </row>
    <row r="29" spans="1:28" x14ac:dyDescent="0.3">
      <c r="A29" s="16">
        <v>28</v>
      </c>
      <c r="B29" s="16">
        <v>9.08</v>
      </c>
      <c r="C29" s="16">
        <v>1.41</v>
      </c>
      <c r="D29" s="16">
        <v>1</v>
      </c>
      <c r="E29" s="20">
        <v>0.05</v>
      </c>
      <c r="F29" s="46">
        <f t="shared" si="0"/>
        <v>0.48814262078603149</v>
      </c>
      <c r="H29" s="22" t="s">
        <v>3766</v>
      </c>
      <c r="I29" s="44">
        <f>I22*(SUM(C2:C97)/SUM($E$2:$E$97))</f>
        <v>-0.17634744320014856</v>
      </c>
      <c r="J29" s="44">
        <f>_xlfn.STDEV.S(C2:C97)/_xlfn.STDEV.S(E2:E97)</f>
        <v>0.11684598062105719</v>
      </c>
      <c r="R29" s="22">
        <v>26</v>
      </c>
      <c r="S29" s="22">
        <v>0.44740394278513057</v>
      </c>
      <c r="T29" s="22">
        <v>-9.7403942785130593E-2</v>
      </c>
      <c r="U29" s="22">
        <v>-0.32194566239511868</v>
      </c>
      <c r="W29" s="22">
        <v>26.5625</v>
      </c>
      <c r="X29" s="22">
        <v>0.13</v>
      </c>
      <c r="Z29">
        <v>0.91131088640064362</v>
      </c>
      <c r="AA29">
        <v>0.80458236978117204</v>
      </c>
      <c r="AB29">
        <f t="shared" si="1"/>
        <v>0.10672851661947158</v>
      </c>
    </row>
    <row r="30" spans="1:28" x14ac:dyDescent="0.3">
      <c r="A30" s="16">
        <v>29</v>
      </c>
      <c r="B30" s="16">
        <v>9.25</v>
      </c>
      <c r="C30" s="16">
        <v>1.41</v>
      </c>
      <c r="D30" s="16">
        <v>1</v>
      </c>
      <c r="E30" s="20">
        <v>0.23</v>
      </c>
      <c r="F30" s="46">
        <f t="shared" si="0"/>
        <v>0.47808109108571378</v>
      </c>
      <c r="H30" s="22" t="s">
        <v>3760</v>
      </c>
      <c r="I30" s="44">
        <f>I22*(SUM(D2:D97)/SUM($E$2:$E$97))</f>
        <v>-0.18806095405256545</v>
      </c>
      <c r="J30" s="44">
        <f>_xlfn.STDEV.S(D2:D97)/_xlfn.STDEV.S(E2:E97)</f>
        <v>1.5045037032726754</v>
      </c>
      <c r="R30" s="22">
        <v>27</v>
      </c>
      <c r="S30" s="22">
        <v>0.64083721211206401</v>
      </c>
      <c r="T30" s="22">
        <v>-0.61083721211206399</v>
      </c>
      <c r="U30" s="22">
        <v>-2.0189777256021619</v>
      </c>
      <c r="W30" s="22">
        <v>27.604166666666668</v>
      </c>
      <c r="X30" s="22">
        <v>0.13</v>
      </c>
      <c r="Z30">
        <v>0.80576607915767995</v>
      </c>
      <c r="AA30">
        <v>0.19331865398481562</v>
      </c>
      <c r="AB30">
        <f t="shared" si="1"/>
        <v>0.61244742517286432</v>
      </c>
    </row>
    <row r="31" spans="1:28" x14ac:dyDescent="0.3">
      <c r="A31" s="16">
        <v>30</v>
      </c>
      <c r="B31" s="16">
        <v>9.18</v>
      </c>
      <c r="C31" s="16">
        <v>1.35</v>
      </c>
      <c r="D31" s="16">
        <v>2</v>
      </c>
      <c r="E31" s="20">
        <v>0.11</v>
      </c>
      <c r="F31" s="46">
        <f t="shared" si="0"/>
        <v>0.44022135447536115</v>
      </c>
      <c r="R31" s="22">
        <v>28</v>
      </c>
      <c r="S31" s="22">
        <v>0.48814262078603149</v>
      </c>
      <c r="T31" s="22">
        <v>-0.4381426207860315</v>
      </c>
      <c r="U31" s="22">
        <v>-1.4481766573213681</v>
      </c>
      <c r="W31" s="22">
        <v>28.645833333333336</v>
      </c>
      <c r="X31" s="22">
        <v>0.15</v>
      </c>
      <c r="Z31">
        <v>0.80458236978117204</v>
      </c>
      <c r="AA31">
        <v>0.26732337169796994</v>
      </c>
      <c r="AB31">
        <f t="shared" si="1"/>
        <v>0.5372589980832021</v>
      </c>
    </row>
    <row r="32" spans="1:28" x14ac:dyDescent="0.3">
      <c r="A32" s="16">
        <v>31</v>
      </c>
      <c r="B32" s="16">
        <v>9.4</v>
      </c>
      <c r="C32" s="16">
        <v>1.39</v>
      </c>
      <c r="D32" s="16">
        <v>1</v>
      </c>
      <c r="E32" s="20">
        <v>0.47</v>
      </c>
      <c r="F32" s="46">
        <f t="shared" si="0"/>
        <v>0.52108789235100494</v>
      </c>
      <c r="R32" s="22">
        <v>29</v>
      </c>
      <c r="S32" s="22">
        <v>0.47808109108571378</v>
      </c>
      <c r="T32" s="22">
        <v>-0.24808109108571377</v>
      </c>
      <c r="U32" s="22">
        <v>-0.81997328766743116</v>
      </c>
      <c r="W32" s="22">
        <v>29.6875</v>
      </c>
      <c r="X32" s="22">
        <v>0.15</v>
      </c>
      <c r="Z32">
        <v>0.80458236978117204</v>
      </c>
      <c r="AA32">
        <v>0.61294362795690327</v>
      </c>
      <c r="AB32">
        <f t="shared" si="1"/>
        <v>0.19163874182426877</v>
      </c>
    </row>
    <row r="33" spans="1:28" x14ac:dyDescent="0.3">
      <c r="A33" s="16">
        <v>32</v>
      </c>
      <c r="B33" s="16">
        <v>9.23</v>
      </c>
      <c r="C33" s="16">
        <v>1.4</v>
      </c>
      <c r="D33" s="16">
        <v>1</v>
      </c>
      <c r="E33" s="20">
        <v>0.19</v>
      </c>
      <c r="F33" s="46">
        <f t="shared" si="0"/>
        <v>0.50520711125677242</v>
      </c>
      <c r="R33" s="22">
        <v>30</v>
      </c>
      <c r="S33" s="22">
        <v>0.44022135447536115</v>
      </c>
      <c r="T33" s="22">
        <v>-0.33022135447536116</v>
      </c>
      <c r="U33" s="22">
        <v>-1.0914684730792328</v>
      </c>
      <c r="W33" s="22">
        <v>30.729166666666668</v>
      </c>
      <c r="X33" s="22">
        <v>0.15</v>
      </c>
      <c r="Z33">
        <v>0.72083689051498001</v>
      </c>
      <c r="AA33">
        <v>0.83309069030598892</v>
      </c>
      <c r="AB33">
        <f t="shared" si="1"/>
        <v>-0.11225379979100891</v>
      </c>
    </row>
    <row r="34" spans="1:28" x14ac:dyDescent="0.3">
      <c r="A34" s="16">
        <v>33</v>
      </c>
      <c r="B34" s="16">
        <v>9.3000000000000007</v>
      </c>
      <c r="C34" s="16">
        <v>1.38</v>
      </c>
      <c r="D34" s="16">
        <v>2</v>
      </c>
      <c r="E34" s="20">
        <v>0.31</v>
      </c>
      <c r="F34" s="46">
        <f t="shared" ref="F34:F65" si="2">$I$21+B34*$I$22+C34*$I$23+D34*$I$24</f>
        <v>0.35529216583266165</v>
      </c>
      <c r="R34" s="22">
        <v>31</v>
      </c>
      <c r="S34" s="22">
        <v>0.52108789235100494</v>
      </c>
      <c r="T34" s="22">
        <v>-5.1087892351004971E-2</v>
      </c>
      <c r="U34" s="22">
        <v>-0.16885892781155104</v>
      </c>
      <c r="W34" s="22">
        <v>31.770833333333336</v>
      </c>
      <c r="X34" s="22">
        <v>0.15</v>
      </c>
      <c r="Z34">
        <v>0.7709459480393186</v>
      </c>
      <c r="AA34">
        <v>0.82539657935868704</v>
      </c>
      <c r="AB34">
        <f t="shared" si="1"/>
        <v>-5.4450631319368448E-2</v>
      </c>
    </row>
    <row r="35" spans="1:28" x14ac:dyDescent="0.3">
      <c r="A35" s="16">
        <v>34</v>
      </c>
      <c r="B35" s="16">
        <v>9.2799999999999994</v>
      </c>
      <c r="C35" s="16">
        <v>1.42</v>
      </c>
      <c r="D35" s="16">
        <v>2</v>
      </c>
      <c r="E35" s="20">
        <v>0.27</v>
      </c>
      <c r="F35" s="46">
        <f t="shared" si="2"/>
        <v>0.25270663203096733</v>
      </c>
      <c r="R35" s="22">
        <v>32</v>
      </c>
      <c r="S35" s="22">
        <v>0.50520711125677242</v>
      </c>
      <c r="T35" s="22">
        <v>-0.31520711125677242</v>
      </c>
      <c r="U35" s="22">
        <v>-1.0418424482987669</v>
      </c>
      <c r="W35" s="22">
        <v>32.812500000000007</v>
      </c>
      <c r="X35" s="22">
        <v>0.15</v>
      </c>
      <c r="Z35">
        <v>0.7190613264502177</v>
      </c>
      <c r="AA35">
        <v>0.64488089944121652</v>
      </c>
      <c r="AB35">
        <f t="shared" si="1"/>
        <v>7.4180427009001182E-2</v>
      </c>
    </row>
    <row r="36" spans="1:28" x14ac:dyDescent="0.3">
      <c r="A36" s="16">
        <v>35</v>
      </c>
      <c r="B36" s="16">
        <v>9.1999999999999993</v>
      </c>
      <c r="C36" s="16">
        <v>1.34</v>
      </c>
      <c r="D36" s="16">
        <v>3</v>
      </c>
      <c r="E36" s="20">
        <v>0.15</v>
      </c>
      <c r="F36" s="46">
        <f t="shared" si="2"/>
        <v>0.26732337169796994</v>
      </c>
      <c r="R36" s="22">
        <v>33</v>
      </c>
      <c r="S36" s="22">
        <v>0.35529216583266165</v>
      </c>
      <c r="T36" s="22">
        <v>-4.5292165832661657E-2</v>
      </c>
      <c r="U36" s="22">
        <v>-0.14970252654425203</v>
      </c>
      <c r="W36" s="22">
        <v>33.854166666666671</v>
      </c>
      <c r="X36" s="22">
        <v>0.16</v>
      </c>
      <c r="Z36">
        <v>0.79274527601609202</v>
      </c>
      <c r="AA36">
        <v>0.62120671191105648</v>
      </c>
      <c r="AB36">
        <f t="shared" si="1"/>
        <v>0.17153856410503554</v>
      </c>
    </row>
    <row r="37" spans="1:28" x14ac:dyDescent="0.3">
      <c r="A37" s="16">
        <v>36</v>
      </c>
      <c r="B37" s="16">
        <v>6.5</v>
      </c>
      <c r="C37" s="16">
        <v>1.35</v>
      </c>
      <c r="D37" s="16">
        <v>1</v>
      </c>
      <c r="E37" s="20">
        <v>1.02</v>
      </c>
      <c r="F37" s="46">
        <f t="shared" si="2"/>
        <v>0.79649499512286748</v>
      </c>
      <c r="R37" s="22">
        <v>34</v>
      </c>
      <c r="S37" s="22">
        <v>0.25270663203096733</v>
      </c>
      <c r="T37" s="22">
        <v>1.7293367969032691E-2</v>
      </c>
      <c r="U37" s="22">
        <v>5.7159131824001286E-2</v>
      </c>
      <c r="W37" s="22">
        <v>34.895833333333336</v>
      </c>
      <c r="X37" s="22">
        <v>0.16</v>
      </c>
      <c r="Z37">
        <v>0.43972879527573194</v>
      </c>
      <c r="AA37">
        <v>0.64192162599994629</v>
      </c>
      <c r="AB37">
        <f t="shared" si="1"/>
        <v>-0.20219283072421435</v>
      </c>
    </row>
    <row r="38" spans="1:28" x14ac:dyDescent="0.3">
      <c r="A38" s="16">
        <v>37</v>
      </c>
      <c r="B38" s="16">
        <v>6.65</v>
      </c>
      <c r="C38" s="16">
        <v>1.35</v>
      </c>
      <c r="D38" s="16">
        <v>2</v>
      </c>
      <c r="E38" s="20">
        <v>0.55000000000000004</v>
      </c>
      <c r="F38" s="46">
        <f t="shared" si="2"/>
        <v>0.58996059060362327</v>
      </c>
      <c r="R38" s="22">
        <v>35</v>
      </c>
      <c r="S38" s="22">
        <v>0.26732337169796994</v>
      </c>
      <c r="T38" s="22">
        <v>-0.11732337169796994</v>
      </c>
      <c r="U38" s="22">
        <v>-0.38778461667670583</v>
      </c>
      <c r="W38" s="22">
        <v>35.937500000000007</v>
      </c>
      <c r="X38" s="22">
        <v>0.18</v>
      </c>
      <c r="Z38">
        <v>0.2704622726785878</v>
      </c>
      <c r="AA38">
        <v>0.7709459480393186</v>
      </c>
      <c r="AB38">
        <f t="shared" si="1"/>
        <v>-0.5004836753607308</v>
      </c>
    </row>
    <row r="39" spans="1:28" x14ac:dyDescent="0.3">
      <c r="A39" s="16">
        <v>38</v>
      </c>
      <c r="B39" s="16">
        <v>6.67</v>
      </c>
      <c r="C39" s="16">
        <v>1.35</v>
      </c>
      <c r="D39" s="16">
        <v>1</v>
      </c>
      <c r="E39" s="20">
        <v>0.48</v>
      </c>
      <c r="F39" s="46">
        <f t="shared" si="2"/>
        <v>0.78643346542254888</v>
      </c>
      <c r="R39" s="22">
        <v>36</v>
      </c>
      <c r="S39" s="22">
        <v>0.79649499512286748</v>
      </c>
      <c r="T39" s="22">
        <v>0.22350500487713254</v>
      </c>
      <c r="U39" s="22">
        <v>0.73874285564113062</v>
      </c>
      <c r="W39" s="22">
        <v>36.979166666666671</v>
      </c>
      <c r="X39" s="22">
        <v>0.18</v>
      </c>
      <c r="Z39">
        <v>0.54002724237513244</v>
      </c>
      <c r="AA39">
        <v>0.64083721211206401</v>
      </c>
      <c r="AB39">
        <f t="shared" si="1"/>
        <v>-0.10080996973693157</v>
      </c>
    </row>
    <row r="40" spans="1:28" x14ac:dyDescent="0.3">
      <c r="A40" s="16">
        <v>39</v>
      </c>
      <c r="B40" s="16">
        <v>6.7</v>
      </c>
      <c r="C40" s="16">
        <v>1.34</v>
      </c>
      <c r="D40" s="16">
        <v>2</v>
      </c>
      <c r="E40" s="20">
        <v>0.4</v>
      </c>
      <c r="F40" s="46">
        <f t="shared" si="2"/>
        <v>0.61294362795690327</v>
      </c>
      <c r="R40" s="22">
        <v>37</v>
      </c>
      <c r="S40" s="22">
        <v>0.58996059060362327</v>
      </c>
      <c r="T40" s="22">
        <v>-3.9960590603623225E-2</v>
      </c>
      <c r="U40" s="22">
        <v>-0.13208026742781495</v>
      </c>
      <c r="W40" s="22">
        <v>38.020833333333336</v>
      </c>
      <c r="X40" s="22">
        <v>0.18</v>
      </c>
      <c r="Z40">
        <v>0.48814262078603149</v>
      </c>
      <c r="AA40">
        <v>0.44022135447536115</v>
      </c>
      <c r="AB40">
        <f t="shared" si="1"/>
        <v>4.7921266310670341E-2</v>
      </c>
    </row>
    <row r="41" spans="1:28" x14ac:dyDescent="0.3">
      <c r="A41" s="16">
        <v>40</v>
      </c>
      <c r="B41" s="16">
        <v>6.32</v>
      </c>
      <c r="C41" s="16">
        <v>1.34</v>
      </c>
      <c r="D41" s="16">
        <v>1</v>
      </c>
      <c r="E41" s="20">
        <v>1.6</v>
      </c>
      <c r="F41" s="46">
        <f t="shared" si="2"/>
        <v>0.83309069030598892</v>
      </c>
      <c r="R41" s="22">
        <v>38</v>
      </c>
      <c r="S41" s="22">
        <v>0.78643346542254888</v>
      </c>
      <c r="T41" s="22">
        <v>-0.3064334654225489</v>
      </c>
      <c r="U41" s="22">
        <v>-1.0128432400639391</v>
      </c>
      <c r="W41" s="22">
        <v>39.062500000000007</v>
      </c>
      <c r="X41" s="22">
        <v>0.18</v>
      </c>
      <c r="Z41">
        <v>0.13364846244678696</v>
      </c>
      <c r="AA41">
        <v>0.79649499512286748</v>
      </c>
      <c r="AB41">
        <f t="shared" si="1"/>
        <v>-0.66284653267608051</v>
      </c>
    </row>
    <row r="42" spans="1:28" x14ac:dyDescent="0.3">
      <c r="A42" s="16">
        <v>41</v>
      </c>
      <c r="B42" s="16">
        <v>6.89</v>
      </c>
      <c r="C42" s="16">
        <v>1.39</v>
      </c>
      <c r="D42" s="16">
        <v>3</v>
      </c>
      <c r="E42" s="20">
        <v>0.19</v>
      </c>
      <c r="F42" s="46">
        <f t="shared" si="2"/>
        <v>0.2743302507118921</v>
      </c>
      <c r="R42" s="22">
        <v>39</v>
      </c>
      <c r="S42" s="22">
        <v>0.61294362795690327</v>
      </c>
      <c r="T42" s="22">
        <v>-0.21294362795690325</v>
      </c>
      <c r="U42" s="22">
        <v>-0.70383472573217576</v>
      </c>
      <c r="W42" s="22">
        <v>40.104166666666671</v>
      </c>
      <c r="X42" s="22">
        <v>0.19</v>
      </c>
      <c r="Z42">
        <v>0.64083721211206401</v>
      </c>
      <c r="AA42">
        <v>0.58996059060362327</v>
      </c>
      <c r="AB42">
        <f t="shared" si="1"/>
        <v>5.0876621508440745E-2</v>
      </c>
    </row>
    <row r="43" spans="1:28" x14ac:dyDescent="0.3">
      <c r="A43" s="16">
        <v>42</v>
      </c>
      <c r="B43" s="16">
        <v>6.77</v>
      </c>
      <c r="C43" s="16">
        <v>1.33</v>
      </c>
      <c r="D43" s="16">
        <v>1</v>
      </c>
      <c r="E43" s="20">
        <v>0.18</v>
      </c>
      <c r="F43" s="46">
        <f t="shared" si="2"/>
        <v>0.83239954012911022</v>
      </c>
      <c r="R43" s="22">
        <v>40</v>
      </c>
      <c r="S43" s="22">
        <v>0.83309069030598892</v>
      </c>
      <c r="T43" s="22">
        <v>0.76690930969401117</v>
      </c>
      <c r="U43" s="22">
        <v>2.5348370779104967</v>
      </c>
      <c r="W43" s="22">
        <v>41.145833333333336</v>
      </c>
      <c r="X43" s="22">
        <v>0.19</v>
      </c>
      <c r="Z43">
        <v>0.31228536456737055</v>
      </c>
      <c r="AA43">
        <v>0.78643346542254888</v>
      </c>
      <c r="AB43">
        <f t="shared" si="1"/>
        <v>-0.47414810085517833</v>
      </c>
    </row>
    <row r="44" spans="1:28" x14ac:dyDescent="0.3">
      <c r="A44" s="16">
        <v>43</v>
      </c>
      <c r="B44" s="16">
        <v>6.8</v>
      </c>
      <c r="C44" s="16">
        <v>1.38</v>
      </c>
      <c r="D44" s="16">
        <v>1</v>
      </c>
      <c r="E44" s="20">
        <v>0.1</v>
      </c>
      <c r="F44" s="46">
        <f t="shared" si="2"/>
        <v>0.70091242209159588</v>
      </c>
      <c r="R44" s="22">
        <v>41</v>
      </c>
      <c r="S44" s="22">
        <v>0.2743302507118921</v>
      </c>
      <c r="T44" s="22">
        <v>-8.4330250711892096E-2</v>
      </c>
      <c r="U44" s="22">
        <v>-0.27873366979895126</v>
      </c>
      <c r="W44" s="22">
        <v>42.187500000000007</v>
      </c>
      <c r="X44" s="22">
        <v>0.2</v>
      </c>
      <c r="Z44">
        <v>0.44022135447536115</v>
      </c>
      <c r="AA44">
        <v>0.61006076832285649</v>
      </c>
      <c r="AB44">
        <f t="shared" si="1"/>
        <v>-0.16983941384749535</v>
      </c>
    </row>
    <row r="45" spans="1:28" x14ac:dyDescent="0.3">
      <c r="A45" s="16">
        <v>44</v>
      </c>
      <c r="B45" s="16">
        <v>6.45</v>
      </c>
      <c r="C45" s="16">
        <v>1.34</v>
      </c>
      <c r="D45" s="16">
        <v>1</v>
      </c>
      <c r="E45" s="20">
        <v>1.18</v>
      </c>
      <c r="F45" s="46">
        <f t="shared" si="2"/>
        <v>0.82539657935868704</v>
      </c>
      <c r="R45" s="22">
        <v>42</v>
      </c>
      <c r="S45" s="22">
        <v>0.83239954012911022</v>
      </c>
      <c r="T45" s="22">
        <v>-0.65239954012911028</v>
      </c>
      <c r="U45" s="22">
        <v>-2.1563521566726651</v>
      </c>
      <c r="W45" s="22">
        <v>43.229166666666671</v>
      </c>
      <c r="X45" s="22">
        <v>0.22</v>
      </c>
      <c r="Z45">
        <v>0.26732337169796994</v>
      </c>
      <c r="AA45">
        <v>0.56806196713822554</v>
      </c>
      <c r="AB45">
        <f t="shared" si="1"/>
        <v>-0.30073859544025561</v>
      </c>
    </row>
    <row r="46" spans="1:28" x14ac:dyDescent="0.3">
      <c r="A46" s="16">
        <v>45</v>
      </c>
      <c r="B46" s="16">
        <v>6.62</v>
      </c>
      <c r="C46" s="16">
        <v>1.41</v>
      </c>
      <c r="D46" s="16">
        <v>1</v>
      </c>
      <c r="E46" s="20">
        <v>0.63</v>
      </c>
      <c r="F46" s="46">
        <f t="shared" si="2"/>
        <v>0.63373887409651641</v>
      </c>
      <c r="R46" s="22">
        <v>43</v>
      </c>
      <c r="S46" s="22">
        <v>0.70091242209159588</v>
      </c>
      <c r="T46" s="22">
        <v>-0.6009124220915959</v>
      </c>
      <c r="U46" s="22">
        <v>-1.9861736829124255</v>
      </c>
      <c r="W46" s="22">
        <v>44.270833333333336</v>
      </c>
      <c r="X46" s="22">
        <v>0.22</v>
      </c>
      <c r="Z46">
        <v>0.25744146953699987</v>
      </c>
      <c r="AA46">
        <v>0.34086618065591051</v>
      </c>
      <c r="AB46">
        <f t="shared" si="1"/>
        <v>-8.3424711118910644E-2</v>
      </c>
    </row>
    <row r="47" spans="1:28" x14ac:dyDescent="0.3">
      <c r="A47" s="16">
        <v>46</v>
      </c>
      <c r="B47" s="16">
        <v>6.47</v>
      </c>
      <c r="C47" s="16">
        <v>1.31</v>
      </c>
      <c r="D47" s="16">
        <v>1</v>
      </c>
      <c r="E47" s="20">
        <v>1.1000000000000001</v>
      </c>
      <c r="F47" s="46">
        <f t="shared" si="2"/>
        <v>0.9020398023658307</v>
      </c>
      <c r="R47" s="22">
        <v>44</v>
      </c>
      <c r="S47" s="22">
        <v>0.82539657935868704</v>
      </c>
      <c r="T47" s="22">
        <v>0.35460342064131289</v>
      </c>
      <c r="U47" s="22">
        <v>1.1720576178089803</v>
      </c>
      <c r="W47" s="22">
        <v>45.312500000000007</v>
      </c>
      <c r="X47" s="22">
        <v>0.23</v>
      </c>
      <c r="Z47">
        <v>0.50520711125677242</v>
      </c>
      <c r="AA47">
        <v>0.43972879527573194</v>
      </c>
      <c r="AB47">
        <f t="shared" si="1"/>
        <v>6.547831598104048E-2</v>
      </c>
    </row>
    <row r="48" spans="1:28" x14ac:dyDescent="0.3">
      <c r="A48" s="16">
        <v>47</v>
      </c>
      <c r="B48" s="16">
        <v>6.52</v>
      </c>
      <c r="C48" s="16">
        <v>1.3</v>
      </c>
      <c r="D48" s="16">
        <v>1</v>
      </c>
      <c r="E48" s="20">
        <v>0.94</v>
      </c>
      <c r="F48" s="46">
        <f t="shared" si="2"/>
        <v>0.92502283971911115</v>
      </c>
      <c r="R48" s="22">
        <v>45</v>
      </c>
      <c r="S48" s="22">
        <v>0.63373887409651641</v>
      </c>
      <c r="T48" s="22">
        <v>-3.7388740965164091E-3</v>
      </c>
      <c r="U48" s="22">
        <v>-1.2357962759990881E-2</v>
      </c>
      <c r="W48" s="22">
        <v>46.354166666666671</v>
      </c>
      <c r="X48" s="22">
        <v>0.25</v>
      </c>
      <c r="Z48">
        <v>0.47808109108571378</v>
      </c>
      <c r="AA48">
        <v>-5.3263278358448574E-2</v>
      </c>
      <c r="AB48">
        <f t="shared" si="1"/>
        <v>0.53134436944416241</v>
      </c>
    </row>
    <row r="49" spans="1:28" x14ac:dyDescent="0.3">
      <c r="A49" s="16">
        <v>48</v>
      </c>
      <c r="B49" s="16">
        <v>6.94</v>
      </c>
      <c r="C49" s="16">
        <v>1.42</v>
      </c>
      <c r="D49" s="16">
        <v>1</v>
      </c>
      <c r="E49" s="20">
        <v>0.33</v>
      </c>
      <c r="F49" s="46">
        <f t="shared" si="2"/>
        <v>0.58885721327783735</v>
      </c>
      <c r="R49" s="22">
        <v>46</v>
      </c>
      <c r="S49" s="22">
        <v>0.9020398023658307</v>
      </c>
      <c r="T49" s="22">
        <v>0.19796019763416939</v>
      </c>
      <c r="U49" s="22">
        <v>0.65431054568081082</v>
      </c>
      <c r="W49" s="22">
        <v>47.395833333333336</v>
      </c>
      <c r="X49" s="22">
        <v>0.25</v>
      </c>
      <c r="Z49">
        <v>0.25270663203096733</v>
      </c>
      <c r="AA49">
        <v>0.7190613264502177</v>
      </c>
      <c r="AB49">
        <f t="shared" si="1"/>
        <v>-0.46635469441925037</v>
      </c>
    </row>
    <row r="50" spans="1:28" x14ac:dyDescent="0.3">
      <c r="A50" s="16">
        <v>49</v>
      </c>
      <c r="B50" s="16">
        <v>6.75</v>
      </c>
      <c r="C50" s="16">
        <v>1.37</v>
      </c>
      <c r="D50" s="16">
        <v>1</v>
      </c>
      <c r="E50" s="20">
        <v>0.25</v>
      </c>
      <c r="F50" s="46">
        <f t="shared" si="2"/>
        <v>0.72981400632741589</v>
      </c>
      <c r="R50" s="22">
        <v>47</v>
      </c>
      <c r="S50" s="22">
        <v>0.92502283971911115</v>
      </c>
      <c r="T50" s="22">
        <v>1.4977160280888802E-2</v>
      </c>
      <c r="U50" s="22">
        <v>4.950345591312854E-2</v>
      </c>
      <c r="W50" s="22">
        <v>48.437500000000007</v>
      </c>
      <c r="X50" s="22">
        <v>0.27</v>
      </c>
      <c r="Z50">
        <v>0.35529216583266165</v>
      </c>
      <c r="AA50">
        <v>0.72083689051498001</v>
      </c>
      <c r="AB50">
        <f t="shared" si="1"/>
        <v>-0.36554472468231836</v>
      </c>
    </row>
    <row r="51" spans="1:28" x14ac:dyDescent="0.3">
      <c r="A51" s="16">
        <v>50</v>
      </c>
      <c r="B51" s="16">
        <v>7.04</v>
      </c>
      <c r="C51" s="16">
        <v>1.44</v>
      </c>
      <c r="D51" s="16">
        <v>1</v>
      </c>
      <c r="E51" s="20">
        <v>0.61</v>
      </c>
      <c r="F51" s="46">
        <f t="shared" si="2"/>
        <v>0.53105404480619689</v>
      </c>
      <c r="R51" s="22">
        <v>48</v>
      </c>
      <c r="S51" s="22">
        <v>0.58885721327783735</v>
      </c>
      <c r="T51" s="22">
        <v>-0.25885721327783734</v>
      </c>
      <c r="U51" s="22">
        <v>-0.85559120720942716</v>
      </c>
      <c r="W51" s="22">
        <v>49.479166666666671</v>
      </c>
      <c r="X51" s="22">
        <v>0.28999999999999998</v>
      </c>
      <c r="Z51">
        <v>0.73276936152518579</v>
      </c>
      <c r="AA51">
        <v>0.31492386986135984</v>
      </c>
      <c r="AB51">
        <f t="shared" si="1"/>
        <v>0.41784549166382595</v>
      </c>
    </row>
    <row r="52" spans="1:28" x14ac:dyDescent="0.3">
      <c r="A52" s="16">
        <v>51</v>
      </c>
      <c r="B52" s="16">
        <v>6.52</v>
      </c>
      <c r="C52" s="16">
        <v>1.33</v>
      </c>
      <c r="D52" s="16">
        <v>1</v>
      </c>
      <c r="E52" s="20">
        <v>0.94</v>
      </c>
      <c r="F52" s="46">
        <f t="shared" si="2"/>
        <v>0.84719590733545957</v>
      </c>
      <c r="R52" s="22">
        <v>49</v>
      </c>
      <c r="S52" s="22">
        <v>0.72981400632741589</v>
      </c>
      <c r="T52" s="22">
        <v>-0.47981400632741589</v>
      </c>
      <c r="U52" s="22">
        <v>-1.5859115522078964</v>
      </c>
      <c r="W52" s="22">
        <v>50.520833333333336</v>
      </c>
      <c r="X52" s="22">
        <v>0.31</v>
      </c>
      <c r="Z52">
        <v>0.44740394278513057</v>
      </c>
      <c r="AA52">
        <v>0.72981400632741589</v>
      </c>
      <c r="AB52">
        <f t="shared" si="1"/>
        <v>-0.28241006354228532</v>
      </c>
    </row>
    <row r="53" spans="1:28" x14ac:dyDescent="0.3">
      <c r="A53" s="16">
        <v>52</v>
      </c>
      <c r="B53" s="16">
        <v>6.77</v>
      </c>
      <c r="C53" s="16">
        <v>1.39</v>
      </c>
      <c r="D53" s="16">
        <v>2</v>
      </c>
      <c r="E53" s="20">
        <v>0.18</v>
      </c>
      <c r="F53" s="46">
        <f t="shared" si="2"/>
        <v>0.47908909116637399</v>
      </c>
      <c r="R53" s="22">
        <v>50</v>
      </c>
      <c r="S53" s="22">
        <v>0.53105404480619689</v>
      </c>
      <c r="T53" s="22">
        <v>7.8945955193803097E-2</v>
      </c>
      <c r="U53" s="22">
        <v>0.26093715625405134</v>
      </c>
      <c r="W53" s="22">
        <v>51.562500000000007</v>
      </c>
      <c r="X53" s="22">
        <v>0.33</v>
      </c>
      <c r="Z53">
        <v>0.52108789235100494</v>
      </c>
      <c r="AA53">
        <v>0.3214800347949609</v>
      </c>
      <c r="AB53">
        <f t="shared" si="1"/>
        <v>0.19960785755604404</v>
      </c>
    </row>
    <row r="54" spans="1:28" x14ac:dyDescent="0.3">
      <c r="A54" s="16">
        <v>53</v>
      </c>
      <c r="B54" s="16">
        <v>6.97</v>
      </c>
      <c r="C54" s="16">
        <v>1.37</v>
      </c>
      <c r="D54" s="16">
        <v>3</v>
      </c>
      <c r="E54" s="20">
        <v>0.4</v>
      </c>
      <c r="F54" s="46">
        <f t="shared" si="2"/>
        <v>0.3214800347949609</v>
      </c>
      <c r="R54" s="22">
        <v>51</v>
      </c>
      <c r="S54" s="22">
        <v>0.84719590733545957</v>
      </c>
      <c r="T54" s="22">
        <v>9.2804092664540372E-2</v>
      </c>
      <c r="U54" s="22">
        <v>0.30674194731288124</v>
      </c>
      <c r="W54" s="22">
        <v>52.604166666666671</v>
      </c>
      <c r="X54" s="22">
        <v>0.35</v>
      </c>
      <c r="Z54">
        <v>0.46920327076190399</v>
      </c>
      <c r="AA54">
        <v>0.29430825126109611</v>
      </c>
      <c r="AB54">
        <f t="shared" si="1"/>
        <v>0.17489501950080788</v>
      </c>
    </row>
    <row r="55" spans="1:28" x14ac:dyDescent="0.3">
      <c r="A55" s="16">
        <v>54</v>
      </c>
      <c r="B55" s="16">
        <v>13.64</v>
      </c>
      <c r="C55" s="16">
        <v>1.45</v>
      </c>
      <c r="D55" s="16">
        <v>1</v>
      </c>
      <c r="E55" s="20">
        <v>0.01</v>
      </c>
      <c r="F55" s="46">
        <f t="shared" si="2"/>
        <v>0.11448763976400461</v>
      </c>
      <c r="R55" s="22">
        <v>52</v>
      </c>
      <c r="S55" s="22">
        <v>0.47908909116637399</v>
      </c>
      <c r="T55" s="22">
        <v>-0.299089091166374</v>
      </c>
      <c r="U55" s="22">
        <v>-0.98856815050213498</v>
      </c>
      <c r="W55" s="22">
        <v>53.645833333333343</v>
      </c>
      <c r="X55" s="22">
        <v>0.35</v>
      </c>
      <c r="Z55">
        <v>0.32739466343400103</v>
      </c>
      <c r="AA55">
        <v>0.28898155906681006</v>
      </c>
      <c r="AB55">
        <f t="shared" si="1"/>
        <v>3.8413104367190976E-2</v>
      </c>
    </row>
    <row r="56" spans="1:28" x14ac:dyDescent="0.3">
      <c r="A56" s="16">
        <v>55</v>
      </c>
      <c r="B56" s="16">
        <v>13.86</v>
      </c>
      <c r="C56" s="16">
        <v>1.43</v>
      </c>
      <c r="D56" s="16">
        <v>1</v>
      </c>
      <c r="E56" s="20">
        <v>0.15</v>
      </c>
      <c r="F56" s="46">
        <f t="shared" si="2"/>
        <v>0.15335145821151802</v>
      </c>
      <c r="R56" s="22">
        <v>53</v>
      </c>
      <c r="S56" s="22">
        <v>0.3214800347949609</v>
      </c>
      <c r="T56" s="22">
        <v>7.8519965205039122E-2</v>
      </c>
      <c r="U56" s="22">
        <v>0.25952914724348342</v>
      </c>
      <c r="W56" s="22">
        <v>54.687500000000007</v>
      </c>
      <c r="X56" s="22">
        <v>0.4</v>
      </c>
      <c r="Z56">
        <v>0.47316662604033366</v>
      </c>
      <c r="AA56">
        <v>0.35529216583266165</v>
      </c>
      <c r="AB56">
        <f t="shared" si="1"/>
        <v>0.117874460207672</v>
      </c>
    </row>
    <row r="57" spans="1:28" x14ac:dyDescent="0.3">
      <c r="A57" s="16">
        <v>56</v>
      </c>
      <c r="B57" s="16">
        <v>13.84</v>
      </c>
      <c r="C57" s="16">
        <v>1.44</v>
      </c>
      <c r="D57" s="16">
        <v>1</v>
      </c>
      <c r="E57" s="20">
        <v>0.13</v>
      </c>
      <c r="F57" s="46">
        <f t="shared" si="2"/>
        <v>0.12859285679347526</v>
      </c>
      <c r="R57" s="22">
        <v>54</v>
      </c>
      <c r="S57" s="22">
        <v>0.11448763976400461</v>
      </c>
      <c r="T57" s="22">
        <v>-0.10448763976400462</v>
      </c>
      <c r="U57" s="22">
        <v>-0.34535914495917402</v>
      </c>
      <c r="W57" s="22">
        <v>55.729166666666671</v>
      </c>
      <c r="X57" s="22">
        <v>0.4</v>
      </c>
      <c r="Z57">
        <v>0.64488089944121652</v>
      </c>
      <c r="AA57">
        <v>0.70091242209159588</v>
      </c>
      <c r="AB57">
        <f t="shared" si="1"/>
        <v>-5.6031522650379362E-2</v>
      </c>
    </row>
    <row r="58" spans="1:28" x14ac:dyDescent="0.3">
      <c r="A58" s="16">
        <v>57</v>
      </c>
      <c r="B58" s="16">
        <v>13.57</v>
      </c>
      <c r="C58" s="16">
        <v>1.4</v>
      </c>
      <c r="D58" s="16">
        <v>1</v>
      </c>
      <c r="E58" s="20">
        <v>7.0000000000000007E-2</v>
      </c>
      <c r="F58" s="46">
        <f t="shared" si="2"/>
        <v>0.24834217655453478</v>
      </c>
      <c r="R58" s="22">
        <v>55</v>
      </c>
      <c r="S58" s="22">
        <v>0.15335145821151802</v>
      </c>
      <c r="T58" s="22">
        <v>-3.3514582115180269E-3</v>
      </c>
      <c r="U58" s="22">
        <v>-1.1077451313002149E-2</v>
      </c>
      <c r="W58" s="22">
        <v>56.770833333333343</v>
      </c>
      <c r="X58" s="22">
        <v>0.4</v>
      </c>
      <c r="Z58">
        <v>0.49792522745837642</v>
      </c>
      <c r="AA58">
        <v>8.0671590482804478E-2</v>
      </c>
      <c r="AB58">
        <f t="shared" si="1"/>
        <v>0.41725363697557194</v>
      </c>
    </row>
    <row r="59" spans="1:28" x14ac:dyDescent="0.3">
      <c r="A59" s="16">
        <v>58</v>
      </c>
      <c r="B59" s="16">
        <v>13.76</v>
      </c>
      <c r="C59" s="16">
        <v>1.43</v>
      </c>
      <c r="D59" s="16">
        <v>1</v>
      </c>
      <c r="E59" s="20">
        <v>0.08</v>
      </c>
      <c r="F59" s="46">
        <f t="shared" si="2"/>
        <v>0.15927000509405759</v>
      </c>
      <c r="R59" s="22">
        <v>56</v>
      </c>
      <c r="S59" s="22">
        <v>0.12859285679347526</v>
      </c>
      <c r="T59" s="22">
        <v>1.4071432065247413E-3</v>
      </c>
      <c r="U59" s="22">
        <v>4.6509785821376055E-3</v>
      </c>
      <c r="W59" s="22">
        <v>57.812500000000007</v>
      </c>
      <c r="X59" s="22">
        <v>0.4</v>
      </c>
      <c r="Z59">
        <v>0.69380624758904763</v>
      </c>
      <c r="AA59">
        <v>0.54002724237513244</v>
      </c>
      <c r="AB59">
        <f t="shared" si="1"/>
        <v>0.15377900521391519</v>
      </c>
    </row>
    <row r="60" spans="1:28" x14ac:dyDescent="0.3">
      <c r="A60" s="16">
        <v>59</v>
      </c>
      <c r="B60" s="16">
        <v>14.43</v>
      </c>
      <c r="C60" s="16">
        <v>1.45</v>
      </c>
      <c r="D60" s="16">
        <v>1</v>
      </c>
      <c r="E60" s="20">
        <v>0.54</v>
      </c>
      <c r="F60" s="46">
        <f t="shared" si="2"/>
        <v>6.7731119391938044E-2</v>
      </c>
      <c r="R60" s="22">
        <v>57</v>
      </c>
      <c r="S60" s="22">
        <v>0.24834217655453478</v>
      </c>
      <c r="T60" s="22">
        <v>-0.17834217655453477</v>
      </c>
      <c r="U60" s="22">
        <v>-0.58946782360233108</v>
      </c>
      <c r="W60" s="22">
        <v>58.854166666666671</v>
      </c>
      <c r="X60" s="22">
        <v>0.47</v>
      </c>
      <c r="Z60">
        <v>0.64192162599994629</v>
      </c>
      <c r="AA60">
        <v>0.52108789235100494</v>
      </c>
      <c r="AB60">
        <f t="shared" si="1"/>
        <v>0.12083373364894134</v>
      </c>
    </row>
    <row r="61" spans="1:28" x14ac:dyDescent="0.3">
      <c r="A61" s="16">
        <v>60</v>
      </c>
      <c r="B61" s="16">
        <v>13.74</v>
      </c>
      <c r="C61" s="16">
        <v>1.42</v>
      </c>
      <c r="D61" s="16">
        <v>1</v>
      </c>
      <c r="E61" s="20">
        <v>0.06</v>
      </c>
      <c r="F61" s="46">
        <f t="shared" si="2"/>
        <v>0.18639602526511573</v>
      </c>
      <c r="R61" s="22">
        <v>58</v>
      </c>
      <c r="S61" s="22">
        <v>0.15927000509405759</v>
      </c>
      <c r="T61" s="22">
        <v>-7.9270005094057586E-2</v>
      </c>
      <c r="U61" s="22">
        <v>-0.26200822644693506</v>
      </c>
      <c r="W61" s="22">
        <v>59.895833333333343</v>
      </c>
      <c r="X61" s="22">
        <v>0.47</v>
      </c>
      <c r="Z61">
        <v>0.81937481874402285</v>
      </c>
      <c r="AA61">
        <v>0.2743302507118921</v>
      </c>
      <c r="AB61">
        <f t="shared" si="1"/>
        <v>0.54504456803213075</v>
      </c>
    </row>
    <row r="62" spans="1:28" x14ac:dyDescent="0.3">
      <c r="A62" s="16">
        <v>61</v>
      </c>
      <c r="B62" s="16">
        <v>13.84</v>
      </c>
      <c r="C62" s="16">
        <v>1.4</v>
      </c>
      <c r="D62" s="16">
        <v>2</v>
      </c>
      <c r="E62" s="20">
        <v>0.13</v>
      </c>
      <c r="F62" s="46">
        <f t="shared" si="2"/>
        <v>3.4705515776244034E-2</v>
      </c>
      <c r="R62" s="22">
        <v>59</v>
      </c>
      <c r="S62" s="22">
        <v>6.7731119391938044E-2</v>
      </c>
      <c r="T62" s="22">
        <v>0.47226888060806199</v>
      </c>
      <c r="U62" s="22">
        <v>1.5609729262332745</v>
      </c>
      <c r="W62" s="22">
        <v>60.937500000000007</v>
      </c>
      <c r="X62" s="22">
        <v>0.47</v>
      </c>
      <c r="Z62">
        <v>0.71560557556582061</v>
      </c>
      <c r="AA62">
        <v>0.47908909116637399</v>
      </c>
      <c r="AB62">
        <f t="shared" si="1"/>
        <v>0.23651648439944661</v>
      </c>
    </row>
    <row r="63" spans="1:28" x14ac:dyDescent="0.3">
      <c r="A63" s="16">
        <v>62</v>
      </c>
      <c r="B63" s="16">
        <v>13.94</v>
      </c>
      <c r="C63" s="16">
        <v>1.38</v>
      </c>
      <c r="D63" s="16">
        <v>2</v>
      </c>
      <c r="E63" s="20">
        <v>0.2</v>
      </c>
      <c r="F63" s="46">
        <f t="shared" si="2"/>
        <v>8.0671590482804478E-2</v>
      </c>
      <c r="R63" s="22">
        <v>60</v>
      </c>
      <c r="S63" s="22">
        <v>0.18639602526511573</v>
      </c>
      <c r="T63" s="22">
        <v>-0.12639602526511573</v>
      </c>
      <c r="U63" s="22">
        <v>-0.41777212415163001</v>
      </c>
      <c r="W63" s="22">
        <v>61.979166666666671</v>
      </c>
      <c r="X63" s="22">
        <v>0.48</v>
      </c>
      <c r="Z63">
        <v>0.61006076832285649</v>
      </c>
      <c r="AA63">
        <v>4.9501882982593393E-2</v>
      </c>
      <c r="AB63">
        <f t="shared" si="1"/>
        <v>0.5605588853402631</v>
      </c>
    </row>
    <row r="64" spans="1:28" x14ac:dyDescent="0.3">
      <c r="A64" s="16">
        <v>63</v>
      </c>
      <c r="B64" s="16">
        <v>14.01</v>
      </c>
      <c r="C64" s="16">
        <v>1.46</v>
      </c>
      <c r="D64" s="16">
        <v>1</v>
      </c>
      <c r="E64" s="20">
        <v>0.25</v>
      </c>
      <c r="F64" s="46">
        <f t="shared" si="2"/>
        <v>6.664670550405577E-2</v>
      </c>
      <c r="R64" s="22">
        <v>61</v>
      </c>
      <c r="S64" s="22">
        <v>3.4705515776244034E-2</v>
      </c>
      <c r="T64" s="22">
        <v>9.5294484223755971E-2</v>
      </c>
      <c r="U64" s="22">
        <v>0.31497334675349276</v>
      </c>
      <c r="W64" s="22">
        <v>63.020833333333343</v>
      </c>
      <c r="X64" s="22">
        <v>0.54</v>
      </c>
      <c r="Z64">
        <v>0.70968702868328015</v>
      </c>
      <c r="AA64">
        <v>0.23117839059516959</v>
      </c>
      <c r="AB64">
        <f t="shared" si="1"/>
        <v>0.47850863808811056</v>
      </c>
    </row>
    <row r="65" spans="1:28" x14ac:dyDescent="0.3">
      <c r="A65" s="16">
        <v>64</v>
      </c>
      <c r="B65" s="16">
        <v>13.91</v>
      </c>
      <c r="C65" s="16">
        <v>1.42</v>
      </c>
      <c r="D65" s="16">
        <v>2</v>
      </c>
      <c r="E65" s="20">
        <v>0.18</v>
      </c>
      <c r="F65" s="46">
        <f t="shared" si="2"/>
        <v>-2.132208863063545E-2</v>
      </c>
      <c r="R65" s="22">
        <v>62</v>
      </c>
      <c r="S65" s="22">
        <v>8.0671590482804478E-2</v>
      </c>
      <c r="T65" s="22">
        <v>0.11932840951719553</v>
      </c>
      <c r="U65" s="22">
        <v>0.39441179428759399</v>
      </c>
      <c r="W65" s="22">
        <v>64.0625</v>
      </c>
      <c r="X65" s="22">
        <v>0.54</v>
      </c>
      <c r="Z65">
        <v>0.67900988038269738</v>
      </c>
      <c r="AA65">
        <v>0.2323620999716775</v>
      </c>
      <c r="AB65">
        <f t="shared" si="1"/>
        <v>0.44664778041101988</v>
      </c>
    </row>
    <row r="66" spans="1:28" x14ac:dyDescent="0.3">
      <c r="A66" s="16">
        <v>65</v>
      </c>
      <c r="B66" s="16">
        <v>13.89</v>
      </c>
      <c r="C66" s="16">
        <v>1.4</v>
      </c>
      <c r="D66" s="16">
        <v>2</v>
      </c>
      <c r="E66" s="20">
        <v>0.16</v>
      </c>
      <c r="F66" s="46">
        <f t="shared" ref="F66:F97" si="3">$I$21+B66*$I$22+C66*$I$23+D66*$I$24</f>
        <v>3.1746242334973807E-2</v>
      </c>
      <c r="R66" s="22">
        <v>63</v>
      </c>
      <c r="S66" s="22">
        <v>6.664670550405577E-2</v>
      </c>
      <c r="T66" s="22">
        <v>0.18335329449594423</v>
      </c>
      <c r="U66" s="22">
        <v>0.60603088705599462</v>
      </c>
      <c r="W66" s="22">
        <v>65.104166666666671</v>
      </c>
      <c r="X66" s="22">
        <v>0.55000000000000004</v>
      </c>
      <c r="Z66">
        <v>0.62120671191105648</v>
      </c>
      <c r="AA66">
        <v>3.4705515776244034E-2</v>
      </c>
      <c r="AB66">
        <f t="shared" si="1"/>
        <v>0.58650119613481244</v>
      </c>
    </row>
    <row r="67" spans="1:28" x14ac:dyDescent="0.3">
      <c r="A67" s="16">
        <v>66</v>
      </c>
      <c r="B67" s="16">
        <v>13.74</v>
      </c>
      <c r="C67" s="16">
        <v>1.36</v>
      </c>
      <c r="D67" s="16">
        <v>3</v>
      </c>
      <c r="E67" s="20">
        <v>0.06</v>
      </c>
      <c r="F67" s="46">
        <f t="shared" si="3"/>
        <v>-5.3263278358448574E-2</v>
      </c>
      <c r="R67" s="22">
        <v>64</v>
      </c>
      <c r="S67" s="22">
        <v>-2.132208863063545E-2</v>
      </c>
      <c r="T67" s="22">
        <v>0.20132208863063544</v>
      </c>
      <c r="U67" s="22">
        <v>0.66542248009341531</v>
      </c>
      <c r="W67" s="22">
        <v>66.145833333333329</v>
      </c>
      <c r="X67" s="22">
        <v>0.6</v>
      </c>
      <c r="Z67">
        <v>0.23009397670728687</v>
      </c>
      <c r="AA67">
        <v>0.31228536456737055</v>
      </c>
      <c r="AB67">
        <f t="shared" ref="AB67:AB97" si="4">Z67-AA67</f>
        <v>-8.2191387860083676E-2</v>
      </c>
    </row>
    <row r="68" spans="1:28" x14ac:dyDescent="0.3">
      <c r="A68" s="16">
        <v>67</v>
      </c>
      <c r="B68" s="16">
        <v>9.5</v>
      </c>
      <c r="C68" s="16">
        <v>1.33</v>
      </c>
      <c r="D68" s="16">
        <v>2</v>
      </c>
      <c r="E68" s="20">
        <v>0.62</v>
      </c>
      <c r="F68" s="46">
        <f t="shared" si="3"/>
        <v>0.47316662604033366</v>
      </c>
      <c r="R68" s="22">
        <v>65</v>
      </c>
      <c r="S68" s="22">
        <v>3.1746242334973807E-2</v>
      </c>
      <c r="T68" s="22">
        <v>0.1282537576650262</v>
      </c>
      <c r="U68" s="22">
        <v>0.42391241858880085</v>
      </c>
      <c r="W68" s="22">
        <v>67.1875</v>
      </c>
      <c r="X68" s="22">
        <v>0.61</v>
      </c>
      <c r="Z68">
        <v>0.24834217655453478</v>
      </c>
      <c r="AA68">
        <v>0.50520711125677242</v>
      </c>
      <c r="AB68">
        <f t="shared" si="4"/>
        <v>-0.25686493470223765</v>
      </c>
    </row>
    <row r="69" spans="1:28" x14ac:dyDescent="0.3">
      <c r="A69" s="16">
        <v>68</v>
      </c>
      <c r="B69" s="16">
        <v>9.6199999999999992</v>
      </c>
      <c r="C69" s="16">
        <v>1.27</v>
      </c>
      <c r="D69" s="16">
        <v>1</v>
      </c>
      <c r="E69" s="20">
        <v>0.8</v>
      </c>
      <c r="F69" s="46">
        <f t="shared" si="3"/>
        <v>0.81937481874402285</v>
      </c>
      <c r="R69" s="22">
        <v>66</v>
      </c>
      <c r="S69" s="22">
        <v>-5.3263278358448574E-2</v>
      </c>
      <c r="T69" s="22">
        <v>0.11326327835844857</v>
      </c>
      <c r="U69" s="22">
        <v>0.37436493979091801</v>
      </c>
      <c r="W69" s="22">
        <v>68.229166666666671</v>
      </c>
      <c r="X69" s="22">
        <v>0.61</v>
      </c>
      <c r="Z69">
        <v>4.9501882982593393E-2</v>
      </c>
      <c r="AA69">
        <v>0.24834217655453478</v>
      </c>
      <c r="AB69">
        <f t="shared" si="4"/>
        <v>-0.19884029357194138</v>
      </c>
    </row>
    <row r="70" spans="1:28" x14ac:dyDescent="0.3">
      <c r="A70" s="16">
        <v>69</v>
      </c>
      <c r="B70" s="16">
        <v>9.8000000000000007</v>
      </c>
      <c r="C70" s="16">
        <v>1.32</v>
      </c>
      <c r="D70" s="16">
        <v>1</v>
      </c>
      <c r="E70" s="20">
        <v>1.06</v>
      </c>
      <c r="F70" s="46">
        <f t="shared" si="3"/>
        <v>0.67900988038269738</v>
      </c>
      <c r="R70" s="22">
        <v>67</v>
      </c>
      <c r="S70" s="22">
        <v>0.47316662604033366</v>
      </c>
      <c r="T70" s="22">
        <v>0.14683337395966634</v>
      </c>
      <c r="U70" s="22">
        <v>0.48532293960046363</v>
      </c>
      <c r="W70" s="22">
        <v>69.270833333333329</v>
      </c>
      <c r="X70" s="22">
        <v>0.62</v>
      </c>
      <c r="Z70">
        <v>0.11448763976400461</v>
      </c>
      <c r="AA70">
        <v>3.4705515776244034E-2</v>
      </c>
      <c r="AB70">
        <f t="shared" si="4"/>
        <v>7.9782123987760578E-2</v>
      </c>
    </row>
    <row r="71" spans="1:28" x14ac:dyDescent="0.3">
      <c r="A71" s="16">
        <v>70</v>
      </c>
      <c r="B71" s="16">
        <v>9.6199999999999992</v>
      </c>
      <c r="C71" s="16">
        <v>1.31</v>
      </c>
      <c r="D71" s="16">
        <v>1</v>
      </c>
      <c r="E71" s="20">
        <v>0.8</v>
      </c>
      <c r="F71" s="46">
        <f t="shared" si="3"/>
        <v>0.71560557556582061</v>
      </c>
      <c r="R71" s="22">
        <v>68</v>
      </c>
      <c r="S71" s="22">
        <v>0.81937481874402285</v>
      </c>
      <c r="T71" s="22">
        <v>-1.9374818744022804E-2</v>
      </c>
      <c r="U71" s="22">
        <v>-6.4038874361480189E-2</v>
      </c>
      <c r="W71" s="22">
        <v>70.3125</v>
      </c>
      <c r="X71" s="22">
        <v>0.62</v>
      </c>
      <c r="Z71">
        <v>0.44996211602839881</v>
      </c>
      <c r="AA71">
        <v>3.1746242334973807E-2</v>
      </c>
      <c r="AB71">
        <f t="shared" si="4"/>
        <v>0.418215873693425</v>
      </c>
    </row>
    <row r="72" spans="1:28" x14ac:dyDescent="0.3">
      <c r="A72" s="16">
        <v>71</v>
      </c>
      <c r="B72" s="16">
        <v>9.65</v>
      </c>
      <c r="C72" s="16">
        <v>1.35</v>
      </c>
      <c r="D72" s="16">
        <v>1</v>
      </c>
      <c r="E72" s="20">
        <v>0.84</v>
      </c>
      <c r="F72" s="46">
        <f t="shared" si="3"/>
        <v>0.61006076832285649</v>
      </c>
      <c r="R72" s="22">
        <v>69</v>
      </c>
      <c r="S72" s="22">
        <v>0.67900988038269738</v>
      </c>
      <c r="T72" s="22">
        <v>0.38099011961730267</v>
      </c>
      <c r="U72" s="22">
        <v>1.2592726014876745</v>
      </c>
      <c r="W72" s="22">
        <v>71.354166666666671</v>
      </c>
      <c r="X72" s="22">
        <v>0.62</v>
      </c>
      <c r="Z72">
        <v>0.29430825126109611</v>
      </c>
      <c r="AA72">
        <v>0.23009397670728687</v>
      </c>
      <c r="AB72">
        <f t="shared" si="4"/>
        <v>6.4214274553809236E-2</v>
      </c>
    </row>
    <row r="73" spans="1:28" x14ac:dyDescent="0.3">
      <c r="A73" s="16">
        <v>72</v>
      </c>
      <c r="B73" s="16">
        <v>9.5</v>
      </c>
      <c r="C73" s="16">
        <v>1.34</v>
      </c>
      <c r="D73" s="16">
        <v>1</v>
      </c>
      <c r="E73" s="20">
        <v>0.62</v>
      </c>
      <c r="F73" s="46">
        <f t="shared" si="3"/>
        <v>0.64488089944121652</v>
      </c>
      <c r="R73" s="22">
        <v>70</v>
      </c>
      <c r="S73" s="22">
        <v>0.71560557556582061</v>
      </c>
      <c r="T73" s="22">
        <v>8.4394424434179438E-2</v>
      </c>
      <c r="U73" s="22">
        <v>0.27894578083819055</v>
      </c>
      <c r="W73" s="22">
        <v>72.395833333333329</v>
      </c>
      <c r="X73" s="22">
        <v>0.63</v>
      </c>
      <c r="Z73">
        <v>0.24934625839169511</v>
      </c>
      <c r="AA73">
        <v>0.19931753291807847</v>
      </c>
      <c r="AB73">
        <f t="shared" si="4"/>
        <v>5.0028725473616642E-2</v>
      </c>
    </row>
    <row r="74" spans="1:28" x14ac:dyDescent="0.3">
      <c r="A74" s="16">
        <v>73</v>
      </c>
      <c r="B74" s="16">
        <v>9.9</v>
      </c>
      <c r="C74" s="16">
        <v>1.34</v>
      </c>
      <c r="D74" s="16">
        <v>1</v>
      </c>
      <c r="E74" s="20">
        <v>1.2</v>
      </c>
      <c r="F74" s="46">
        <f t="shared" si="3"/>
        <v>0.62120671191105648</v>
      </c>
      <c r="R74" s="22">
        <v>71</v>
      </c>
      <c r="S74" s="22">
        <v>0.61006076832285649</v>
      </c>
      <c r="T74" s="22">
        <v>0.22993923167714347</v>
      </c>
      <c r="U74" s="22">
        <v>0.76000966835834816</v>
      </c>
      <c r="W74" s="22">
        <v>73.4375</v>
      </c>
      <c r="X74" s="22">
        <v>0.66</v>
      </c>
      <c r="Z74">
        <v>-5.3263278358448574E-2</v>
      </c>
      <c r="AA74">
        <v>0.46920327076190399</v>
      </c>
      <c r="AB74">
        <f t="shared" si="4"/>
        <v>-0.52246654912035262</v>
      </c>
    </row>
    <row r="75" spans="1:28" x14ac:dyDescent="0.3">
      <c r="A75" s="16">
        <v>74</v>
      </c>
      <c r="B75" s="16">
        <v>9.33</v>
      </c>
      <c r="C75" s="16">
        <v>1.31</v>
      </c>
      <c r="D75" s="16">
        <v>1</v>
      </c>
      <c r="E75" s="20">
        <v>0.35</v>
      </c>
      <c r="F75" s="46">
        <f t="shared" si="3"/>
        <v>0.73276936152518579</v>
      </c>
      <c r="R75" s="22">
        <v>72</v>
      </c>
      <c r="S75" s="22">
        <v>0.64488089944121652</v>
      </c>
      <c r="T75" s="22">
        <v>-2.488089944121652E-2</v>
      </c>
      <c r="U75" s="22">
        <v>-8.2237919970644349E-2</v>
      </c>
      <c r="W75" s="22">
        <v>74.479166666666671</v>
      </c>
      <c r="X75" s="22">
        <v>0.69</v>
      </c>
      <c r="Z75">
        <v>0.18639602526511573</v>
      </c>
      <c r="AA75">
        <v>0.48814262078603149</v>
      </c>
      <c r="AB75">
        <f t="shared" si="4"/>
        <v>-0.30174659552091576</v>
      </c>
    </row>
    <row r="76" spans="1:28" x14ac:dyDescent="0.3">
      <c r="A76" s="16">
        <v>75</v>
      </c>
      <c r="B76" s="16">
        <v>9.7200000000000006</v>
      </c>
      <c r="C76" s="16">
        <v>1.31</v>
      </c>
      <c r="D76" s="16">
        <v>1</v>
      </c>
      <c r="E76" s="20">
        <v>0.95</v>
      </c>
      <c r="F76" s="46">
        <f t="shared" si="3"/>
        <v>0.70968702868328015</v>
      </c>
      <c r="R76" s="22">
        <v>73</v>
      </c>
      <c r="S76" s="22">
        <v>0.62120671191105648</v>
      </c>
      <c r="T76" s="22">
        <v>0.57879328808894348</v>
      </c>
      <c r="U76" s="22">
        <v>1.9130641244646804</v>
      </c>
      <c r="W76" s="22">
        <v>75.520833333333329</v>
      </c>
      <c r="X76" s="22">
        <v>0.69</v>
      </c>
      <c r="Z76">
        <v>0.34086618065591051</v>
      </c>
      <c r="AA76">
        <v>0.47808109108571378</v>
      </c>
      <c r="AB76">
        <f t="shared" si="4"/>
        <v>-0.13721491042980327</v>
      </c>
    </row>
    <row r="77" spans="1:28" x14ac:dyDescent="0.3">
      <c r="A77" s="16">
        <v>76</v>
      </c>
      <c r="B77" s="16">
        <v>9.5500000000000007</v>
      </c>
      <c r="C77" s="16">
        <v>1.34</v>
      </c>
      <c r="D77" s="16">
        <v>1</v>
      </c>
      <c r="E77" s="20">
        <v>0.69</v>
      </c>
      <c r="F77" s="46">
        <f t="shared" si="3"/>
        <v>0.64192162599994629</v>
      </c>
      <c r="R77" s="22">
        <v>74</v>
      </c>
      <c r="S77" s="22">
        <v>0.73276936152518579</v>
      </c>
      <c r="T77" s="22">
        <v>-0.38276936152518581</v>
      </c>
      <c r="U77" s="22">
        <v>-1.2651534641942102</v>
      </c>
      <c r="W77" s="22">
        <v>76.5625</v>
      </c>
      <c r="X77" s="22">
        <v>0.74</v>
      </c>
      <c r="Z77">
        <v>0.31492386986135984</v>
      </c>
      <c r="AA77">
        <v>0.63373887409651641</v>
      </c>
      <c r="AB77">
        <f t="shared" si="4"/>
        <v>-0.31881500423515657</v>
      </c>
    </row>
    <row r="78" spans="1:28" x14ac:dyDescent="0.3">
      <c r="A78" s="16">
        <v>77</v>
      </c>
      <c r="B78" s="16">
        <v>9.5500000000000007</v>
      </c>
      <c r="C78" s="16">
        <v>1.32</v>
      </c>
      <c r="D78" s="16">
        <v>1</v>
      </c>
      <c r="E78" s="20">
        <v>0.69</v>
      </c>
      <c r="F78" s="46">
        <f t="shared" si="3"/>
        <v>0.69380624758904763</v>
      </c>
      <c r="R78" s="22">
        <v>75</v>
      </c>
      <c r="S78" s="22">
        <v>0.70968702868328015</v>
      </c>
      <c r="T78" s="22">
        <v>0.2403129713167198</v>
      </c>
      <c r="U78" s="22">
        <v>0.79429760767868274</v>
      </c>
      <c r="W78" s="22">
        <v>77.604166666666671</v>
      </c>
      <c r="X78" s="22">
        <v>0.74</v>
      </c>
      <c r="Z78">
        <v>0.28898155906681006</v>
      </c>
      <c r="AA78">
        <v>-1.5403541748095884E-2</v>
      </c>
      <c r="AB78">
        <f t="shared" si="4"/>
        <v>0.30438510081490594</v>
      </c>
    </row>
    <row r="79" spans="1:28" x14ac:dyDescent="0.3">
      <c r="A79" s="16">
        <v>78</v>
      </c>
      <c r="B79" s="16">
        <v>9.52</v>
      </c>
      <c r="C79" s="16">
        <v>1.32</v>
      </c>
      <c r="D79" s="16">
        <v>2</v>
      </c>
      <c r="E79" s="20">
        <v>0.66</v>
      </c>
      <c r="F79" s="46">
        <f t="shared" si="3"/>
        <v>0.49792522745837642</v>
      </c>
      <c r="R79" s="22">
        <v>76</v>
      </c>
      <c r="S79" s="22">
        <v>0.64192162599994629</v>
      </c>
      <c r="T79" s="22">
        <v>4.8078374000053659E-2</v>
      </c>
      <c r="U79" s="22">
        <v>0.15891167771794193</v>
      </c>
      <c r="W79" s="22">
        <v>78.645833333333329</v>
      </c>
      <c r="X79" s="22">
        <v>0.8</v>
      </c>
      <c r="Z79">
        <v>0.15927000509405759</v>
      </c>
      <c r="AA79">
        <v>-0.21483569000829084</v>
      </c>
      <c r="AB79">
        <f t="shared" si="4"/>
        <v>0.37410569510234842</v>
      </c>
    </row>
    <row r="80" spans="1:28" x14ac:dyDescent="0.3">
      <c r="A80" s="16">
        <v>79</v>
      </c>
      <c r="B80" s="16">
        <v>9.5</v>
      </c>
      <c r="C80" s="16">
        <v>1.31</v>
      </c>
      <c r="D80" s="16">
        <v>3</v>
      </c>
      <c r="E80" s="20">
        <v>0.62</v>
      </c>
      <c r="F80" s="46">
        <f t="shared" si="3"/>
        <v>0.32739466343400103</v>
      </c>
      <c r="R80" s="22">
        <v>77</v>
      </c>
      <c r="S80" s="22">
        <v>0.69380624758904763</v>
      </c>
      <c r="T80" s="22">
        <v>-3.8062475890476843E-3</v>
      </c>
      <c r="U80" s="22">
        <v>-1.2580649881894177E-2</v>
      </c>
      <c r="W80" s="22">
        <v>79.6875</v>
      </c>
      <c r="X80" s="22">
        <v>0.8</v>
      </c>
      <c r="Z80">
        <v>0.19331865398481562</v>
      </c>
      <c r="AA80">
        <v>0.17929376900606825</v>
      </c>
      <c r="AB80">
        <f t="shared" si="4"/>
        <v>1.4024884978747376E-2</v>
      </c>
    </row>
    <row r="81" spans="1:28" x14ac:dyDescent="0.3">
      <c r="A81" s="16">
        <v>80</v>
      </c>
      <c r="B81" s="16">
        <v>7.37</v>
      </c>
      <c r="C81" s="16">
        <v>1.36</v>
      </c>
      <c r="D81" s="16">
        <v>1</v>
      </c>
      <c r="E81" s="20">
        <v>1.45</v>
      </c>
      <c r="F81" s="46">
        <f t="shared" si="3"/>
        <v>0.7190613264502177</v>
      </c>
      <c r="R81" s="22">
        <v>78</v>
      </c>
      <c r="S81" s="22">
        <v>0.49792522745837642</v>
      </c>
      <c r="T81" s="22">
        <v>0.16207477254162361</v>
      </c>
      <c r="U81" s="22">
        <v>0.53569977263196322</v>
      </c>
      <c r="W81" s="22">
        <v>80.729166666666671</v>
      </c>
      <c r="X81" s="22">
        <v>0.84</v>
      </c>
      <c r="Z81">
        <v>-1.5403541748095884E-2</v>
      </c>
      <c r="AA81">
        <v>0.2704622726785878</v>
      </c>
      <c r="AB81">
        <f t="shared" si="4"/>
        <v>-0.28586581442668368</v>
      </c>
    </row>
    <row r="82" spans="1:28" x14ac:dyDescent="0.3">
      <c r="A82" s="16">
        <v>81</v>
      </c>
      <c r="B82" s="16">
        <v>7.17</v>
      </c>
      <c r="C82" s="16">
        <v>1.31</v>
      </c>
      <c r="D82" s="16">
        <v>2</v>
      </c>
      <c r="E82" s="20">
        <v>0.94</v>
      </c>
      <c r="F82" s="46">
        <f t="shared" si="3"/>
        <v>0.66295338999261755</v>
      </c>
      <c r="R82" s="22">
        <v>79</v>
      </c>
      <c r="S82" s="22">
        <v>0.32739466343400103</v>
      </c>
      <c r="T82" s="22">
        <v>0.29260533656599896</v>
      </c>
      <c r="U82" s="22">
        <v>0.96713763537165509</v>
      </c>
      <c r="W82" s="22">
        <v>81.770833333333329</v>
      </c>
      <c r="X82" s="22">
        <v>0.94</v>
      </c>
      <c r="Z82">
        <v>0.2323620999716775</v>
      </c>
      <c r="AA82">
        <v>0.25744146953699987</v>
      </c>
      <c r="AB82">
        <f t="shared" si="4"/>
        <v>-2.5079369565322363E-2</v>
      </c>
    </row>
    <row r="83" spans="1:28" x14ac:dyDescent="0.3">
      <c r="A83" s="16">
        <v>82</v>
      </c>
      <c r="B83" s="16">
        <v>7.22</v>
      </c>
      <c r="C83" s="16">
        <v>1.33</v>
      </c>
      <c r="D83" s="16">
        <v>1</v>
      </c>
      <c r="E83" s="20">
        <v>1.07</v>
      </c>
      <c r="F83" s="46">
        <f t="shared" si="3"/>
        <v>0.80576607915767995</v>
      </c>
      <c r="R83" s="22">
        <v>80</v>
      </c>
      <c r="S83" s="22">
        <v>0.7190613264502177</v>
      </c>
      <c r="T83" s="22">
        <v>0.73093867354978226</v>
      </c>
      <c r="U83" s="22">
        <v>2.4159446599128609</v>
      </c>
      <c r="W83" s="22">
        <v>82.8125</v>
      </c>
      <c r="X83" s="22">
        <v>0.94</v>
      </c>
      <c r="Z83">
        <v>3.4705515776244034E-2</v>
      </c>
      <c r="AA83">
        <v>0.44740394278513057</v>
      </c>
      <c r="AB83">
        <f t="shared" si="4"/>
        <v>-0.41269842700888654</v>
      </c>
    </row>
    <row r="84" spans="1:28" x14ac:dyDescent="0.3">
      <c r="A84" s="16">
        <v>83</v>
      </c>
      <c r="B84" s="16">
        <v>6.99</v>
      </c>
      <c r="C84" s="16">
        <v>1.31</v>
      </c>
      <c r="D84" s="16">
        <v>2</v>
      </c>
      <c r="E84" s="20">
        <v>0.47</v>
      </c>
      <c r="F84" s="46">
        <f t="shared" si="3"/>
        <v>0.67360677438118877</v>
      </c>
      <c r="R84" s="22">
        <v>81</v>
      </c>
      <c r="S84" s="22">
        <v>0.66295338999261755</v>
      </c>
      <c r="T84" s="22">
        <v>0.2770466100073824</v>
      </c>
      <c r="U84" s="22">
        <v>0.91571194987360349</v>
      </c>
      <c r="W84" s="22">
        <v>83.854166666666671</v>
      </c>
      <c r="X84" s="22">
        <v>0.94</v>
      </c>
      <c r="Z84">
        <v>3.4705515776244034E-2</v>
      </c>
      <c r="AA84">
        <v>0.25270663203096733</v>
      </c>
      <c r="AB84">
        <f t="shared" si="4"/>
        <v>-0.21800111625472329</v>
      </c>
    </row>
    <row r="85" spans="1:28" x14ac:dyDescent="0.3">
      <c r="A85" s="16">
        <v>84</v>
      </c>
      <c r="B85" s="16">
        <v>7.34</v>
      </c>
      <c r="C85" s="16">
        <v>1.36</v>
      </c>
      <c r="D85" s="16">
        <v>1</v>
      </c>
      <c r="E85" s="20">
        <v>1.39</v>
      </c>
      <c r="F85" s="46">
        <f t="shared" si="3"/>
        <v>0.72083689051498001</v>
      </c>
      <c r="R85" s="22">
        <v>82</v>
      </c>
      <c r="S85" s="22">
        <v>0.80576607915767995</v>
      </c>
      <c r="T85" s="22">
        <v>0.26423392084232011</v>
      </c>
      <c r="U85" s="22">
        <v>0.87336264057091639</v>
      </c>
      <c r="W85" s="22">
        <v>84.895833333333329</v>
      </c>
      <c r="X85" s="22">
        <v>0.95</v>
      </c>
      <c r="Z85">
        <v>-0.21483569000829084</v>
      </c>
      <c r="AA85">
        <v>0.58885721327783735</v>
      </c>
      <c r="AB85">
        <f t="shared" si="4"/>
        <v>-0.80369290328612819</v>
      </c>
    </row>
    <row r="86" spans="1:28" x14ac:dyDescent="0.3">
      <c r="A86" s="16">
        <v>85</v>
      </c>
      <c r="B86" s="16">
        <v>7.37</v>
      </c>
      <c r="C86" s="16">
        <v>1.34</v>
      </c>
      <c r="D86" s="16">
        <v>1</v>
      </c>
      <c r="E86" s="20">
        <v>1.45</v>
      </c>
      <c r="F86" s="46">
        <f t="shared" si="3"/>
        <v>0.7709459480393186</v>
      </c>
      <c r="R86" s="22">
        <v>83</v>
      </c>
      <c r="S86" s="22">
        <v>0.67360677438118877</v>
      </c>
      <c r="T86" s="22">
        <v>-0.20360677438118879</v>
      </c>
      <c r="U86" s="22">
        <v>-0.67297396770566908</v>
      </c>
      <c r="W86" s="22">
        <v>85.9375</v>
      </c>
      <c r="X86" s="22">
        <v>1.01</v>
      </c>
      <c r="Z86">
        <v>0.12859285679347526</v>
      </c>
      <c r="AA86">
        <v>0.18639602526511573</v>
      </c>
      <c r="AB86">
        <f t="shared" si="4"/>
        <v>-5.7803168471640465E-2</v>
      </c>
    </row>
    <row r="87" spans="1:28" x14ac:dyDescent="0.3">
      <c r="A87" s="16">
        <v>86</v>
      </c>
      <c r="B87" s="16">
        <v>7.02</v>
      </c>
      <c r="C87" s="16">
        <v>1.35</v>
      </c>
      <c r="D87" s="16">
        <v>2</v>
      </c>
      <c r="E87" s="20">
        <v>0.54</v>
      </c>
      <c r="F87" s="46">
        <f t="shared" si="3"/>
        <v>0.56806196713822554</v>
      </c>
      <c r="R87" s="22">
        <v>84</v>
      </c>
      <c r="S87" s="22">
        <v>0.72083689051498001</v>
      </c>
      <c r="T87" s="22">
        <v>0.66916310948501989</v>
      </c>
      <c r="U87" s="22">
        <v>2.211760164665733</v>
      </c>
      <c r="W87" s="22">
        <v>86.979166666666671</v>
      </c>
      <c r="X87" s="22">
        <v>1.02</v>
      </c>
      <c r="Z87">
        <v>-9.500603819650888E-2</v>
      </c>
      <c r="AA87">
        <v>-2.132208863063545E-2</v>
      </c>
      <c r="AB87">
        <f t="shared" si="4"/>
        <v>-7.368394956587343E-2</v>
      </c>
    </row>
    <row r="88" spans="1:28" x14ac:dyDescent="0.3">
      <c r="A88" s="16">
        <v>87</v>
      </c>
      <c r="B88" s="16">
        <v>7.24</v>
      </c>
      <c r="C88" s="16">
        <v>1.33</v>
      </c>
      <c r="D88" s="16">
        <v>1</v>
      </c>
      <c r="E88" s="20">
        <v>1.1399999999999999</v>
      </c>
      <c r="F88" s="46">
        <f t="shared" si="3"/>
        <v>0.80458236978117204</v>
      </c>
      <c r="R88" s="22">
        <v>85</v>
      </c>
      <c r="S88" s="22">
        <v>0.7709459480393186</v>
      </c>
      <c r="T88" s="22">
        <v>0.67905405196068136</v>
      </c>
      <c r="U88" s="22">
        <v>2.2444523323130263</v>
      </c>
      <c r="W88" s="22">
        <v>88.020833333333329</v>
      </c>
      <c r="X88" s="22">
        <v>1.06</v>
      </c>
      <c r="Z88">
        <v>0.23117839059516959</v>
      </c>
      <c r="AA88">
        <v>0.15335145821151802</v>
      </c>
      <c r="AB88">
        <f t="shared" si="4"/>
        <v>7.782693238365157E-2</v>
      </c>
    </row>
    <row r="89" spans="1:28" x14ac:dyDescent="0.3">
      <c r="A89" s="16">
        <v>88</v>
      </c>
      <c r="B89" s="16">
        <v>7.09</v>
      </c>
      <c r="C89" s="16">
        <v>1.29</v>
      </c>
      <c r="D89" s="16">
        <v>1</v>
      </c>
      <c r="E89" s="20">
        <v>0.74</v>
      </c>
      <c r="F89" s="46">
        <f t="shared" si="3"/>
        <v>0.91722943328318407</v>
      </c>
      <c r="R89" s="22">
        <v>86</v>
      </c>
      <c r="S89" s="22">
        <v>0.56806196713822554</v>
      </c>
      <c r="T89" s="22">
        <v>-2.8061967138225508E-2</v>
      </c>
      <c r="U89" s="22">
        <v>-9.2752185795555234E-2</v>
      </c>
      <c r="W89" s="22">
        <v>89.0625</v>
      </c>
      <c r="X89" s="22">
        <v>1.07</v>
      </c>
      <c r="Z89">
        <v>0.17929376900606825</v>
      </c>
      <c r="AA89">
        <v>0.15927000509405759</v>
      </c>
      <c r="AB89">
        <f t="shared" si="4"/>
        <v>2.0023763912010661E-2</v>
      </c>
    </row>
    <row r="90" spans="1:28" x14ac:dyDescent="0.3">
      <c r="A90" s="16">
        <v>89</v>
      </c>
      <c r="B90" s="16">
        <v>7.19</v>
      </c>
      <c r="C90" s="16">
        <v>1.29</v>
      </c>
      <c r="D90" s="16">
        <v>1</v>
      </c>
      <c r="E90" s="20">
        <v>1.01</v>
      </c>
      <c r="F90" s="46">
        <f t="shared" si="3"/>
        <v>0.91131088640064362</v>
      </c>
      <c r="R90" s="22">
        <v>87</v>
      </c>
      <c r="S90" s="22">
        <v>0.80458236978117204</v>
      </c>
      <c r="T90" s="22">
        <v>0.33541763021882787</v>
      </c>
      <c r="U90" s="22">
        <v>1.108643531792292</v>
      </c>
      <c r="W90" s="22">
        <v>90.104166666666671</v>
      </c>
      <c r="X90" s="22">
        <v>1.1000000000000001</v>
      </c>
      <c r="Z90">
        <v>0.15335145821151802</v>
      </c>
      <c r="AA90">
        <v>0.53105404480619689</v>
      </c>
      <c r="AB90">
        <f t="shared" si="4"/>
        <v>-0.37770258659467887</v>
      </c>
    </row>
    <row r="91" spans="1:28" x14ac:dyDescent="0.3">
      <c r="A91" s="16">
        <v>90</v>
      </c>
      <c r="B91" s="16">
        <v>6.77</v>
      </c>
      <c r="C91" s="16">
        <v>1.27</v>
      </c>
      <c r="D91" s="16">
        <v>2</v>
      </c>
      <c r="E91" s="20">
        <v>0.18</v>
      </c>
      <c r="F91" s="46">
        <f t="shared" si="3"/>
        <v>0.79039682070097983</v>
      </c>
      <c r="R91" s="22">
        <v>88</v>
      </c>
      <c r="S91" s="22">
        <v>0.91722943328318407</v>
      </c>
      <c r="T91" s="22">
        <v>-0.17722943328318408</v>
      </c>
      <c r="U91" s="22">
        <v>-0.58578991427620675</v>
      </c>
      <c r="W91" s="22">
        <v>91.145833333333329</v>
      </c>
      <c r="X91" s="22">
        <v>1.1399999999999999</v>
      </c>
      <c r="Z91">
        <v>3.1746242334973807E-2</v>
      </c>
      <c r="AA91">
        <v>0.12859285679347526</v>
      </c>
      <c r="AB91">
        <f t="shared" si="4"/>
        <v>-9.6846614458501457E-2</v>
      </c>
    </row>
    <row r="92" spans="1:28" x14ac:dyDescent="0.3">
      <c r="A92" s="16">
        <v>91</v>
      </c>
      <c r="B92" s="16">
        <v>7.44</v>
      </c>
      <c r="C92" s="16">
        <v>1.33</v>
      </c>
      <c r="D92" s="16">
        <v>1</v>
      </c>
      <c r="E92" s="20">
        <v>1.64</v>
      </c>
      <c r="F92" s="46">
        <f t="shared" si="3"/>
        <v>0.79274527601609202</v>
      </c>
      <c r="R92" s="22">
        <v>89</v>
      </c>
      <c r="S92" s="22">
        <v>0.91131088640064362</v>
      </c>
      <c r="T92" s="22">
        <v>9.8689113599356393E-2</v>
      </c>
      <c r="U92" s="22">
        <v>0.32619349012412069</v>
      </c>
      <c r="W92" s="22">
        <v>92.1875</v>
      </c>
      <c r="X92" s="22">
        <v>1.1399999999999999</v>
      </c>
      <c r="Z92">
        <v>-2.132208863063545E-2</v>
      </c>
      <c r="AA92">
        <v>-9.500603819650888E-2</v>
      </c>
      <c r="AB92">
        <f t="shared" si="4"/>
        <v>7.368394956587343E-2</v>
      </c>
    </row>
    <row r="93" spans="1:28" x14ac:dyDescent="0.3">
      <c r="A93" s="16">
        <v>92</v>
      </c>
      <c r="B93" s="16">
        <v>7.24</v>
      </c>
      <c r="C93" s="16">
        <v>1.33</v>
      </c>
      <c r="D93" s="16">
        <v>1</v>
      </c>
      <c r="E93" s="20">
        <v>1.1399999999999999</v>
      </c>
      <c r="F93" s="46">
        <f t="shared" si="3"/>
        <v>0.80458236978117204</v>
      </c>
      <c r="R93" s="22">
        <v>90</v>
      </c>
      <c r="S93" s="22">
        <v>0.79039682070097983</v>
      </c>
      <c r="T93" s="22">
        <v>-0.61039682070097978</v>
      </c>
      <c r="U93" s="22">
        <v>-2.0175221161011438</v>
      </c>
      <c r="W93" s="22">
        <v>93.229166666666671</v>
      </c>
      <c r="X93" s="22">
        <v>1.18</v>
      </c>
      <c r="Z93">
        <v>8.0671590482804478E-2</v>
      </c>
      <c r="AA93">
        <v>-0.1080268413380977</v>
      </c>
      <c r="AB93">
        <f t="shared" si="4"/>
        <v>0.18869843182090218</v>
      </c>
    </row>
    <row r="94" spans="1:28" x14ac:dyDescent="0.3">
      <c r="A94" s="16">
        <v>93</v>
      </c>
      <c r="B94" s="16">
        <v>7.09</v>
      </c>
      <c r="C94" s="16">
        <v>1.32</v>
      </c>
      <c r="D94" s="16">
        <v>1</v>
      </c>
      <c r="E94" s="20">
        <v>0.74</v>
      </c>
      <c r="F94" s="46">
        <f t="shared" si="3"/>
        <v>0.8394025008995325</v>
      </c>
      <c r="R94" s="22">
        <v>91</v>
      </c>
      <c r="S94" s="22">
        <v>0.79274527601609202</v>
      </c>
      <c r="T94" s="22">
        <v>0.84725472398390789</v>
      </c>
      <c r="U94" s="22">
        <v>2.8003998147396656</v>
      </c>
      <c r="W94" s="22">
        <v>94.270833333333329</v>
      </c>
      <c r="X94" s="22">
        <v>1.2</v>
      </c>
      <c r="Z94">
        <v>0.19931753291807847</v>
      </c>
      <c r="AA94">
        <v>0.11448763976400461</v>
      </c>
      <c r="AB94">
        <f t="shared" si="4"/>
        <v>8.4829893154073854E-2</v>
      </c>
    </row>
    <row r="95" spans="1:28" x14ac:dyDescent="0.3">
      <c r="A95" s="16">
        <v>94</v>
      </c>
      <c r="B95" s="16">
        <v>6.97</v>
      </c>
      <c r="C95" s="16">
        <v>1.29</v>
      </c>
      <c r="D95" s="16">
        <v>2</v>
      </c>
      <c r="E95" s="20">
        <v>0.4</v>
      </c>
      <c r="F95" s="46">
        <f t="shared" si="3"/>
        <v>0.72667510534679891</v>
      </c>
      <c r="R95" s="22">
        <v>92</v>
      </c>
      <c r="S95" s="22">
        <v>0.80458236978117204</v>
      </c>
      <c r="T95" s="22">
        <v>0.33541763021882787</v>
      </c>
      <c r="U95" s="22">
        <v>1.108643531792292</v>
      </c>
      <c r="W95" s="22">
        <v>95.3125</v>
      </c>
      <c r="X95" s="22">
        <v>1.39</v>
      </c>
      <c r="Z95">
        <v>6.664670550405577E-2</v>
      </c>
      <c r="AA95">
        <v>6.7731119391938044E-2</v>
      </c>
      <c r="AB95">
        <f t="shared" si="4"/>
        <v>-1.084413887882274E-3</v>
      </c>
    </row>
    <row r="96" spans="1:28" x14ac:dyDescent="0.3">
      <c r="A96" s="16">
        <v>95</v>
      </c>
      <c r="B96" s="16">
        <v>7.04</v>
      </c>
      <c r="C96" s="16">
        <v>1.29</v>
      </c>
      <c r="D96" s="16">
        <v>2</v>
      </c>
      <c r="E96" s="20">
        <v>0.61</v>
      </c>
      <c r="F96" s="46">
        <f t="shared" si="3"/>
        <v>0.72253212252902077</v>
      </c>
      <c r="R96" s="22">
        <v>93</v>
      </c>
      <c r="S96" s="22">
        <v>0.8394025008995325</v>
      </c>
      <c r="T96" s="22">
        <v>-9.9402500899532509E-2</v>
      </c>
      <c r="U96" s="22">
        <v>-0.32855142287645406</v>
      </c>
      <c r="W96" s="22">
        <v>96.354166666666671</v>
      </c>
      <c r="X96" s="22">
        <v>1.45</v>
      </c>
      <c r="Z96">
        <v>-0.1080268413380977</v>
      </c>
      <c r="AA96">
        <v>6.664670550405577E-2</v>
      </c>
      <c r="AB96">
        <f t="shared" si="4"/>
        <v>-0.17467354684215347</v>
      </c>
    </row>
    <row r="97" spans="1:28" x14ac:dyDescent="0.3">
      <c r="A97" s="16">
        <v>96</v>
      </c>
      <c r="B97" s="16">
        <v>6.97</v>
      </c>
      <c r="C97" s="16">
        <v>1.27</v>
      </c>
      <c r="D97" s="16">
        <v>3</v>
      </c>
      <c r="E97" s="20">
        <v>0.4</v>
      </c>
      <c r="F97" s="46">
        <f t="shared" si="3"/>
        <v>0.58090314274046628</v>
      </c>
      <c r="R97" s="22">
        <v>94</v>
      </c>
      <c r="S97" s="22">
        <v>0.72667510534679891</v>
      </c>
      <c r="T97" s="22">
        <v>-0.32667510534679889</v>
      </c>
      <c r="U97" s="22">
        <v>-1.0797471865268842</v>
      </c>
      <c r="W97" s="22">
        <v>97.395833333333329</v>
      </c>
      <c r="X97" s="22">
        <v>1.45</v>
      </c>
      <c r="Z97">
        <v>6.7731119391938044E-2</v>
      </c>
      <c r="AA97">
        <v>0.13364846244678696</v>
      </c>
      <c r="AB97">
        <f t="shared" si="4"/>
        <v>-6.591734305484892E-2</v>
      </c>
    </row>
    <row r="98" spans="1:28" x14ac:dyDescent="0.3">
      <c r="R98" s="22">
        <v>95</v>
      </c>
      <c r="S98" s="22">
        <v>0.72253212252902077</v>
      </c>
      <c r="T98" s="22">
        <v>-0.11253212252902078</v>
      </c>
      <c r="U98" s="22">
        <v>-0.37194827737368458</v>
      </c>
      <c r="W98" s="22">
        <v>98.4375</v>
      </c>
      <c r="X98" s="22">
        <v>1.6</v>
      </c>
    </row>
    <row r="99" spans="1:28" x14ac:dyDescent="0.3">
      <c r="R99" s="22">
        <v>96</v>
      </c>
      <c r="S99" s="22">
        <v>0.58090314274046628</v>
      </c>
      <c r="T99" s="22">
        <v>-0.18090314274046626</v>
      </c>
      <c r="U99" s="22">
        <v>-0.59793249075569266</v>
      </c>
      <c r="W99" s="22">
        <v>99.479166666666671</v>
      </c>
      <c r="X99" s="22">
        <v>1.64</v>
      </c>
    </row>
  </sheetData>
  <autoFilter ref="A1:F99" xr:uid="{BCBD8988-5784-477A-8A44-7F2BE8320C0F}">
    <sortState xmlns:xlrd2="http://schemas.microsoft.com/office/spreadsheetml/2017/richdata2" ref="A2:F99">
      <sortCondition ref="A1:A99"/>
    </sortState>
  </autoFilter>
  <sortState xmlns:xlrd2="http://schemas.microsoft.com/office/spreadsheetml/2017/richdata2" ref="X4:X99">
    <sortCondition ref="X4"/>
  </sortState>
  <pageMargins left="0.7" right="0.7" top="0.75" bottom="0.75" header="0.3" footer="0.3"/>
  <pageSetup paperSize="9" orientation="portrait" horizontalDpi="180" verticalDpi="18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62E8032-2024-4017-94DD-D4CFB626F0E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Данные из программы1</vt:lpstr>
      <vt:lpstr>Данные из EXIF</vt:lpstr>
      <vt:lpstr>Обновленные данные</vt:lpstr>
      <vt:lpstr>Лист1 - значащие данные</vt:lpstr>
      <vt:lpstr>Лист2 - Мультиколлинеарность</vt:lpstr>
      <vt:lpstr>Лист3 - Итог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AllayBro</dc:creator>
  <cp:lastModifiedBy>AllayBro</cp:lastModifiedBy>
  <dcterms:created xsi:type="dcterms:W3CDTF">2015-06-05T18:19:34Z</dcterms:created>
  <dcterms:modified xsi:type="dcterms:W3CDTF">2025-09-15T07:26:50Z</dcterms:modified>
</cp:coreProperties>
</file>